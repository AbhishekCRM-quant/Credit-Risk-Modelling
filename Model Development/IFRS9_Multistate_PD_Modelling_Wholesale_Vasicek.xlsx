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Abhishek\CRM\Self\IFRS9\ECL\PIT_PD_Curve_Calibration\Transition Matrix - Wholesale\"/>
    </mc:Choice>
  </mc:AlternateContent>
  <xr:revisionPtr revIDLastSave="0" documentId="13_ncr:1_{588CB7D7-1DB2-4AC3-A4D5-B05D798F3E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es" sheetId="10" r:id="rId1"/>
    <sheet name="Rating-Data" sheetId="5" r:id="rId2"/>
    <sheet name="Transition Matrix" sheetId="11" r:id="rId3"/>
    <sheet name="Multistate_Wholesale_PIT_TM" sheetId="7" r:id="rId4"/>
    <sheet name="Remarks" sheetId="12" r:id="rId5"/>
  </sheets>
  <definedNames>
    <definedName name="_xlnm._FilterDatabase" localSheetId="1" hidden="1">'Rating-Data'!$B$2:$O$1759</definedName>
  </definedNames>
  <calcPr calcId="191029"/>
  <pivotCaches>
    <pivotCache cacheId="3" r:id="rId6"/>
  </pivotCaches>
</workbook>
</file>

<file path=xl/calcChain.xml><?xml version="1.0" encoding="utf-8"?>
<calcChain xmlns="http://schemas.openxmlformats.org/spreadsheetml/2006/main">
  <c r="Y13" i="11" l="1"/>
  <c r="Y12" i="11"/>
  <c r="Y11" i="11"/>
  <c r="Y10" i="11"/>
  <c r="Y9" i="11"/>
  <c r="Y8" i="11"/>
  <c r="Y7" i="11"/>
  <c r="Y6" i="11"/>
  <c r="X13" i="11"/>
  <c r="W13" i="11"/>
  <c r="V13" i="11"/>
  <c r="U13" i="11"/>
  <c r="T13" i="11"/>
  <c r="S13" i="11"/>
  <c r="R13" i="11"/>
  <c r="X12" i="11"/>
  <c r="W12" i="11"/>
  <c r="V12" i="11"/>
  <c r="U12" i="11"/>
  <c r="T12" i="11"/>
  <c r="S12" i="11"/>
  <c r="R12" i="11"/>
  <c r="X11" i="11"/>
  <c r="W11" i="11"/>
  <c r="V11" i="11"/>
  <c r="U11" i="11"/>
  <c r="T11" i="11"/>
  <c r="S11" i="11"/>
  <c r="R11" i="11"/>
  <c r="X10" i="11"/>
  <c r="W10" i="11"/>
  <c r="V10" i="11"/>
  <c r="U10" i="11"/>
  <c r="T10" i="11"/>
  <c r="S10" i="11"/>
  <c r="R10" i="11"/>
  <c r="X9" i="11"/>
  <c r="W9" i="11"/>
  <c r="V9" i="11"/>
  <c r="U9" i="11"/>
  <c r="T9" i="11"/>
  <c r="S9" i="11"/>
  <c r="R9" i="11"/>
  <c r="X8" i="11"/>
  <c r="W8" i="11"/>
  <c r="V8" i="11"/>
  <c r="U8" i="11"/>
  <c r="T8" i="11"/>
  <c r="S8" i="11"/>
  <c r="R8" i="11"/>
  <c r="X7" i="11"/>
  <c r="W7" i="11"/>
  <c r="V7" i="11"/>
  <c r="U7" i="11"/>
  <c r="T7" i="11"/>
  <c r="S7" i="11"/>
  <c r="R7" i="11"/>
  <c r="X6" i="11"/>
  <c r="W6" i="11"/>
  <c r="V6" i="11"/>
  <c r="U6" i="11"/>
  <c r="T6" i="11"/>
  <c r="S6" i="11"/>
  <c r="R6" i="11"/>
  <c r="Q7" i="11"/>
  <c r="Q8" i="11"/>
  <c r="Q9" i="11"/>
  <c r="Q10" i="11"/>
  <c r="Q11" i="11"/>
  <c r="Q12" i="11"/>
  <c r="Q13" i="11"/>
  <c r="Q6" i="11"/>
  <c r="G24" i="7" l="1"/>
  <c r="G23" i="7"/>
  <c r="G22" i="7"/>
  <c r="L21" i="7"/>
  <c r="G21" i="7"/>
  <c r="F21" i="7"/>
  <c r="K20" i="7"/>
  <c r="I20" i="7"/>
  <c r="G20" i="7"/>
  <c r="I19" i="7"/>
  <c r="H19" i="7"/>
  <c r="J32" i="7"/>
  <c r="K21" i="7" s="1"/>
  <c r="K35" i="7"/>
  <c r="L24" i="7" s="1"/>
  <c r="J35" i="7"/>
  <c r="K24" i="7" s="1"/>
  <c r="I35" i="7"/>
  <c r="J24" i="7" s="1"/>
  <c r="K34" i="7"/>
  <c r="L23" i="7" s="1"/>
  <c r="J34" i="7"/>
  <c r="K23" i="7" s="1"/>
  <c r="I34" i="7"/>
  <c r="J23" i="7" s="1"/>
  <c r="K33" i="7"/>
  <c r="L22" i="7" s="1"/>
  <c r="J33" i="7"/>
  <c r="K22" i="7" s="1"/>
  <c r="I33" i="7"/>
  <c r="J22" i="7" s="1"/>
  <c r="K32" i="7"/>
  <c r="I32" i="7"/>
  <c r="J21" i="7" s="1"/>
  <c r="K31" i="7"/>
  <c r="L20" i="7" s="1"/>
  <c r="J31" i="7"/>
  <c r="I31" i="7"/>
  <c r="J20" i="7" s="1"/>
  <c r="K30" i="7"/>
  <c r="L19" i="7" s="1"/>
  <c r="J30" i="7"/>
  <c r="K19" i="7" s="1"/>
  <c r="I30" i="7"/>
  <c r="J19" i="7" s="1"/>
  <c r="K29" i="7"/>
  <c r="L18" i="7" s="1"/>
  <c r="J29" i="7"/>
  <c r="K18" i="7" s="1"/>
  <c r="I29" i="7"/>
  <c r="J18" i="7" s="1"/>
  <c r="K28" i="7"/>
  <c r="L17" i="7" s="1"/>
  <c r="J28" i="7"/>
  <c r="K17" i="7" s="1"/>
  <c r="H29" i="7"/>
  <c r="I18" i="7" s="1"/>
  <c r="I28" i="7"/>
  <c r="J17" i="7" s="1"/>
  <c r="H30" i="7"/>
  <c r="H31" i="7"/>
  <c r="H32" i="7"/>
  <c r="I21" i="7" s="1"/>
  <c r="H33" i="7"/>
  <c r="I22" i="7" s="1"/>
  <c r="H34" i="7"/>
  <c r="I23" i="7" s="1"/>
  <c r="H35" i="7"/>
  <c r="I24" i="7" s="1"/>
  <c r="H28" i="7"/>
  <c r="I17" i="7" s="1"/>
  <c r="G35" i="7"/>
  <c r="H24" i="7" s="1"/>
  <c r="G34" i="7"/>
  <c r="H23" i="7" s="1"/>
  <c r="G33" i="7"/>
  <c r="H22" i="7" s="1"/>
  <c r="G32" i="7"/>
  <c r="H21" i="7" s="1"/>
  <c r="G31" i="7"/>
  <c r="H20" i="7" s="1"/>
  <c r="G30" i="7"/>
  <c r="G29" i="7"/>
  <c r="H18" i="7" s="1"/>
  <c r="G28" i="7"/>
  <c r="H17" i="7" s="1"/>
  <c r="F29" i="7"/>
  <c r="G18" i="7" s="1"/>
  <c r="F30" i="7"/>
  <c r="G19" i="7" s="1"/>
  <c r="F28" i="7"/>
  <c r="G17" i="7" s="1"/>
  <c r="E35" i="7"/>
  <c r="F24" i="7" s="1"/>
  <c r="E34" i="7"/>
  <c r="F23" i="7" s="1"/>
  <c r="E33" i="7"/>
  <c r="F22" i="7" s="1"/>
  <c r="E32" i="7"/>
  <c r="E31" i="7"/>
  <c r="F20" i="7" s="1"/>
  <c r="E30" i="7"/>
  <c r="F19" i="7" s="1"/>
  <c r="E29" i="7"/>
  <c r="F18" i="7" s="1"/>
  <c r="E28" i="7"/>
  <c r="F17" i="7" s="1"/>
  <c r="D35" i="7"/>
  <c r="E24" i="7" s="1"/>
  <c r="D34" i="7"/>
  <c r="E23" i="7" s="1"/>
  <c r="D33" i="7"/>
  <c r="E22" i="7" s="1"/>
  <c r="D32" i="7"/>
  <c r="E21" i="7" s="1"/>
  <c r="D31" i="7"/>
  <c r="E20" i="7" s="1"/>
  <c r="D30" i="7"/>
  <c r="E19" i="7" s="1"/>
  <c r="D29" i="7"/>
  <c r="E18" i="7" s="1"/>
  <c r="D28" i="7"/>
  <c r="E17" i="7" s="1"/>
  <c r="U5" i="7"/>
  <c r="V5" i="7" s="1"/>
  <c r="W6" i="7" s="1"/>
  <c r="X6" i="7" s="1"/>
  <c r="Y5" i="7" s="1"/>
  <c r="U6" i="7"/>
  <c r="U7" i="7"/>
  <c r="U8" i="7"/>
  <c r="U9" i="7"/>
  <c r="U10" i="7"/>
  <c r="U11" i="7"/>
  <c r="U12" i="7"/>
  <c r="U13" i="7"/>
  <c r="X5" i="7"/>
  <c r="Y13" i="7" s="1"/>
  <c r="AA5" i="7" l="1"/>
  <c r="AB5" i="7"/>
  <c r="V6" i="7"/>
  <c r="W7" i="7" l="1"/>
  <c r="X7" i="7" s="1"/>
  <c r="Y6" i="7" s="1"/>
  <c r="V7" i="7"/>
  <c r="W8" i="7" l="1"/>
  <c r="X8" i="7" s="1"/>
  <c r="Y7" i="7" s="1"/>
  <c r="V8" i="7"/>
  <c r="AA6" i="7"/>
  <c r="AB6" i="7"/>
  <c r="W9" i="7" l="1"/>
  <c r="X9" i="7" s="1"/>
  <c r="Y8" i="7" s="1"/>
  <c r="V9" i="7"/>
  <c r="AA7" i="7"/>
  <c r="AB7" i="7"/>
  <c r="W10" i="7" l="1"/>
  <c r="X10" i="7" s="1"/>
  <c r="Y9" i="7" s="1"/>
  <c r="V10" i="7"/>
  <c r="AA8" i="7"/>
  <c r="AB8" i="7"/>
  <c r="W11" i="7" l="1"/>
  <c r="X11" i="7" s="1"/>
  <c r="Y10" i="7" s="1"/>
  <c r="V11" i="7"/>
  <c r="AB9" i="7"/>
  <c r="AA9" i="7"/>
  <c r="V12" i="7" l="1"/>
  <c r="W12" i="7"/>
  <c r="X12" i="7" s="1"/>
  <c r="Y11" i="7" s="1"/>
  <c r="AB10" i="7"/>
  <c r="AA10" i="7"/>
  <c r="AB11" i="7" l="1"/>
  <c r="AA11" i="7"/>
  <c r="V13" i="7"/>
  <c r="W13" i="7"/>
  <c r="X13" i="7" s="1"/>
  <c r="Y12" i="7" l="1"/>
  <c r="AB13" i="7"/>
  <c r="AA13" i="7"/>
  <c r="AA12" i="7" l="1"/>
  <c r="AB12" i="7"/>
  <c r="E26" i="7" l="1"/>
  <c r="E15" i="7"/>
  <c r="F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91899</author>
  </authors>
  <commentList>
    <comment ref="AB4" authorId="0" shapeId="0" xr:uid="{EE230705-B16F-4A15-A095-A7EBD719474A}">
      <text>
        <r>
          <rPr>
            <b/>
            <sz val="9"/>
            <color indexed="81"/>
            <rFont val="Tahoma"/>
            <family val="2"/>
          </rPr>
          <t xml:space="preserve">Abhishek:
PD impacted because of economic conditioning and asset correlation </t>
        </r>
      </text>
    </comment>
  </commentList>
</comments>
</file>

<file path=xl/sharedStrings.xml><?xml version="1.0" encoding="utf-8"?>
<sst xmlns="http://schemas.openxmlformats.org/spreadsheetml/2006/main" count="13901" uniqueCount="183">
  <si>
    <t>Prob</t>
  </si>
  <si>
    <t>Shifted</t>
  </si>
  <si>
    <t>Borrower Code</t>
  </si>
  <si>
    <t>Zone</t>
  </si>
  <si>
    <t>Zone_Name</t>
  </si>
  <si>
    <t>State Territory</t>
  </si>
  <si>
    <t>State_Code</t>
  </si>
  <si>
    <t>Industry_Name</t>
  </si>
  <si>
    <t>Industry Code</t>
  </si>
  <si>
    <t>NASIK REGION</t>
  </si>
  <si>
    <t>NASIK</t>
  </si>
  <si>
    <t>Maharashtra</t>
  </si>
  <si>
    <t>Food &amp; Pdcts</t>
  </si>
  <si>
    <t>X1</t>
  </si>
  <si>
    <t>PUNE CITY REGION</t>
  </si>
  <si>
    <t>PUNE CITY</t>
  </si>
  <si>
    <t>Engineering</t>
  </si>
  <si>
    <t>X3</t>
  </si>
  <si>
    <t>X2</t>
  </si>
  <si>
    <t>X4</t>
  </si>
  <si>
    <t>PUNE RURAL REGION</t>
  </si>
  <si>
    <t>PUNE RURAL</t>
  </si>
  <si>
    <t>Auto</t>
  </si>
  <si>
    <t>HYDERABAD REGION</t>
  </si>
  <si>
    <t>HYDERABAD</t>
  </si>
  <si>
    <t>Andhra Pradesh</t>
  </si>
  <si>
    <t>Construction</t>
  </si>
  <si>
    <t>BANGALORE REGION</t>
  </si>
  <si>
    <t>BANGALORE</t>
  </si>
  <si>
    <t>Karnataka</t>
  </si>
  <si>
    <t>Textiles</t>
  </si>
  <si>
    <t>NAGPUR REGION</t>
  </si>
  <si>
    <t>NAGPUR</t>
  </si>
  <si>
    <t>X6</t>
  </si>
  <si>
    <t>X7</t>
  </si>
  <si>
    <t>X8D</t>
  </si>
  <si>
    <t>KOLHAPUR REGION</t>
  </si>
  <si>
    <t>KOLHAPUR</t>
  </si>
  <si>
    <t>Plastic &amp; Pdcts</t>
  </si>
  <si>
    <t>Paper &amp; Pdcts</t>
  </si>
  <si>
    <t>Chemical</t>
  </si>
  <si>
    <t>THANE REGION</t>
  </si>
  <si>
    <t>THANE</t>
  </si>
  <si>
    <t>AHMEDABAD  REGION</t>
  </si>
  <si>
    <t>AHMEDABAD</t>
  </si>
  <si>
    <t>Gujarat</t>
  </si>
  <si>
    <t>MUMBAI REGION</t>
  </si>
  <si>
    <t>MUMBAI</t>
  </si>
  <si>
    <t>Services</t>
  </si>
  <si>
    <t>DELHI REGION</t>
  </si>
  <si>
    <t>DELHI</t>
  </si>
  <si>
    <t>Delhi</t>
  </si>
  <si>
    <t>X5</t>
  </si>
  <si>
    <t>Rubber &amp; Pdcts</t>
  </si>
  <si>
    <t>Iron &amp; Steel</t>
  </si>
  <si>
    <t>Cement</t>
  </si>
  <si>
    <t>x3</t>
  </si>
  <si>
    <t>Leather</t>
  </si>
  <si>
    <t>Sugar</t>
  </si>
  <si>
    <t>SATARA REGION</t>
  </si>
  <si>
    <t>SATARA</t>
  </si>
  <si>
    <t>AURANGABAD REGION</t>
  </si>
  <si>
    <t>AURANGABAD</t>
  </si>
  <si>
    <t>KOLKATTA REGION</t>
  </si>
  <si>
    <t>KOLKATA</t>
  </si>
  <si>
    <t>West Bengal</t>
  </si>
  <si>
    <t>Diamond</t>
  </si>
  <si>
    <t>JAIPUR REGION</t>
  </si>
  <si>
    <t>JAIPUR</t>
  </si>
  <si>
    <t>Rajasthan</t>
  </si>
  <si>
    <t>RATNAGIRI REGION</t>
  </si>
  <si>
    <t>RATNAGIRI</t>
  </si>
  <si>
    <t>LATUR REGION</t>
  </si>
  <si>
    <t>LATUR</t>
  </si>
  <si>
    <t>Rubber &amp; pdcts</t>
  </si>
  <si>
    <t>INDORE REGION</t>
  </si>
  <si>
    <t>INDORE</t>
  </si>
  <si>
    <t>Madhya Pradesh</t>
  </si>
  <si>
    <t>CHANDIGARH REGION</t>
  </si>
  <si>
    <t>CHANDIGARH</t>
  </si>
  <si>
    <t>Punjab&amp;Haryana</t>
  </si>
  <si>
    <t>Food &amp; pdcts</t>
  </si>
  <si>
    <t>JALGAON  REGION</t>
  </si>
  <si>
    <t>JALGAON</t>
  </si>
  <si>
    <t>CHENNAI REGION</t>
  </si>
  <si>
    <t>CHENNAI</t>
  </si>
  <si>
    <t>Tamil Nadu</t>
  </si>
  <si>
    <t>IT</t>
  </si>
  <si>
    <t>Paper &amp; pdcts</t>
  </si>
  <si>
    <t>Other</t>
  </si>
  <si>
    <t>AHMEDNAGAR REGION</t>
  </si>
  <si>
    <t>AHMEDNAGAR</t>
  </si>
  <si>
    <t>SOLAPUR REGION</t>
  </si>
  <si>
    <t>SOLAPUR</t>
  </si>
  <si>
    <t>LUCKNOW REGION</t>
  </si>
  <si>
    <t>LUCKNOW</t>
  </si>
  <si>
    <t>Uttar Pradesh</t>
  </si>
  <si>
    <t>CHANDRAPUR REGION</t>
  </si>
  <si>
    <t>BHOPAL REGION</t>
  </si>
  <si>
    <t>BHOPAL</t>
  </si>
  <si>
    <t>GOA REGION</t>
  </si>
  <si>
    <t>GOA</t>
  </si>
  <si>
    <t>Goa</t>
  </si>
  <si>
    <t>RAIPUR REGION</t>
  </si>
  <si>
    <t>RAIPUR</t>
  </si>
  <si>
    <t>Chhattisgarh</t>
  </si>
  <si>
    <t>RAIGAD REGION</t>
  </si>
  <si>
    <t>RAIGAD</t>
  </si>
  <si>
    <t>JABALPUR REGION</t>
  </si>
  <si>
    <t>JABALPUR</t>
  </si>
  <si>
    <t>Punjab</t>
  </si>
  <si>
    <t>Power</t>
  </si>
  <si>
    <t>AMRAVATI REGION</t>
  </si>
  <si>
    <t>AMRAVATI</t>
  </si>
  <si>
    <t>AKOLA REGION</t>
  </si>
  <si>
    <t>AKOLA</t>
  </si>
  <si>
    <t>x1</t>
  </si>
  <si>
    <t>MUMBAI CITY</t>
  </si>
  <si>
    <t>x6</t>
  </si>
  <si>
    <t>Count of 2011</t>
  </si>
  <si>
    <t>2012</t>
  </si>
  <si>
    <t>(blank)</t>
  </si>
  <si>
    <t>Grand Total</t>
  </si>
  <si>
    <t>Count of 2012</t>
  </si>
  <si>
    <t>2013</t>
  </si>
  <si>
    <t>Count of 2013</t>
  </si>
  <si>
    <t>2014</t>
  </si>
  <si>
    <t>Count of 2014</t>
  </si>
  <si>
    <t>2015</t>
  </si>
  <si>
    <t>Count of 2015</t>
  </si>
  <si>
    <t>2016</t>
  </si>
  <si>
    <t>Count of 2016</t>
  </si>
  <si>
    <t>2017</t>
  </si>
  <si>
    <t xml:space="preserve">Suitable for PIT TM </t>
  </si>
  <si>
    <t>TTC TM</t>
  </si>
  <si>
    <t>to grade</t>
  </si>
  <si>
    <t>CRR 1</t>
  </si>
  <si>
    <t>CRR 2</t>
  </si>
  <si>
    <t>CRR 3</t>
  </si>
  <si>
    <t>CRR 4</t>
  </si>
  <si>
    <t>CRR 5</t>
  </si>
  <si>
    <t>CRR 6</t>
  </si>
  <si>
    <t>CRR 7</t>
  </si>
  <si>
    <t>CRR 8</t>
  </si>
  <si>
    <t>CRR 9</t>
  </si>
  <si>
    <t>P(z&lt;=-3.33)-P(z&lt;=-8.22)</t>
  </si>
  <si>
    <t>from grade</t>
  </si>
  <si>
    <t>Grade</t>
  </si>
  <si>
    <t>P(z&lt;=-3.08)-P(z&lt;=-3.33)</t>
  </si>
  <si>
    <t>z</t>
  </si>
  <si>
    <t>P(z&lt;=-2.94)-P(z&lt;=-3.08)</t>
  </si>
  <si>
    <t>Rho</t>
  </si>
  <si>
    <t>P(z&lt;=-2.72)-P(z&lt;=-2.94)</t>
  </si>
  <si>
    <t>Higher z, better economic conditions, higher prob of upgrade</t>
  </si>
  <si>
    <t>P(z&lt;=-2.23)-P(z&lt;=-2.72)</t>
  </si>
  <si>
    <t>P(z&lt;=-1.91)-P(z&lt;=-2.23)</t>
  </si>
  <si>
    <t>P(z&lt;=-0.96)-P(z&lt;=-1.91)</t>
  </si>
  <si>
    <t>P(z&lt;=1.39)-P(z&lt;=-0.96)</t>
  </si>
  <si>
    <t>P(z&lt;=8.22)-P(z&lt;=1.39)</t>
  </si>
  <si>
    <t>Upper Bound</t>
  </si>
  <si>
    <t>Lower Bound</t>
  </si>
  <si>
    <t>Objective</t>
  </si>
  <si>
    <t>Area Under the Curve</t>
  </si>
  <si>
    <t>Prob_Vasicek</t>
  </si>
  <si>
    <t>Probability Area</t>
  </si>
  <si>
    <t>Comm Prob</t>
  </si>
  <si>
    <t>Lower Limit</t>
  </si>
  <si>
    <t>Upper Limit</t>
  </si>
  <si>
    <t>PIT Transition Matrix Using Vasicek Formula</t>
  </si>
  <si>
    <t>X8Default</t>
  </si>
  <si>
    <t>Credit Rating States</t>
  </si>
  <si>
    <t>Row Labels</t>
  </si>
  <si>
    <t>Migration of Credit Rating from 2011 to 2012</t>
  </si>
  <si>
    <t>Migration of Credit Rating from 2016 to 2017</t>
  </si>
  <si>
    <t>Migration of Credit Rating from 2015 to 2016</t>
  </si>
  <si>
    <t>Migration of Credit Rating from 2014 to 2015</t>
  </si>
  <si>
    <t>Migration of Credit Rating from 2013 to 2014</t>
  </si>
  <si>
    <t>Migration of Credit Rating from 2012 to 2013</t>
  </si>
  <si>
    <t>One Year Average Credit Rating Tranisition Matrix</t>
  </si>
  <si>
    <t>Check</t>
  </si>
  <si>
    <t>How to build PIT PD Transition Matrix for Multistate Credit Rating rather than just two states D and ND</t>
  </si>
  <si>
    <t>Convert PIT PD Transition Matrix into forward looking PIT Matrix using Vasicek's formula</t>
  </si>
  <si>
    <t>Derive Z and Rho 's values (used in Vasicek model) using historical PIT PD for an year and TTC PD overs years, and finally this historical Z can be regressed with macroeconomic parameters for forecasting values (To 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</si>
</sst>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B05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92D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E823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2" fillId="2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3" borderId="1" xfId="0" applyFill="1" applyBorder="1"/>
    <xf numFmtId="0" fontId="0" fillId="3" borderId="13" xfId="0" applyFill="1" applyBorder="1"/>
    <xf numFmtId="0" fontId="0" fillId="3" borderId="14" xfId="0" applyFill="1" applyBorder="1"/>
    <xf numFmtId="0" fontId="2" fillId="0" borderId="11" xfId="0" applyFont="1" applyBorder="1"/>
    <xf numFmtId="0" fontId="2" fillId="0" borderId="12" xfId="0" applyFont="1" applyBorder="1"/>
    <xf numFmtId="10" fontId="0" fillId="0" borderId="0" xfId="1" applyNumberFormat="1" applyFont="1" applyBorder="1"/>
    <xf numFmtId="10" fontId="0" fillId="0" borderId="6" xfId="1" applyNumberFormat="1" applyFont="1" applyBorder="1"/>
    <xf numFmtId="10" fontId="0" fillId="0" borderId="9" xfId="1" applyNumberFormat="1" applyFont="1" applyBorder="1"/>
    <xf numFmtId="0" fontId="2" fillId="0" borderId="1" xfId="0" applyFont="1" applyBorder="1"/>
    <xf numFmtId="9" fontId="0" fillId="0" borderId="0" xfId="0" applyNumberFormat="1"/>
    <xf numFmtId="10" fontId="0" fillId="0" borderId="0" xfId="1" applyNumberFormat="1" applyFont="1"/>
    <xf numFmtId="0" fontId="0" fillId="2" borderId="1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5" borderId="14" xfId="0" applyFill="1" applyBorder="1"/>
    <xf numFmtId="0" fontId="0" fillId="3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7" xfId="1" applyNumberFormat="1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0" fontId="0" fillId="2" borderId="14" xfId="0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4" borderId="5" xfId="0" applyFill="1" applyBorder="1"/>
    <xf numFmtId="0" fontId="0" fillId="4" borderId="7" xfId="0" applyFill="1" applyBorder="1"/>
    <xf numFmtId="0" fontId="0" fillId="4" borderId="6" xfId="0" applyFill="1" applyBorder="1"/>
    <xf numFmtId="0" fontId="0" fillId="4" borderId="9" xfId="0" applyFill="1" applyBorder="1"/>
    <xf numFmtId="10" fontId="0" fillId="6" borderId="0" xfId="1" applyNumberFormat="1" applyFont="1" applyFill="1" applyBorder="1"/>
    <xf numFmtId="10" fontId="0" fillId="6" borderId="9" xfId="1" applyNumberFormat="1" applyFont="1" applyFill="1" applyBorder="1"/>
    <xf numFmtId="10" fontId="5" fillId="0" borderId="0" xfId="1" applyNumberFormat="1" applyFont="1" applyBorder="1"/>
    <xf numFmtId="10" fontId="5" fillId="0" borderId="8" xfId="1" applyNumberFormat="1" applyFont="1" applyBorder="1"/>
    <xf numFmtId="10" fontId="5" fillId="0" borderId="6" xfId="1" applyNumberFormat="1" applyFont="1" applyBorder="1"/>
    <xf numFmtId="0" fontId="6" fillId="7" borderId="1" xfId="0" applyFont="1" applyFill="1" applyBorder="1" applyAlignment="1">
      <alignment wrapText="1"/>
    </xf>
    <xf numFmtId="0" fontId="0" fillId="2" borderId="15" xfId="0" applyFill="1" applyBorder="1"/>
    <xf numFmtId="0" fontId="0" fillId="2" borderId="13" xfId="0" applyFill="1" applyBorder="1"/>
    <xf numFmtId="0" fontId="0" fillId="0" borderId="1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2" xfId="0" pivotButton="1" applyBorder="1"/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pivotButton="1" applyBorder="1"/>
    <xf numFmtId="0" fontId="0" fillId="2" borderId="10" xfId="0" applyFill="1" applyBorder="1" applyAlignment="1">
      <alignment horizontal="center" vertical="center"/>
    </xf>
    <xf numFmtId="0" fontId="0" fillId="0" borderId="15" xfId="0" pivotButton="1" applyBorder="1"/>
    <xf numFmtId="0" fontId="0" fillId="2" borderId="4" xfId="0" applyFill="1" applyBorder="1" applyAlignment="1">
      <alignment horizontal="center" vertical="center"/>
    </xf>
    <xf numFmtId="0" fontId="0" fillId="0" borderId="10" xfId="0" pivotButton="1" applyBorder="1"/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0" fontId="0" fillId="2" borderId="3" xfId="0" applyFill="1" applyBorder="1" applyAlignment="1">
      <alignment horizontal="center" vertical="center"/>
    </xf>
    <xf numFmtId="0" fontId="2" fillId="5" borderId="15" xfId="0" applyFont="1" applyFill="1" applyBorder="1"/>
    <xf numFmtId="0" fontId="0" fillId="5" borderId="13" xfId="0" applyFill="1" applyBorder="1"/>
    <xf numFmtId="0" fontId="0" fillId="5" borderId="15" xfId="0" applyFill="1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0" fontId="0" fillId="0" borderId="0" xfId="0" applyNumberFormat="1"/>
    <xf numFmtId="10" fontId="0" fillId="6" borderId="2" xfId="1" applyNumberFormat="1" applyFont="1" applyFill="1" applyBorder="1"/>
    <xf numFmtId="10" fontId="0" fillId="0" borderId="3" xfId="1" applyNumberFormat="1" applyFont="1" applyFill="1" applyBorder="1"/>
    <xf numFmtId="10" fontId="0" fillId="0" borderId="4" xfId="1" applyNumberFormat="1" applyFont="1" applyFill="1" applyBorder="1"/>
    <xf numFmtId="10" fontId="0" fillId="0" borderId="5" xfId="1" applyNumberFormat="1" applyFont="1" applyFill="1" applyBorder="1"/>
    <xf numFmtId="10" fontId="0" fillId="0" borderId="0" xfId="1" applyNumberFormat="1" applyFont="1" applyFill="1" applyBorder="1"/>
    <xf numFmtId="10" fontId="0" fillId="0" borderId="6" xfId="1" applyNumberFormat="1" applyFont="1" applyFill="1" applyBorder="1"/>
    <xf numFmtId="10" fontId="8" fillId="0" borderId="5" xfId="1" applyNumberFormat="1" applyFont="1" applyFill="1" applyBorder="1"/>
    <xf numFmtId="10" fontId="8" fillId="0" borderId="7" xfId="1" applyNumberFormat="1" applyFont="1" applyFill="1" applyBorder="1"/>
    <xf numFmtId="10" fontId="8" fillId="0" borderId="8" xfId="1" applyNumberFormat="1" applyFont="1" applyFill="1" applyBorder="1"/>
    <xf numFmtId="0" fontId="2" fillId="0" borderId="0" xfId="0" applyFont="1" applyAlignment="1">
      <alignment horizontal="center" vertical="center"/>
    </xf>
    <xf numFmtId="0" fontId="3" fillId="8" borderId="1" xfId="0" applyFont="1" applyFill="1" applyBorder="1"/>
    <xf numFmtId="0" fontId="3" fillId="9" borderId="1" xfId="0" applyFont="1" applyFill="1" applyBorder="1"/>
    <xf numFmtId="0" fontId="2" fillId="0" borderId="6" xfId="0" applyFont="1" applyBorder="1"/>
    <xf numFmtId="0" fontId="0" fillId="3" borderId="7" xfId="0" applyFill="1" applyBorder="1"/>
    <xf numFmtId="0" fontId="0" fillId="3" borderId="8" xfId="0" applyFill="1" applyBorder="1"/>
    <xf numFmtId="0" fontId="3" fillId="9" borderId="1" xfId="0" applyFont="1" applyFill="1" applyBorder="1" applyAlignment="1">
      <alignment vertical="center"/>
    </xf>
    <xf numFmtId="0" fontId="0" fillId="5" borderId="1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Border="1"/>
    <xf numFmtId="0" fontId="2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4"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alignment vertical="center"/>
    </dxf>
    <dxf>
      <alignment horizontal="center"/>
    </dxf>
    <dxf>
      <fill>
        <patternFill>
          <bgColor rgb="FFFFC0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horizontal="center"/>
    </dxf>
    <dxf>
      <fill>
        <patternFill>
          <bgColor rgb="FFFFC0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FFC000"/>
        </patternFill>
      </fill>
    </dxf>
    <dxf>
      <alignment horizont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rgb="FFFFC000"/>
        </patternFill>
      </fill>
      <alignment horizontal="center" vertical="center"/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rgb="FFFFC000"/>
        </patternFill>
      </fill>
      <alignment horizontal="center"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horizontal="center"/>
    </dxf>
    <dxf>
      <fill>
        <patternFill>
          <bgColor rgb="FFFFC0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alignment vertical="center"/>
    </dxf>
    <dxf>
      <alignment horizontal="center"/>
    </dxf>
    <dxf>
      <fill>
        <patternFill>
          <bgColor rgb="FFFFC0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colors>
    <mruColors>
      <color rgb="FF2E823A"/>
      <color rgb="FF2A98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181707</xdr:colOff>
      <xdr:row>2</xdr:row>
      <xdr:rowOff>70339</xdr:rowOff>
    </xdr:from>
    <xdr:to>
      <xdr:col>9</xdr:col>
      <xdr:colOff>246185</xdr:colOff>
      <xdr:row>2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F8953FA-FB06-FDFC-3502-347A63B40CDD}"/>
            </a:ext>
          </a:extLst>
        </xdr:cNvPr>
        <xdr:cNvCxnSpPr/>
      </xdr:nvCxnSpPr>
      <xdr:spPr>
        <a:xfrm>
          <a:off x="2549769" y="445477"/>
          <a:ext cx="4402016" cy="58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586154</xdr:colOff>
      <xdr:row>1</xdr:row>
      <xdr:rowOff>17583</xdr:rowOff>
    </xdr:from>
    <xdr:to>
      <xdr:col>8</xdr:col>
      <xdr:colOff>211016</xdr:colOff>
      <xdr:row>2</xdr:row>
      <xdr:rowOff>46892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03F424-0E35-A818-5730-4F0F918C0A03}"/>
            </a:ext>
          </a:extLst>
        </xdr:cNvPr>
        <xdr:cNvSpPr txBox="1"/>
      </xdr:nvSpPr>
      <xdr:spPr>
        <a:xfrm>
          <a:off x="3821723" y="199291"/>
          <a:ext cx="2227385" cy="2227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Decrease in Credit Quality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899" refreshedDate="45995.60352650463" createdVersion="8" refreshedVersion="8" minRefreshableVersion="3" recordCount="1757" xr:uid="{E142F1A8-B243-477F-BF73-BFC75EDFD236}">
  <cacheSource type="worksheet">
    <worksheetSource ref="B2:O1759" sheet="Rating-Data"/>
  </cacheSource>
  <cacheFields count="14">
    <cacheField name="Borrower Code" numFmtId="0">
      <sharedItems containsSemiMixedTypes="0" containsString="0" containsNumber="1" containsInteger="1" minValue="1" maxValue="5188"/>
    </cacheField>
    <cacheField name="Zone" numFmtId="0">
      <sharedItems/>
    </cacheField>
    <cacheField name="Zone_Name" numFmtId="0">
      <sharedItems/>
    </cacheField>
    <cacheField name="State Territory" numFmtId="0">
      <sharedItems/>
    </cacheField>
    <cacheField name="State_Code" numFmtId="0">
      <sharedItems containsSemiMixedTypes="0" containsString="0" containsNumber="1" containsInteger="1" minValue="1" maxValue="14"/>
    </cacheField>
    <cacheField name="Industry_Name" numFmtId="0">
      <sharedItems count="18">
        <s v="Food &amp; Pdcts"/>
        <s v="Engineering"/>
        <s v="Auto"/>
        <s v="Construction"/>
        <s v="Textiles"/>
        <s v="Plastic &amp; Pdcts"/>
        <s v="Paper &amp; Pdcts"/>
        <s v="Chemical"/>
        <s v="Services"/>
        <s v="Rubber &amp; Pdcts"/>
        <s v="Iron &amp; Steel"/>
        <s v="Cement"/>
        <s v="Leather"/>
        <s v="Sugar"/>
        <s v="Diamond"/>
        <s v="IT"/>
        <s v="Other"/>
        <s v="Power"/>
      </sharedItems>
    </cacheField>
    <cacheField name="Industry Code" numFmtId="0">
      <sharedItems containsString="0" containsBlank="1" containsNumber="1" containsInteger="1" minValue="1" maxValue="18" count="19">
        <m/>
        <n v="6"/>
        <n v="1"/>
        <n v="4"/>
        <n v="18"/>
        <n v="7"/>
        <n v="13"/>
        <n v="12"/>
        <n v="3"/>
        <n v="16"/>
        <n v="15"/>
        <n v="8"/>
        <n v="2"/>
        <n v="10"/>
        <n v="17"/>
        <n v="5"/>
        <n v="9"/>
        <n v="11"/>
        <n v="14"/>
      </sharedItems>
    </cacheField>
    <cacheField name="2011" numFmtId="0">
      <sharedItems containsBlank="1" count="8">
        <m/>
        <s v="X3"/>
        <s v="X1"/>
        <s v="X7"/>
        <s v="X4"/>
        <s v="X2"/>
        <s v="X5"/>
        <s v="X6"/>
      </sharedItems>
    </cacheField>
    <cacheField name="2012" numFmtId="0">
      <sharedItems containsBlank="1" count="9">
        <m/>
        <s v="X2"/>
        <s v="X4"/>
        <s v="X1"/>
        <s v="X3"/>
        <s v="X7"/>
        <s v="X5"/>
        <s v="X6"/>
        <s v="X8D"/>
      </sharedItems>
    </cacheField>
    <cacheField name="2013" numFmtId="0">
      <sharedItems containsBlank="1" count="9">
        <m/>
        <s v="X1"/>
        <s v="X2"/>
        <s v="X6"/>
        <s v="X3"/>
        <s v="X4"/>
        <s v="X8D"/>
        <s v="X5"/>
        <s v="X7"/>
      </sharedItems>
    </cacheField>
    <cacheField name="2014" numFmtId="0">
      <sharedItems containsBlank="1" count="9">
        <m/>
        <s v="X3"/>
        <s v="X1"/>
        <s v="X2"/>
        <s v="X7"/>
        <s v="X5"/>
        <s v="X8D"/>
        <s v="X4"/>
        <s v="X6"/>
      </sharedItems>
    </cacheField>
    <cacheField name="2015" numFmtId="0">
      <sharedItems containsBlank="1" count="9">
        <m/>
        <s v="X2"/>
        <s v="X3"/>
        <s v="X1"/>
        <s v="X8D"/>
        <s v="X4"/>
        <s v="X7"/>
        <s v="X5"/>
        <s v="X6"/>
      </sharedItems>
    </cacheField>
    <cacheField name="2016" numFmtId="0">
      <sharedItems containsBlank="1" count="9">
        <s v="X1"/>
        <s v="X2"/>
        <s v="X3"/>
        <m/>
        <s v="X4"/>
        <s v="X5"/>
        <s v="X6"/>
        <s v="X8D"/>
        <s v="X7"/>
      </sharedItems>
    </cacheField>
    <cacheField name="2017" numFmtId="0">
      <sharedItems containsBlank="1" count="9">
        <s v="X1"/>
        <s v="X4"/>
        <s v="X2"/>
        <m/>
        <s v="X3"/>
        <s v="X5"/>
        <s v="X8D"/>
        <s v="X7"/>
        <s v="X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7">
  <r>
    <n v="1953"/>
    <s v="NASIK REGION"/>
    <s v="NASIK"/>
    <s v="Maharashtra"/>
    <n v="8"/>
    <x v="0"/>
    <x v="0"/>
    <x v="0"/>
    <x v="0"/>
    <x v="0"/>
    <x v="0"/>
    <x v="0"/>
    <x v="0"/>
    <x v="0"/>
  </r>
  <r>
    <n v="195"/>
    <s v="PUNE CITY REGION"/>
    <s v="PUNE CITY"/>
    <s v="Maharashtra"/>
    <n v="8"/>
    <x v="1"/>
    <x v="1"/>
    <x v="0"/>
    <x v="0"/>
    <x v="0"/>
    <x v="1"/>
    <x v="1"/>
    <x v="1"/>
    <x v="1"/>
  </r>
  <r>
    <n v="153"/>
    <s v="PUNE RURAL REGION"/>
    <s v="PUNE RURAL"/>
    <s v="Maharashtra"/>
    <n v="8"/>
    <x v="2"/>
    <x v="2"/>
    <x v="0"/>
    <x v="0"/>
    <x v="1"/>
    <x v="2"/>
    <x v="2"/>
    <x v="2"/>
    <x v="0"/>
  </r>
  <r>
    <n v="3106"/>
    <s v="HYDERABAD REGION"/>
    <s v="HYDERABAD"/>
    <s v="Andhra Pradesh"/>
    <n v="1"/>
    <x v="3"/>
    <x v="3"/>
    <x v="0"/>
    <x v="0"/>
    <x v="0"/>
    <x v="0"/>
    <x v="3"/>
    <x v="2"/>
    <x v="2"/>
  </r>
  <r>
    <n v="1298"/>
    <s v="HYDERABAD REGION"/>
    <s v="HYDERABAD"/>
    <s v="Andhra Pradesh"/>
    <n v="1"/>
    <x v="3"/>
    <x v="3"/>
    <x v="0"/>
    <x v="1"/>
    <x v="2"/>
    <x v="3"/>
    <x v="1"/>
    <x v="3"/>
    <x v="3"/>
  </r>
  <r>
    <n v="582"/>
    <s v="BANGALORE REGION"/>
    <s v="BANGALORE"/>
    <s v="Karnataka"/>
    <n v="6"/>
    <x v="1"/>
    <x v="1"/>
    <x v="0"/>
    <x v="0"/>
    <x v="0"/>
    <x v="0"/>
    <x v="3"/>
    <x v="0"/>
    <x v="0"/>
  </r>
  <r>
    <n v="1038"/>
    <s v="PUNE CITY REGION"/>
    <s v="PUNE CITY"/>
    <s v="Maharashtra"/>
    <n v="8"/>
    <x v="4"/>
    <x v="4"/>
    <x v="0"/>
    <x v="0"/>
    <x v="0"/>
    <x v="3"/>
    <x v="3"/>
    <x v="1"/>
    <x v="2"/>
  </r>
  <r>
    <n v="296"/>
    <s v="NAGPUR REGION"/>
    <s v="NAGPUR"/>
    <s v="Maharashtra"/>
    <n v="8"/>
    <x v="0"/>
    <x v="5"/>
    <x v="1"/>
    <x v="2"/>
    <x v="3"/>
    <x v="4"/>
    <x v="4"/>
    <x v="3"/>
    <x v="3"/>
  </r>
  <r>
    <n v="1"/>
    <s v="KOLHAPUR REGION"/>
    <s v="KOLHAPUR"/>
    <s v="Maharashtra"/>
    <n v="8"/>
    <x v="5"/>
    <x v="6"/>
    <x v="2"/>
    <x v="3"/>
    <x v="1"/>
    <x v="2"/>
    <x v="3"/>
    <x v="0"/>
    <x v="2"/>
  </r>
  <r>
    <n v="62"/>
    <s v="PUNE CITY REGION"/>
    <s v="PUNE CITY"/>
    <s v="Maharashtra"/>
    <n v="8"/>
    <x v="6"/>
    <x v="7"/>
    <x v="1"/>
    <x v="4"/>
    <x v="4"/>
    <x v="1"/>
    <x v="5"/>
    <x v="3"/>
    <x v="3"/>
  </r>
  <r>
    <n v="4312"/>
    <s v="PUNE CITY REGION"/>
    <s v="PUNE CITY"/>
    <s v="Maharashtra"/>
    <n v="8"/>
    <x v="7"/>
    <x v="8"/>
    <x v="0"/>
    <x v="0"/>
    <x v="0"/>
    <x v="0"/>
    <x v="0"/>
    <x v="4"/>
    <x v="4"/>
  </r>
  <r>
    <n v="217"/>
    <s v="PUNE CITY REGION"/>
    <s v="PUNE CITY"/>
    <s v="Maharashtra"/>
    <n v="8"/>
    <x v="1"/>
    <x v="1"/>
    <x v="0"/>
    <x v="0"/>
    <x v="0"/>
    <x v="0"/>
    <x v="1"/>
    <x v="1"/>
    <x v="2"/>
  </r>
  <r>
    <n v="7"/>
    <s v="PUNE CITY REGION"/>
    <s v="PUNE CITY"/>
    <s v="Maharashtra"/>
    <n v="8"/>
    <x v="1"/>
    <x v="1"/>
    <x v="0"/>
    <x v="0"/>
    <x v="0"/>
    <x v="0"/>
    <x v="1"/>
    <x v="2"/>
    <x v="3"/>
  </r>
  <r>
    <n v="1491"/>
    <s v="KOLHAPUR REGION"/>
    <s v="KOLHAPUR"/>
    <s v="Maharashtra"/>
    <n v="8"/>
    <x v="7"/>
    <x v="8"/>
    <x v="0"/>
    <x v="0"/>
    <x v="0"/>
    <x v="0"/>
    <x v="1"/>
    <x v="1"/>
    <x v="2"/>
  </r>
  <r>
    <n v="266"/>
    <s v="THANE REGION"/>
    <s v="THANE"/>
    <s v="Maharashtra"/>
    <n v="8"/>
    <x v="1"/>
    <x v="1"/>
    <x v="0"/>
    <x v="0"/>
    <x v="4"/>
    <x v="2"/>
    <x v="0"/>
    <x v="3"/>
    <x v="3"/>
  </r>
  <r>
    <n v="549"/>
    <s v="AHMEDABAD  REGION"/>
    <s v="AHMEDABAD"/>
    <s v="Gujarat"/>
    <n v="5"/>
    <x v="7"/>
    <x v="8"/>
    <x v="0"/>
    <x v="0"/>
    <x v="0"/>
    <x v="0"/>
    <x v="2"/>
    <x v="2"/>
    <x v="2"/>
  </r>
  <r>
    <n v="144"/>
    <s v="MUMBAI REGION"/>
    <s v="MUMBAI"/>
    <s v="Maharashtra"/>
    <n v="8"/>
    <x v="1"/>
    <x v="1"/>
    <x v="0"/>
    <x v="0"/>
    <x v="1"/>
    <x v="2"/>
    <x v="0"/>
    <x v="3"/>
    <x v="3"/>
  </r>
  <r>
    <n v="395"/>
    <s v="KOLHAPUR REGION"/>
    <s v="KOLHAPUR"/>
    <s v="Maharashtra"/>
    <n v="8"/>
    <x v="1"/>
    <x v="1"/>
    <x v="0"/>
    <x v="0"/>
    <x v="0"/>
    <x v="0"/>
    <x v="0"/>
    <x v="0"/>
    <x v="1"/>
  </r>
  <r>
    <n v="210"/>
    <s v="PUNE CITY REGION"/>
    <s v="PUNE CITY"/>
    <s v="Maharashtra"/>
    <n v="8"/>
    <x v="1"/>
    <x v="1"/>
    <x v="2"/>
    <x v="3"/>
    <x v="0"/>
    <x v="2"/>
    <x v="3"/>
    <x v="1"/>
    <x v="3"/>
  </r>
  <r>
    <n v="208"/>
    <s v="PUNE CITY REGION"/>
    <s v="PUNE CITY"/>
    <s v="Maharashtra"/>
    <n v="8"/>
    <x v="8"/>
    <x v="9"/>
    <x v="2"/>
    <x v="3"/>
    <x v="2"/>
    <x v="2"/>
    <x v="3"/>
    <x v="0"/>
    <x v="3"/>
  </r>
  <r>
    <n v="1858"/>
    <s v="DELHI REGION"/>
    <s v="DELHI"/>
    <s v="Delhi"/>
    <n v="3"/>
    <x v="8"/>
    <x v="9"/>
    <x v="0"/>
    <x v="0"/>
    <x v="0"/>
    <x v="2"/>
    <x v="3"/>
    <x v="2"/>
    <x v="4"/>
  </r>
  <r>
    <n v="167"/>
    <s v="DELHI REGION"/>
    <s v="DELHI"/>
    <s v="Delhi"/>
    <n v="3"/>
    <x v="8"/>
    <x v="9"/>
    <x v="2"/>
    <x v="2"/>
    <x v="5"/>
    <x v="5"/>
    <x v="5"/>
    <x v="5"/>
    <x v="1"/>
  </r>
  <r>
    <n v="166"/>
    <s v="DELHI REGION"/>
    <s v="DELHI"/>
    <s v="Delhi"/>
    <n v="3"/>
    <x v="2"/>
    <x v="2"/>
    <x v="2"/>
    <x v="1"/>
    <x v="1"/>
    <x v="3"/>
    <x v="1"/>
    <x v="1"/>
    <x v="4"/>
  </r>
  <r>
    <n v="2559"/>
    <s v="NAGPUR REGION"/>
    <s v="NAGPUR"/>
    <s v="Maharashtra"/>
    <n v="8"/>
    <x v="1"/>
    <x v="1"/>
    <x v="0"/>
    <x v="0"/>
    <x v="0"/>
    <x v="0"/>
    <x v="1"/>
    <x v="1"/>
    <x v="2"/>
  </r>
  <r>
    <n v="1517"/>
    <s v="MUMBAI REGION"/>
    <s v="MUMBAI"/>
    <s v="Maharashtra"/>
    <n v="8"/>
    <x v="2"/>
    <x v="2"/>
    <x v="0"/>
    <x v="0"/>
    <x v="0"/>
    <x v="0"/>
    <x v="3"/>
    <x v="0"/>
    <x v="0"/>
  </r>
  <r>
    <n v="1720"/>
    <s v="PUNE CITY REGION"/>
    <s v="PUNE CITY"/>
    <s v="Maharashtra"/>
    <n v="8"/>
    <x v="0"/>
    <x v="5"/>
    <x v="0"/>
    <x v="0"/>
    <x v="0"/>
    <x v="0"/>
    <x v="5"/>
    <x v="5"/>
    <x v="5"/>
  </r>
  <r>
    <n v="44"/>
    <s v="THANE REGION"/>
    <s v="THANE"/>
    <s v="Maharashtra"/>
    <n v="8"/>
    <x v="8"/>
    <x v="9"/>
    <x v="0"/>
    <x v="0"/>
    <x v="0"/>
    <x v="1"/>
    <x v="5"/>
    <x v="5"/>
    <x v="6"/>
  </r>
  <r>
    <n v="778"/>
    <s v="THANE REGION"/>
    <s v="THANE"/>
    <s v="Maharashtra"/>
    <n v="8"/>
    <x v="9"/>
    <x v="10"/>
    <x v="0"/>
    <x v="0"/>
    <x v="0"/>
    <x v="0"/>
    <x v="3"/>
    <x v="0"/>
    <x v="0"/>
  </r>
  <r>
    <n v="1318"/>
    <s v="HYDERABAD REGION"/>
    <s v="HYDERABAD"/>
    <s v="Andhra Pradesh"/>
    <n v="1"/>
    <x v="7"/>
    <x v="8"/>
    <x v="0"/>
    <x v="0"/>
    <x v="0"/>
    <x v="0"/>
    <x v="6"/>
    <x v="5"/>
    <x v="5"/>
  </r>
  <r>
    <n v="2841"/>
    <s v="PUNE CITY REGION"/>
    <s v="PUNE CITY"/>
    <s v="Maharashtra"/>
    <n v="8"/>
    <x v="1"/>
    <x v="1"/>
    <x v="0"/>
    <x v="0"/>
    <x v="4"/>
    <x v="5"/>
    <x v="2"/>
    <x v="2"/>
    <x v="3"/>
  </r>
  <r>
    <n v="314"/>
    <s v="AHMEDABAD  REGION"/>
    <s v="AHMEDABAD"/>
    <s v="Gujarat"/>
    <n v="5"/>
    <x v="2"/>
    <x v="2"/>
    <x v="3"/>
    <x v="5"/>
    <x v="6"/>
    <x v="6"/>
    <x v="4"/>
    <x v="3"/>
    <x v="3"/>
  </r>
  <r>
    <n v="321"/>
    <s v="PUNE CITY REGION"/>
    <s v="PUNE CITY"/>
    <s v="Maharashtra"/>
    <n v="8"/>
    <x v="2"/>
    <x v="2"/>
    <x v="0"/>
    <x v="0"/>
    <x v="0"/>
    <x v="0"/>
    <x v="5"/>
    <x v="4"/>
    <x v="1"/>
  </r>
  <r>
    <n v="285"/>
    <s v="NAGPUR REGION"/>
    <s v="NAGPUR"/>
    <s v="Maharashtra"/>
    <n v="8"/>
    <x v="3"/>
    <x v="3"/>
    <x v="1"/>
    <x v="3"/>
    <x v="2"/>
    <x v="3"/>
    <x v="1"/>
    <x v="2"/>
    <x v="1"/>
  </r>
  <r>
    <n v="2038"/>
    <s v="NASIK REGION"/>
    <s v="NASIK"/>
    <s v="Maharashtra"/>
    <n v="8"/>
    <x v="1"/>
    <x v="1"/>
    <x v="0"/>
    <x v="0"/>
    <x v="0"/>
    <x v="0"/>
    <x v="0"/>
    <x v="4"/>
    <x v="4"/>
  </r>
  <r>
    <n v="1473"/>
    <s v="THANE REGION"/>
    <s v="THANE"/>
    <s v="Maharashtra"/>
    <n v="8"/>
    <x v="10"/>
    <x v="11"/>
    <x v="0"/>
    <x v="0"/>
    <x v="0"/>
    <x v="0"/>
    <x v="3"/>
    <x v="0"/>
    <x v="0"/>
  </r>
  <r>
    <n v="4002"/>
    <s v="PUNE CITY REGION"/>
    <s v="PUNE CITY"/>
    <s v="Maharashtra"/>
    <n v="8"/>
    <x v="11"/>
    <x v="12"/>
    <x v="0"/>
    <x v="0"/>
    <x v="0"/>
    <x v="0"/>
    <x v="1"/>
    <x v="2"/>
    <x v="4"/>
  </r>
  <r>
    <n v="94"/>
    <s v="DELHI REGION"/>
    <s v="DELHI"/>
    <s v="Delhi"/>
    <n v="3"/>
    <x v="12"/>
    <x v="13"/>
    <x v="0"/>
    <x v="1"/>
    <x v="1"/>
    <x v="2"/>
    <x v="0"/>
    <x v="3"/>
    <x v="3"/>
  </r>
  <r>
    <n v="536"/>
    <s v="AHMEDABAD  REGION"/>
    <s v="AHMEDABAD"/>
    <s v="Gujarat"/>
    <n v="5"/>
    <x v="0"/>
    <x v="5"/>
    <x v="0"/>
    <x v="3"/>
    <x v="2"/>
    <x v="2"/>
    <x v="3"/>
    <x v="3"/>
    <x v="3"/>
  </r>
  <r>
    <n v="347"/>
    <s v="MUMBAI REGION"/>
    <s v="MUMBAI"/>
    <s v="Maharashtra"/>
    <n v="8"/>
    <x v="13"/>
    <x v="14"/>
    <x v="0"/>
    <x v="0"/>
    <x v="4"/>
    <x v="3"/>
    <x v="7"/>
    <x v="4"/>
    <x v="5"/>
  </r>
  <r>
    <n v="693"/>
    <s v="MUMBAI REGION"/>
    <s v="MUMBAI"/>
    <s v="Maharashtra"/>
    <n v="8"/>
    <x v="7"/>
    <x v="8"/>
    <x v="0"/>
    <x v="0"/>
    <x v="0"/>
    <x v="7"/>
    <x v="2"/>
    <x v="2"/>
    <x v="3"/>
  </r>
  <r>
    <n v="2837"/>
    <s v="SATARA REGION"/>
    <s v="SATARA"/>
    <s v="Maharashtra"/>
    <n v="8"/>
    <x v="4"/>
    <x v="4"/>
    <x v="0"/>
    <x v="0"/>
    <x v="0"/>
    <x v="0"/>
    <x v="0"/>
    <x v="1"/>
    <x v="2"/>
  </r>
  <r>
    <n v="521"/>
    <s v="KOLHAPUR REGION"/>
    <s v="KOLHAPUR"/>
    <s v="Maharashtra"/>
    <n v="8"/>
    <x v="4"/>
    <x v="4"/>
    <x v="0"/>
    <x v="0"/>
    <x v="0"/>
    <x v="3"/>
    <x v="1"/>
    <x v="3"/>
    <x v="3"/>
  </r>
  <r>
    <n v="2369"/>
    <s v="AURANGABAD REGION"/>
    <s v="AURANGABAD"/>
    <s v="Maharashtra"/>
    <n v="8"/>
    <x v="10"/>
    <x v="11"/>
    <x v="0"/>
    <x v="0"/>
    <x v="0"/>
    <x v="2"/>
    <x v="1"/>
    <x v="1"/>
    <x v="3"/>
  </r>
  <r>
    <n v="126"/>
    <s v="KOLKATTA REGION"/>
    <s v="KOLKATA"/>
    <s v="West Bengal"/>
    <n v="14"/>
    <x v="4"/>
    <x v="4"/>
    <x v="0"/>
    <x v="1"/>
    <x v="4"/>
    <x v="2"/>
    <x v="1"/>
    <x v="1"/>
    <x v="4"/>
  </r>
  <r>
    <n v="9"/>
    <s v="MUMBAI REGION"/>
    <s v="MUMBAI"/>
    <s v="Maharashtra"/>
    <n v="8"/>
    <x v="14"/>
    <x v="15"/>
    <x v="0"/>
    <x v="0"/>
    <x v="0"/>
    <x v="0"/>
    <x v="3"/>
    <x v="0"/>
    <x v="2"/>
  </r>
  <r>
    <n v="3045"/>
    <s v="PUNE CITY REGION"/>
    <s v="PUNE CITY"/>
    <s v="Maharashtra"/>
    <n v="8"/>
    <x v="13"/>
    <x v="14"/>
    <x v="0"/>
    <x v="0"/>
    <x v="0"/>
    <x v="1"/>
    <x v="1"/>
    <x v="3"/>
    <x v="3"/>
  </r>
  <r>
    <n v="3242"/>
    <s v="PUNE RURAL REGION"/>
    <s v="PUNE RURAL"/>
    <s v="Maharashtra"/>
    <n v="8"/>
    <x v="2"/>
    <x v="2"/>
    <x v="0"/>
    <x v="0"/>
    <x v="0"/>
    <x v="0"/>
    <x v="0"/>
    <x v="1"/>
    <x v="2"/>
  </r>
  <r>
    <n v="308"/>
    <s v="PUNE CITY REGION"/>
    <s v="PUNE CITY"/>
    <s v="Maharashtra"/>
    <n v="8"/>
    <x v="1"/>
    <x v="1"/>
    <x v="0"/>
    <x v="0"/>
    <x v="0"/>
    <x v="0"/>
    <x v="1"/>
    <x v="5"/>
    <x v="7"/>
  </r>
  <r>
    <n v="691"/>
    <s v="JAIPUR REGION"/>
    <s v="JAIPUR"/>
    <s v="Rajasthan"/>
    <n v="11"/>
    <x v="2"/>
    <x v="2"/>
    <x v="0"/>
    <x v="0"/>
    <x v="0"/>
    <x v="2"/>
    <x v="3"/>
    <x v="1"/>
    <x v="4"/>
  </r>
  <r>
    <n v="629"/>
    <s v="KOLHAPUR REGION"/>
    <s v="KOLHAPUR"/>
    <s v="Maharashtra"/>
    <n v="8"/>
    <x v="3"/>
    <x v="3"/>
    <x v="0"/>
    <x v="0"/>
    <x v="1"/>
    <x v="8"/>
    <x v="4"/>
    <x v="3"/>
    <x v="3"/>
  </r>
  <r>
    <n v="1"/>
    <s v="NASIK REGION"/>
    <s v="NASIK"/>
    <s v="Maharashtra"/>
    <n v="8"/>
    <x v="0"/>
    <x v="5"/>
    <x v="4"/>
    <x v="3"/>
    <x v="1"/>
    <x v="2"/>
    <x v="3"/>
    <x v="1"/>
    <x v="4"/>
  </r>
  <r>
    <n v="45"/>
    <s v="PUNE CITY REGION"/>
    <s v="PUNE CITY"/>
    <s v="Maharashtra"/>
    <n v="8"/>
    <x v="0"/>
    <x v="5"/>
    <x v="2"/>
    <x v="3"/>
    <x v="1"/>
    <x v="2"/>
    <x v="1"/>
    <x v="0"/>
    <x v="0"/>
  </r>
  <r>
    <n v="581"/>
    <s v="DELHI REGION"/>
    <s v="DELHI"/>
    <s v="Delhi"/>
    <n v="3"/>
    <x v="4"/>
    <x v="4"/>
    <x v="0"/>
    <x v="0"/>
    <x v="4"/>
    <x v="3"/>
    <x v="8"/>
    <x v="6"/>
    <x v="3"/>
  </r>
  <r>
    <n v="22"/>
    <s v="MUMBAI REGION"/>
    <s v="MUMBAI"/>
    <s v="Maharashtra"/>
    <n v="8"/>
    <x v="2"/>
    <x v="2"/>
    <x v="2"/>
    <x v="1"/>
    <x v="2"/>
    <x v="2"/>
    <x v="0"/>
    <x v="7"/>
    <x v="3"/>
  </r>
  <r>
    <n v="1232"/>
    <s v="KOLKATTA REGION"/>
    <s v="KOLKATA"/>
    <s v="West Bengal"/>
    <n v="14"/>
    <x v="10"/>
    <x v="11"/>
    <x v="0"/>
    <x v="0"/>
    <x v="0"/>
    <x v="0"/>
    <x v="0"/>
    <x v="1"/>
    <x v="2"/>
  </r>
  <r>
    <n v="183"/>
    <s v="MUMBAI REGION"/>
    <s v="MUMBAI"/>
    <s v="Maharashtra"/>
    <n v="8"/>
    <x v="1"/>
    <x v="1"/>
    <x v="0"/>
    <x v="3"/>
    <x v="1"/>
    <x v="2"/>
    <x v="3"/>
    <x v="1"/>
    <x v="4"/>
  </r>
  <r>
    <n v="78"/>
    <s v="MUMBAI REGION"/>
    <s v="MUMBAI"/>
    <s v="Maharashtra"/>
    <n v="8"/>
    <x v="7"/>
    <x v="8"/>
    <x v="0"/>
    <x v="0"/>
    <x v="0"/>
    <x v="5"/>
    <x v="7"/>
    <x v="3"/>
    <x v="3"/>
  </r>
  <r>
    <n v="646"/>
    <s v="THANE REGION"/>
    <s v="THANE"/>
    <s v="Maharashtra"/>
    <n v="8"/>
    <x v="14"/>
    <x v="15"/>
    <x v="2"/>
    <x v="4"/>
    <x v="4"/>
    <x v="7"/>
    <x v="7"/>
    <x v="6"/>
    <x v="7"/>
  </r>
  <r>
    <n v="3"/>
    <s v="MUMBAI REGION"/>
    <s v="MUMBAI"/>
    <s v="Maharashtra"/>
    <n v="8"/>
    <x v="1"/>
    <x v="1"/>
    <x v="0"/>
    <x v="0"/>
    <x v="0"/>
    <x v="0"/>
    <x v="0"/>
    <x v="1"/>
    <x v="2"/>
  </r>
  <r>
    <n v="46"/>
    <s v="NASIK REGION"/>
    <s v="NASIK"/>
    <s v="Maharashtra"/>
    <n v="8"/>
    <x v="12"/>
    <x v="13"/>
    <x v="0"/>
    <x v="0"/>
    <x v="2"/>
    <x v="3"/>
    <x v="1"/>
    <x v="1"/>
    <x v="3"/>
  </r>
  <r>
    <n v="1193"/>
    <s v="HYDERABAD REGION"/>
    <s v="HYDERABAD"/>
    <s v="Andhra Pradesh"/>
    <n v="1"/>
    <x v="5"/>
    <x v="6"/>
    <x v="0"/>
    <x v="0"/>
    <x v="0"/>
    <x v="1"/>
    <x v="1"/>
    <x v="0"/>
    <x v="4"/>
  </r>
  <r>
    <n v="752"/>
    <s v="JAIPUR REGION"/>
    <s v="JAIPUR"/>
    <s v="Rajasthan"/>
    <n v="11"/>
    <x v="3"/>
    <x v="3"/>
    <x v="0"/>
    <x v="0"/>
    <x v="0"/>
    <x v="0"/>
    <x v="0"/>
    <x v="1"/>
    <x v="2"/>
  </r>
  <r>
    <n v="142"/>
    <s v="DELHI REGION"/>
    <s v="DELHI"/>
    <s v="Delhi"/>
    <n v="3"/>
    <x v="0"/>
    <x v="5"/>
    <x v="0"/>
    <x v="0"/>
    <x v="0"/>
    <x v="0"/>
    <x v="0"/>
    <x v="1"/>
    <x v="2"/>
  </r>
  <r>
    <n v="1624"/>
    <s v="PUNE CITY REGION"/>
    <s v="PUNE CITY"/>
    <s v="Maharashtra"/>
    <n v="8"/>
    <x v="2"/>
    <x v="2"/>
    <x v="2"/>
    <x v="3"/>
    <x v="0"/>
    <x v="3"/>
    <x v="1"/>
    <x v="3"/>
    <x v="3"/>
  </r>
  <r>
    <n v="346"/>
    <s v="MUMBAI REGION"/>
    <s v="MUMBAI"/>
    <s v="Maharashtra"/>
    <n v="8"/>
    <x v="13"/>
    <x v="14"/>
    <x v="0"/>
    <x v="1"/>
    <x v="4"/>
    <x v="3"/>
    <x v="2"/>
    <x v="0"/>
    <x v="0"/>
  </r>
  <r>
    <n v="876"/>
    <s v="DELHI REGION"/>
    <s v="DELHI"/>
    <s v="Delhi"/>
    <n v="3"/>
    <x v="10"/>
    <x v="11"/>
    <x v="0"/>
    <x v="0"/>
    <x v="0"/>
    <x v="0"/>
    <x v="1"/>
    <x v="0"/>
    <x v="1"/>
  </r>
  <r>
    <n v="697"/>
    <s v="DELHI REGION"/>
    <s v="DELHI"/>
    <s v="Delhi"/>
    <n v="3"/>
    <x v="7"/>
    <x v="8"/>
    <x v="0"/>
    <x v="0"/>
    <x v="0"/>
    <x v="1"/>
    <x v="1"/>
    <x v="1"/>
    <x v="4"/>
  </r>
  <r>
    <n v="309"/>
    <s v="MUMBAI REGION"/>
    <s v="MUMBAI"/>
    <s v="Maharashtra"/>
    <n v="8"/>
    <x v="2"/>
    <x v="2"/>
    <x v="0"/>
    <x v="1"/>
    <x v="1"/>
    <x v="3"/>
    <x v="3"/>
    <x v="1"/>
    <x v="1"/>
  </r>
  <r>
    <n v="800"/>
    <s v="RATNAGIRI REGION"/>
    <s v="RATNAGIRI"/>
    <s v="Maharashtra"/>
    <n v="8"/>
    <x v="2"/>
    <x v="2"/>
    <x v="0"/>
    <x v="0"/>
    <x v="0"/>
    <x v="2"/>
    <x v="3"/>
    <x v="0"/>
    <x v="2"/>
  </r>
  <r>
    <n v="415"/>
    <s v="MUMBAI REGION"/>
    <s v="MUMBAI"/>
    <s v="Maharashtra"/>
    <n v="8"/>
    <x v="4"/>
    <x v="4"/>
    <x v="0"/>
    <x v="0"/>
    <x v="0"/>
    <x v="7"/>
    <x v="1"/>
    <x v="3"/>
    <x v="3"/>
  </r>
  <r>
    <n v="1773"/>
    <s v="PUNE CITY REGION"/>
    <s v="PUNE CITY"/>
    <s v="Maharashtra"/>
    <n v="8"/>
    <x v="11"/>
    <x v="12"/>
    <x v="0"/>
    <x v="0"/>
    <x v="0"/>
    <x v="1"/>
    <x v="5"/>
    <x v="4"/>
    <x v="2"/>
  </r>
  <r>
    <n v="6"/>
    <s v="MUMBAI REGION"/>
    <s v="MUMBAI"/>
    <s v="Maharashtra"/>
    <n v="8"/>
    <x v="10"/>
    <x v="11"/>
    <x v="2"/>
    <x v="1"/>
    <x v="4"/>
    <x v="3"/>
    <x v="2"/>
    <x v="2"/>
    <x v="4"/>
  </r>
  <r>
    <n v="72"/>
    <s v="MUMBAI REGION"/>
    <s v="MUMBAI"/>
    <s v="Maharashtra"/>
    <n v="8"/>
    <x v="1"/>
    <x v="1"/>
    <x v="0"/>
    <x v="0"/>
    <x v="0"/>
    <x v="7"/>
    <x v="7"/>
    <x v="3"/>
    <x v="3"/>
  </r>
  <r>
    <n v="719"/>
    <s v="MUMBAI REGION"/>
    <s v="MUMBAI"/>
    <s v="Maharashtra"/>
    <n v="8"/>
    <x v="2"/>
    <x v="2"/>
    <x v="0"/>
    <x v="0"/>
    <x v="1"/>
    <x v="3"/>
    <x v="1"/>
    <x v="0"/>
    <x v="0"/>
  </r>
  <r>
    <n v="1800"/>
    <s v="LATUR REGION"/>
    <s v="LATUR"/>
    <s v="Maharashtra"/>
    <n v="8"/>
    <x v="4"/>
    <x v="4"/>
    <x v="0"/>
    <x v="3"/>
    <x v="1"/>
    <x v="2"/>
    <x v="2"/>
    <x v="1"/>
    <x v="0"/>
  </r>
  <r>
    <n v="432"/>
    <s v="DELHI REGION"/>
    <s v="DELHI"/>
    <s v="Delhi"/>
    <n v="3"/>
    <x v="9"/>
    <x v="10"/>
    <x v="0"/>
    <x v="0"/>
    <x v="0"/>
    <x v="0"/>
    <x v="1"/>
    <x v="2"/>
    <x v="4"/>
  </r>
  <r>
    <n v="669"/>
    <s v="KOLKATTA REGION"/>
    <s v="KOLKATA"/>
    <s v="West Bengal"/>
    <n v="14"/>
    <x v="3"/>
    <x v="3"/>
    <x v="0"/>
    <x v="0"/>
    <x v="0"/>
    <x v="1"/>
    <x v="1"/>
    <x v="1"/>
    <x v="1"/>
  </r>
  <r>
    <n v="14"/>
    <s v="INDORE REGION"/>
    <s v="INDORE"/>
    <s v="Madhya Pradesh"/>
    <n v="7"/>
    <x v="11"/>
    <x v="12"/>
    <x v="0"/>
    <x v="0"/>
    <x v="1"/>
    <x v="2"/>
    <x v="3"/>
    <x v="0"/>
    <x v="0"/>
  </r>
  <r>
    <n v="303"/>
    <s v="CHANDIGARH REGION"/>
    <s v="CHANDIGARH"/>
    <s v="Punjab&amp;Haryana"/>
    <n v="10"/>
    <x v="8"/>
    <x v="9"/>
    <x v="2"/>
    <x v="4"/>
    <x v="0"/>
    <x v="0"/>
    <x v="0"/>
    <x v="3"/>
    <x v="3"/>
  </r>
  <r>
    <n v="9"/>
    <s v="MUMBAI REGION"/>
    <s v="MUMBAI"/>
    <s v="Maharashtra"/>
    <n v="8"/>
    <x v="0"/>
    <x v="5"/>
    <x v="5"/>
    <x v="4"/>
    <x v="2"/>
    <x v="2"/>
    <x v="3"/>
    <x v="3"/>
    <x v="3"/>
  </r>
  <r>
    <n v="2873"/>
    <s v="PUNE RURAL REGION"/>
    <s v="PUNE RURAL"/>
    <s v="Maharashtra"/>
    <n v="8"/>
    <x v="10"/>
    <x v="11"/>
    <x v="0"/>
    <x v="0"/>
    <x v="0"/>
    <x v="0"/>
    <x v="2"/>
    <x v="2"/>
    <x v="4"/>
  </r>
  <r>
    <n v="547"/>
    <s v="NASIK REGION"/>
    <s v="NASIK"/>
    <s v="Maharashtra"/>
    <n v="8"/>
    <x v="10"/>
    <x v="11"/>
    <x v="0"/>
    <x v="0"/>
    <x v="0"/>
    <x v="1"/>
    <x v="3"/>
    <x v="3"/>
    <x v="3"/>
  </r>
  <r>
    <n v="1213"/>
    <s v="NASIK REGION"/>
    <s v="NASIK"/>
    <s v="Maharashtra"/>
    <n v="8"/>
    <x v="2"/>
    <x v="2"/>
    <x v="0"/>
    <x v="0"/>
    <x v="1"/>
    <x v="2"/>
    <x v="3"/>
    <x v="0"/>
    <x v="0"/>
  </r>
  <r>
    <n v="1093"/>
    <s v="NAGPUR REGION"/>
    <s v="NAGPUR"/>
    <s v="Maharashtra"/>
    <n v="8"/>
    <x v="2"/>
    <x v="2"/>
    <x v="0"/>
    <x v="0"/>
    <x v="2"/>
    <x v="1"/>
    <x v="5"/>
    <x v="3"/>
    <x v="3"/>
  </r>
  <r>
    <n v="3925"/>
    <s v="PUNE CITY REGION"/>
    <s v="PUNE CITY"/>
    <s v="Maharashtra"/>
    <n v="8"/>
    <x v="2"/>
    <x v="2"/>
    <x v="0"/>
    <x v="0"/>
    <x v="0"/>
    <x v="0"/>
    <x v="3"/>
    <x v="1"/>
    <x v="0"/>
  </r>
  <r>
    <n v="1"/>
    <s v="NASIK REGION"/>
    <s v="NASIK"/>
    <s v="Maharashtra"/>
    <n v="8"/>
    <x v="11"/>
    <x v="12"/>
    <x v="1"/>
    <x v="1"/>
    <x v="7"/>
    <x v="0"/>
    <x v="0"/>
    <x v="3"/>
    <x v="3"/>
  </r>
  <r>
    <n v="1416"/>
    <s v="JALGAON  REGION"/>
    <s v="JALGAON"/>
    <s v="Maharashtra"/>
    <n v="8"/>
    <x v="0"/>
    <x v="5"/>
    <x v="0"/>
    <x v="0"/>
    <x v="0"/>
    <x v="0"/>
    <x v="2"/>
    <x v="2"/>
    <x v="4"/>
  </r>
  <r>
    <n v="444"/>
    <s v="PUNE CITY REGION"/>
    <s v="PUNE CITY"/>
    <s v="Maharashtra"/>
    <n v="8"/>
    <x v="8"/>
    <x v="9"/>
    <x v="2"/>
    <x v="3"/>
    <x v="1"/>
    <x v="3"/>
    <x v="1"/>
    <x v="1"/>
    <x v="2"/>
  </r>
  <r>
    <n v="600"/>
    <s v="CHENNAI REGION"/>
    <s v="CHENNAI"/>
    <s v="Tamil Nadu"/>
    <n v="12"/>
    <x v="15"/>
    <x v="16"/>
    <x v="0"/>
    <x v="0"/>
    <x v="0"/>
    <x v="2"/>
    <x v="3"/>
    <x v="0"/>
    <x v="3"/>
  </r>
  <r>
    <n v="355"/>
    <s v="AHMEDABAD  REGION"/>
    <s v="AHMEDABAD"/>
    <s v="Gujarat"/>
    <n v="5"/>
    <x v="15"/>
    <x v="16"/>
    <x v="0"/>
    <x v="0"/>
    <x v="0"/>
    <x v="2"/>
    <x v="3"/>
    <x v="1"/>
    <x v="3"/>
  </r>
  <r>
    <n v="3"/>
    <s v="CHENNAI REGION"/>
    <s v="CHENNAI"/>
    <s v="Tamil Nadu"/>
    <n v="12"/>
    <x v="2"/>
    <x v="2"/>
    <x v="5"/>
    <x v="1"/>
    <x v="4"/>
    <x v="1"/>
    <x v="2"/>
    <x v="3"/>
    <x v="3"/>
  </r>
  <r>
    <n v="239"/>
    <s v="MUMBAI REGION"/>
    <s v="MUMBAI"/>
    <s v="Maharashtra"/>
    <n v="8"/>
    <x v="1"/>
    <x v="1"/>
    <x v="0"/>
    <x v="0"/>
    <x v="4"/>
    <x v="3"/>
    <x v="2"/>
    <x v="2"/>
    <x v="3"/>
  </r>
  <r>
    <n v="47"/>
    <s v="AURANGABAD REGION"/>
    <s v="AURANGABAD"/>
    <s v="Maharashtra"/>
    <n v="8"/>
    <x v="0"/>
    <x v="5"/>
    <x v="2"/>
    <x v="1"/>
    <x v="1"/>
    <x v="2"/>
    <x v="1"/>
    <x v="5"/>
    <x v="1"/>
  </r>
  <r>
    <n v="107"/>
    <s v="PUNE CITY REGION"/>
    <s v="PUNE CITY"/>
    <s v="Maharashtra"/>
    <n v="8"/>
    <x v="2"/>
    <x v="2"/>
    <x v="5"/>
    <x v="3"/>
    <x v="1"/>
    <x v="2"/>
    <x v="1"/>
    <x v="0"/>
    <x v="0"/>
  </r>
  <r>
    <n v="8"/>
    <s v="HYDERABAD REGION"/>
    <s v="HYDERABAD"/>
    <s v="Andhra Pradesh"/>
    <n v="1"/>
    <x v="6"/>
    <x v="7"/>
    <x v="0"/>
    <x v="0"/>
    <x v="0"/>
    <x v="0"/>
    <x v="3"/>
    <x v="0"/>
    <x v="0"/>
  </r>
  <r>
    <n v="362"/>
    <s v="DELHI REGION"/>
    <s v="DELHI"/>
    <s v="Delhi"/>
    <n v="3"/>
    <x v="16"/>
    <x v="17"/>
    <x v="0"/>
    <x v="0"/>
    <x v="0"/>
    <x v="2"/>
    <x v="1"/>
    <x v="1"/>
    <x v="2"/>
  </r>
  <r>
    <n v="1219"/>
    <s v="AHMEDABAD  REGION"/>
    <s v="AHMEDABAD"/>
    <s v="Gujarat"/>
    <n v="5"/>
    <x v="16"/>
    <x v="17"/>
    <x v="0"/>
    <x v="0"/>
    <x v="0"/>
    <x v="0"/>
    <x v="0"/>
    <x v="0"/>
    <x v="2"/>
  </r>
  <r>
    <n v="313"/>
    <s v="MUMBAI REGION"/>
    <s v="MUMBAI"/>
    <s v="Maharashtra"/>
    <n v="8"/>
    <x v="6"/>
    <x v="7"/>
    <x v="0"/>
    <x v="0"/>
    <x v="0"/>
    <x v="0"/>
    <x v="1"/>
    <x v="1"/>
    <x v="3"/>
  </r>
  <r>
    <n v="836"/>
    <s v="HYDERABAD REGION"/>
    <s v="HYDERABAD"/>
    <s v="Andhra Pradesh"/>
    <n v="1"/>
    <x v="6"/>
    <x v="7"/>
    <x v="1"/>
    <x v="4"/>
    <x v="2"/>
    <x v="3"/>
    <x v="1"/>
    <x v="0"/>
    <x v="2"/>
  </r>
  <r>
    <n v="88"/>
    <s v="THANE REGION"/>
    <s v="THANE"/>
    <s v="Maharashtra"/>
    <n v="8"/>
    <x v="11"/>
    <x v="12"/>
    <x v="5"/>
    <x v="3"/>
    <x v="2"/>
    <x v="2"/>
    <x v="1"/>
    <x v="1"/>
    <x v="4"/>
  </r>
  <r>
    <n v="12"/>
    <s v="HYDERABAD REGION"/>
    <s v="HYDERABAD"/>
    <s v="Andhra Pradesh"/>
    <n v="1"/>
    <x v="2"/>
    <x v="2"/>
    <x v="0"/>
    <x v="0"/>
    <x v="0"/>
    <x v="0"/>
    <x v="1"/>
    <x v="4"/>
    <x v="1"/>
  </r>
  <r>
    <n v="16"/>
    <s v="HYDERABAD REGION"/>
    <s v="HYDERABAD"/>
    <s v="Andhra Pradesh"/>
    <n v="1"/>
    <x v="10"/>
    <x v="11"/>
    <x v="2"/>
    <x v="3"/>
    <x v="4"/>
    <x v="2"/>
    <x v="2"/>
    <x v="1"/>
    <x v="2"/>
  </r>
  <r>
    <n v="1416"/>
    <s v="HYDERABAD REGION"/>
    <s v="HYDERABAD"/>
    <s v="Andhra Pradesh"/>
    <n v="1"/>
    <x v="1"/>
    <x v="1"/>
    <x v="0"/>
    <x v="0"/>
    <x v="1"/>
    <x v="2"/>
    <x v="3"/>
    <x v="0"/>
    <x v="2"/>
  </r>
  <r>
    <n v="32"/>
    <s v="MUMBAI REGION"/>
    <s v="MUMBAI"/>
    <s v="Maharashtra"/>
    <n v="8"/>
    <x v="7"/>
    <x v="8"/>
    <x v="1"/>
    <x v="3"/>
    <x v="1"/>
    <x v="2"/>
    <x v="3"/>
    <x v="0"/>
    <x v="3"/>
  </r>
  <r>
    <n v="626"/>
    <s v="MUMBAI REGION"/>
    <s v="MUMBAI"/>
    <s v="Maharashtra"/>
    <n v="8"/>
    <x v="14"/>
    <x v="15"/>
    <x v="0"/>
    <x v="0"/>
    <x v="1"/>
    <x v="1"/>
    <x v="2"/>
    <x v="4"/>
    <x v="1"/>
  </r>
  <r>
    <n v="3107"/>
    <s v="HYDERABAD REGION"/>
    <s v="HYDERABAD"/>
    <s v="Andhra Pradesh"/>
    <n v="1"/>
    <x v="1"/>
    <x v="1"/>
    <x v="0"/>
    <x v="0"/>
    <x v="0"/>
    <x v="0"/>
    <x v="3"/>
    <x v="1"/>
    <x v="4"/>
  </r>
  <r>
    <n v="388"/>
    <s v="PUNE CITY REGION"/>
    <s v="PUNE CITY"/>
    <s v="Maharashtra"/>
    <n v="8"/>
    <x v="12"/>
    <x v="13"/>
    <x v="2"/>
    <x v="3"/>
    <x v="1"/>
    <x v="2"/>
    <x v="3"/>
    <x v="1"/>
    <x v="4"/>
  </r>
  <r>
    <n v="1531"/>
    <s v="MUMBAI REGION"/>
    <s v="MUMBAI"/>
    <s v="Maharashtra"/>
    <n v="8"/>
    <x v="5"/>
    <x v="6"/>
    <x v="0"/>
    <x v="0"/>
    <x v="0"/>
    <x v="0"/>
    <x v="5"/>
    <x v="4"/>
    <x v="2"/>
  </r>
  <r>
    <n v="217"/>
    <s v="MUMBAI REGION"/>
    <s v="MUMBAI"/>
    <s v="Maharashtra"/>
    <n v="8"/>
    <x v="3"/>
    <x v="3"/>
    <x v="2"/>
    <x v="3"/>
    <x v="1"/>
    <x v="2"/>
    <x v="3"/>
    <x v="0"/>
    <x v="0"/>
  </r>
  <r>
    <n v="309"/>
    <s v="CHENNAI REGION"/>
    <s v="CHENNAI"/>
    <s v="Tamil Nadu"/>
    <n v="12"/>
    <x v="0"/>
    <x v="5"/>
    <x v="2"/>
    <x v="3"/>
    <x v="2"/>
    <x v="2"/>
    <x v="2"/>
    <x v="2"/>
    <x v="3"/>
  </r>
  <r>
    <n v="1139"/>
    <s v="PUNE CITY REGION"/>
    <s v="PUNE CITY"/>
    <s v="Maharashtra"/>
    <n v="8"/>
    <x v="2"/>
    <x v="2"/>
    <x v="0"/>
    <x v="0"/>
    <x v="0"/>
    <x v="0"/>
    <x v="0"/>
    <x v="1"/>
    <x v="4"/>
  </r>
  <r>
    <n v="9"/>
    <s v="PUNE CITY REGION"/>
    <s v="PUNE CITY"/>
    <s v="Maharashtra"/>
    <n v="8"/>
    <x v="13"/>
    <x v="14"/>
    <x v="0"/>
    <x v="0"/>
    <x v="1"/>
    <x v="2"/>
    <x v="2"/>
    <x v="2"/>
    <x v="3"/>
  </r>
  <r>
    <n v="246"/>
    <s v="MUMBAI REGION"/>
    <s v="MUMBAI"/>
    <s v="Maharashtra"/>
    <n v="8"/>
    <x v="10"/>
    <x v="11"/>
    <x v="0"/>
    <x v="0"/>
    <x v="0"/>
    <x v="0"/>
    <x v="0"/>
    <x v="4"/>
    <x v="2"/>
  </r>
  <r>
    <n v="441"/>
    <s v="THANE REGION"/>
    <s v="THANE"/>
    <s v="Maharashtra"/>
    <n v="8"/>
    <x v="7"/>
    <x v="8"/>
    <x v="5"/>
    <x v="1"/>
    <x v="5"/>
    <x v="1"/>
    <x v="3"/>
    <x v="6"/>
    <x v="3"/>
  </r>
  <r>
    <n v="5"/>
    <s v="AHMEDNAGAR REGION"/>
    <s v="AHMEDNAGAR"/>
    <s v="Maharashtra"/>
    <n v="8"/>
    <x v="2"/>
    <x v="2"/>
    <x v="0"/>
    <x v="4"/>
    <x v="4"/>
    <x v="7"/>
    <x v="5"/>
    <x v="5"/>
    <x v="5"/>
  </r>
  <r>
    <n v="448"/>
    <s v="SOLAPUR REGION"/>
    <s v="SOLAPUR"/>
    <s v="Maharashtra"/>
    <n v="8"/>
    <x v="2"/>
    <x v="2"/>
    <x v="1"/>
    <x v="4"/>
    <x v="4"/>
    <x v="0"/>
    <x v="0"/>
    <x v="3"/>
    <x v="3"/>
  </r>
  <r>
    <n v="752"/>
    <s v="PUNE CITY REGION"/>
    <s v="PUNE CITY"/>
    <s v="Maharashtra"/>
    <n v="8"/>
    <x v="4"/>
    <x v="4"/>
    <x v="0"/>
    <x v="0"/>
    <x v="0"/>
    <x v="3"/>
    <x v="2"/>
    <x v="1"/>
    <x v="3"/>
  </r>
  <r>
    <n v="1671"/>
    <s v="PUNE CITY REGION"/>
    <s v="PUNE CITY"/>
    <s v="Maharashtra"/>
    <n v="8"/>
    <x v="11"/>
    <x v="12"/>
    <x v="0"/>
    <x v="0"/>
    <x v="0"/>
    <x v="3"/>
    <x v="3"/>
    <x v="0"/>
    <x v="3"/>
  </r>
  <r>
    <n v="1352"/>
    <s v="SOLAPUR REGION"/>
    <s v="SOLAPUR"/>
    <s v="Maharashtra"/>
    <n v="8"/>
    <x v="10"/>
    <x v="11"/>
    <x v="0"/>
    <x v="3"/>
    <x v="1"/>
    <x v="0"/>
    <x v="0"/>
    <x v="3"/>
    <x v="3"/>
  </r>
  <r>
    <n v="393"/>
    <s v="KOLKATTA REGION"/>
    <s v="KOLKATA"/>
    <s v="West Bengal"/>
    <n v="14"/>
    <x v="1"/>
    <x v="1"/>
    <x v="0"/>
    <x v="0"/>
    <x v="0"/>
    <x v="3"/>
    <x v="3"/>
    <x v="0"/>
    <x v="4"/>
  </r>
  <r>
    <n v="1164"/>
    <s v="NASIK REGION"/>
    <s v="NASIK"/>
    <s v="Maharashtra"/>
    <n v="8"/>
    <x v="2"/>
    <x v="2"/>
    <x v="0"/>
    <x v="0"/>
    <x v="0"/>
    <x v="0"/>
    <x v="3"/>
    <x v="0"/>
    <x v="0"/>
  </r>
  <r>
    <n v="2326"/>
    <s v="NASIK REGION"/>
    <s v="NASIK"/>
    <s v="Maharashtra"/>
    <n v="8"/>
    <x v="4"/>
    <x v="4"/>
    <x v="0"/>
    <x v="0"/>
    <x v="0"/>
    <x v="0"/>
    <x v="0"/>
    <x v="1"/>
    <x v="1"/>
  </r>
  <r>
    <n v="3"/>
    <s v="MUMBAI REGION"/>
    <s v="MUMBAI"/>
    <s v="Maharashtra"/>
    <n v="8"/>
    <x v="9"/>
    <x v="10"/>
    <x v="5"/>
    <x v="1"/>
    <x v="2"/>
    <x v="2"/>
    <x v="2"/>
    <x v="1"/>
    <x v="1"/>
  </r>
  <r>
    <n v="65"/>
    <s v="JAIPUR REGION"/>
    <s v="JAIPUR"/>
    <s v="Rajasthan"/>
    <n v="11"/>
    <x v="10"/>
    <x v="11"/>
    <x v="1"/>
    <x v="1"/>
    <x v="4"/>
    <x v="3"/>
    <x v="1"/>
    <x v="1"/>
    <x v="5"/>
  </r>
  <r>
    <n v="1"/>
    <s v="NAGPUR REGION"/>
    <s v="NAGPUR"/>
    <s v="Maharashtra"/>
    <n v="8"/>
    <x v="10"/>
    <x v="11"/>
    <x v="5"/>
    <x v="1"/>
    <x v="1"/>
    <x v="3"/>
    <x v="0"/>
    <x v="3"/>
    <x v="3"/>
  </r>
  <r>
    <n v="1395"/>
    <s v="DELHI REGION"/>
    <s v="DELHI"/>
    <s v="Delhi"/>
    <n v="3"/>
    <x v="4"/>
    <x v="4"/>
    <x v="0"/>
    <x v="0"/>
    <x v="0"/>
    <x v="0"/>
    <x v="3"/>
    <x v="0"/>
    <x v="2"/>
  </r>
  <r>
    <n v="212"/>
    <s v="KOLKATTA REGION"/>
    <s v="KOLKATA"/>
    <s v="West Bengal"/>
    <n v="14"/>
    <x v="4"/>
    <x v="4"/>
    <x v="0"/>
    <x v="0"/>
    <x v="0"/>
    <x v="0"/>
    <x v="1"/>
    <x v="4"/>
    <x v="2"/>
  </r>
  <r>
    <n v="1833"/>
    <s v="PUNE RURAL REGION"/>
    <s v="PUNE RURAL"/>
    <s v="Maharashtra"/>
    <n v="8"/>
    <x v="7"/>
    <x v="8"/>
    <x v="0"/>
    <x v="0"/>
    <x v="0"/>
    <x v="7"/>
    <x v="2"/>
    <x v="2"/>
    <x v="1"/>
  </r>
  <r>
    <n v="785"/>
    <s v="MUMBAI REGION"/>
    <s v="MUMBAI"/>
    <s v="Maharashtra"/>
    <n v="8"/>
    <x v="4"/>
    <x v="4"/>
    <x v="0"/>
    <x v="0"/>
    <x v="4"/>
    <x v="1"/>
    <x v="5"/>
    <x v="3"/>
    <x v="3"/>
  </r>
  <r>
    <n v="8"/>
    <s v="MUMBAI REGION"/>
    <s v="MUMBAI"/>
    <s v="Maharashtra"/>
    <n v="8"/>
    <x v="12"/>
    <x v="13"/>
    <x v="0"/>
    <x v="4"/>
    <x v="4"/>
    <x v="1"/>
    <x v="2"/>
    <x v="2"/>
    <x v="2"/>
  </r>
  <r>
    <n v="1584"/>
    <s v="PUNE CITY REGION"/>
    <s v="PUNE CITY"/>
    <s v="Maharashtra"/>
    <n v="8"/>
    <x v="12"/>
    <x v="13"/>
    <x v="6"/>
    <x v="4"/>
    <x v="4"/>
    <x v="5"/>
    <x v="6"/>
    <x v="7"/>
    <x v="3"/>
  </r>
  <r>
    <n v="2741"/>
    <s v="RATNAGIRI REGION"/>
    <s v="RATNAGIRI"/>
    <s v="Maharashtra"/>
    <n v="8"/>
    <x v="6"/>
    <x v="7"/>
    <x v="0"/>
    <x v="0"/>
    <x v="0"/>
    <x v="3"/>
    <x v="2"/>
    <x v="3"/>
    <x v="3"/>
  </r>
  <r>
    <n v="1654"/>
    <s v="NASIK REGION"/>
    <s v="NASIK"/>
    <s v="Maharashtra"/>
    <n v="8"/>
    <x v="6"/>
    <x v="7"/>
    <x v="0"/>
    <x v="0"/>
    <x v="0"/>
    <x v="2"/>
    <x v="1"/>
    <x v="2"/>
    <x v="2"/>
  </r>
  <r>
    <n v="886"/>
    <s v="KOLHAPUR REGION"/>
    <s v="KOLHAPUR"/>
    <s v="Maharashtra"/>
    <n v="8"/>
    <x v="1"/>
    <x v="1"/>
    <x v="5"/>
    <x v="1"/>
    <x v="2"/>
    <x v="3"/>
    <x v="5"/>
    <x v="2"/>
    <x v="1"/>
  </r>
  <r>
    <n v="600"/>
    <s v="PUNE CITY REGION"/>
    <s v="PUNE CITY"/>
    <s v="Maharashtra"/>
    <n v="8"/>
    <x v="1"/>
    <x v="1"/>
    <x v="7"/>
    <x v="5"/>
    <x v="6"/>
    <x v="0"/>
    <x v="0"/>
    <x v="3"/>
    <x v="3"/>
  </r>
  <r>
    <n v="14"/>
    <s v="CHENNAI REGION"/>
    <s v="CHENNAI"/>
    <s v="Tamil Nadu"/>
    <n v="12"/>
    <x v="7"/>
    <x v="8"/>
    <x v="0"/>
    <x v="6"/>
    <x v="7"/>
    <x v="0"/>
    <x v="0"/>
    <x v="3"/>
    <x v="3"/>
  </r>
  <r>
    <n v="442"/>
    <s v="KOLHAPUR REGION"/>
    <s v="KOLHAPUR"/>
    <s v="Maharashtra"/>
    <n v="8"/>
    <x v="15"/>
    <x v="16"/>
    <x v="0"/>
    <x v="3"/>
    <x v="1"/>
    <x v="2"/>
    <x v="3"/>
    <x v="0"/>
    <x v="2"/>
  </r>
  <r>
    <n v="1255"/>
    <s v="CHENNAI REGION"/>
    <s v="CHENNAI"/>
    <s v="Tamil Nadu"/>
    <n v="12"/>
    <x v="15"/>
    <x v="16"/>
    <x v="0"/>
    <x v="0"/>
    <x v="0"/>
    <x v="0"/>
    <x v="2"/>
    <x v="1"/>
    <x v="4"/>
  </r>
  <r>
    <n v="783"/>
    <s v="PUNE CITY REGION"/>
    <s v="PUNE CITY"/>
    <s v="Maharashtra"/>
    <n v="8"/>
    <x v="3"/>
    <x v="3"/>
    <x v="0"/>
    <x v="0"/>
    <x v="0"/>
    <x v="0"/>
    <x v="0"/>
    <x v="1"/>
    <x v="0"/>
  </r>
  <r>
    <n v="194"/>
    <s v="PUNE CITY REGION"/>
    <s v="PUNE CITY"/>
    <s v="Maharashtra"/>
    <n v="8"/>
    <x v="3"/>
    <x v="3"/>
    <x v="0"/>
    <x v="0"/>
    <x v="0"/>
    <x v="0"/>
    <x v="3"/>
    <x v="2"/>
    <x v="0"/>
  </r>
  <r>
    <n v="592"/>
    <s v="MUMBAI REGION"/>
    <s v="MUMBAI"/>
    <s v="Maharashtra"/>
    <n v="8"/>
    <x v="0"/>
    <x v="5"/>
    <x v="0"/>
    <x v="0"/>
    <x v="0"/>
    <x v="3"/>
    <x v="3"/>
    <x v="1"/>
    <x v="2"/>
  </r>
  <r>
    <n v="2026"/>
    <s v="PUNE CITY REGION"/>
    <s v="PUNE CITY"/>
    <s v="Maharashtra"/>
    <n v="8"/>
    <x v="4"/>
    <x v="4"/>
    <x v="0"/>
    <x v="0"/>
    <x v="0"/>
    <x v="0"/>
    <x v="2"/>
    <x v="2"/>
    <x v="3"/>
  </r>
  <r>
    <n v="604"/>
    <s v="LUCKNOW REGION"/>
    <s v="LUCKNOW"/>
    <s v="Uttar Pradesh"/>
    <n v="13"/>
    <x v="4"/>
    <x v="4"/>
    <x v="0"/>
    <x v="0"/>
    <x v="0"/>
    <x v="0"/>
    <x v="0"/>
    <x v="2"/>
    <x v="2"/>
  </r>
  <r>
    <n v="48"/>
    <s v="DELHI REGION"/>
    <s v="DELHI"/>
    <s v="Delhi"/>
    <n v="3"/>
    <x v="4"/>
    <x v="4"/>
    <x v="0"/>
    <x v="0"/>
    <x v="0"/>
    <x v="0"/>
    <x v="1"/>
    <x v="1"/>
    <x v="4"/>
  </r>
  <r>
    <n v="145"/>
    <s v="PUNE CITY REGION"/>
    <s v="PUNE CITY"/>
    <s v="Maharashtra"/>
    <n v="8"/>
    <x v="10"/>
    <x v="11"/>
    <x v="0"/>
    <x v="0"/>
    <x v="0"/>
    <x v="7"/>
    <x v="3"/>
    <x v="1"/>
    <x v="4"/>
  </r>
  <r>
    <n v="23"/>
    <s v="BANGALORE REGION"/>
    <s v="BANGALORE"/>
    <s v="Karnataka"/>
    <n v="6"/>
    <x v="11"/>
    <x v="12"/>
    <x v="0"/>
    <x v="0"/>
    <x v="0"/>
    <x v="0"/>
    <x v="3"/>
    <x v="1"/>
    <x v="2"/>
  </r>
  <r>
    <n v="465"/>
    <s v="MUMBAI REGION"/>
    <s v="MUMBAI"/>
    <s v="Maharashtra"/>
    <n v="8"/>
    <x v="11"/>
    <x v="12"/>
    <x v="0"/>
    <x v="0"/>
    <x v="0"/>
    <x v="2"/>
    <x v="3"/>
    <x v="3"/>
    <x v="3"/>
  </r>
  <r>
    <n v="1293"/>
    <s v="PUNE CITY REGION"/>
    <s v="PUNE CITY"/>
    <s v="Maharashtra"/>
    <n v="8"/>
    <x v="13"/>
    <x v="14"/>
    <x v="0"/>
    <x v="0"/>
    <x v="0"/>
    <x v="2"/>
    <x v="1"/>
    <x v="1"/>
    <x v="0"/>
  </r>
  <r>
    <n v="775"/>
    <s v="CHENNAI REGION"/>
    <s v="CHENNAI"/>
    <s v="Tamil Nadu"/>
    <n v="12"/>
    <x v="13"/>
    <x v="14"/>
    <x v="0"/>
    <x v="0"/>
    <x v="0"/>
    <x v="0"/>
    <x v="0"/>
    <x v="4"/>
    <x v="4"/>
  </r>
  <r>
    <n v="202"/>
    <s v="PUNE CITY REGION"/>
    <s v="PUNE CITY"/>
    <s v="Maharashtra"/>
    <n v="8"/>
    <x v="13"/>
    <x v="14"/>
    <x v="2"/>
    <x v="3"/>
    <x v="4"/>
    <x v="3"/>
    <x v="1"/>
    <x v="4"/>
    <x v="1"/>
  </r>
  <r>
    <n v="196"/>
    <s v="PUNE CITY REGION"/>
    <s v="PUNE CITY"/>
    <s v="Maharashtra"/>
    <n v="8"/>
    <x v="13"/>
    <x v="14"/>
    <x v="0"/>
    <x v="1"/>
    <x v="4"/>
    <x v="1"/>
    <x v="0"/>
    <x v="3"/>
    <x v="3"/>
  </r>
  <r>
    <n v="205"/>
    <s v="PUNE CITY REGION"/>
    <s v="PUNE CITY"/>
    <s v="Maharashtra"/>
    <n v="8"/>
    <x v="11"/>
    <x v="12"/>
    <x v="0"/>
    <x v="3"/>
    <x v="4"/>
    <x v="1"/>
    <x v="1"/>
    <x v="3"/>
    <x v="3"/>
  </r>
  <r>
    <n v="219"/>
    <s v="CHANDIGARH REGION"/>
    <s v="CHANDIGARH"/>
    <s v="Punjab&amp;Haryana"/>
    <n v="10"/>
    <x v="11"/>
    <x v="12"/>
    <x v="0"/>
    <x v="0"/>
    <x v="0"/>
    <x v="1"/>
    <x v="3"/>
    <x v="0"/>
    <x v="3"/>
  </r>
  <r>
    <n v="22"/>
    <s v="KOLKATTA REGION"/>
    <s v="KOLKATA"/>
    <s v="West Bengal"/>
    <n v="14"/>
    <x v="14"/>
    <x v="15"/>
    <x v="0"/>
    <x v="0"/>
    <x v="2"/>
    <x v="3"/>
    <x v="1"/>
    <x v="0"/>
    <x v="4"/>
  </r>
  <r>
    <n v="1579"/>
    <s v="HYDERABAD REGION"/>
    <s v="HYDERABAD"/>
    <s v="Andhra Pradesh"/>
    <n v="1"/>
    <x v="14"/>
    <x v="15"/>
    <x v="0"/>
    <x v="0"/>
    <x v="0"/>
    <x v="0"/>
    <x v="3"/>
    <x v="1"/>
    <x v="0"/>
  </r>
  <r>
    <n v="1191"/>
    <s v="HYDERABAD REGION"/>
    <s v="HYDERABAD"/>
    <s v="Andhra Pradesh"/>
    <n v="1"/>
    <x v="16"/>
    <x v="17"/>
    <x v="0"/>
    <x v="0"/>
    <x v="1"/>
    <x v="2"/>
    <x v="3"/>
    <x v="0"/>
    <x v="0"/>
  </r>
  <r>
    <n v="5"/>
    <s v="NAGPUR REGION"/>
    <s v="NAGPUR"/>
    <s v="Maharashtra"/>
    <n v="8"/>
    <x v="16"/>
    <x v="17"/>
    <x v="2"/>
    <x v="4"/>
    <x v="1"/>
    <x v="0"/>
    <x v="0"/>
    <x v="3"/>
    <x v="3"/>
  </r>
  <r>
    <n v="1273"/>
    <s v="CHENNAI REGION"/>
    <s v="CHENNAI"/>
    <s v="Tamil Nadu"/>
    <n v="12"/>
    <x v="16"/>
    <x v="17"/>
    <x v="0"/>
    <x v="0"/>
    <x v="0"/>
    <x v="0"/>
    <x v="1"/>
    <x v="4"/>
    <x v="4"/>
  </r>
  <r>
    <n v="829"/>
    <s v="AHMEDABAD  REGION"/>
    <s v="AHMEDABAD"/>
    <s v="Gujarat"/>
    <n v="5"/>
    <x v="0"/>
    <x v="5"/>
    <x v="0"/>
    <x v="0"/>
    <x v="0"/>
    <x v="0"/>
    <x v="3"/>
    <x v="0"/>
    <x v="0"/>
  </r>
  <r>
    <n v="2552"/>
    <s v="PUNE CITY REGION"/>
    <s v="PUNE CITY"/>
    <s v="Maharashtra"/>
    <n v="8"/>
    <x v="2"/>
    <x v="2"/>
    <x v="0"/>
    <x v="4"/>
    <x v="5"/>
    <x v="0"/>
    <x v="0"/>
    <x v="3"/>
    <x v="3"/>
  </r>
  <r>
    <n v="2607"/>
    <s v="PUNE CITY REGION"/>
    <s v="PUNE CITY"/>
    <s v="Maharashtra"/>
    <n v="8"/>
    <x v="13"/>
    <x v="14"/>
    <x v="0"/>
    <x v="3"/>
    <x v="1"/>
    <x v="2"/>
    <x v="1"/>
    <x v="4"/>
    <x v="5"/>
  </r>
  <r>
    <n v="2554"/>
    <s v="PUNE CITY REGION"/>
    <s v="PUNE CITY"/>
    <s v="Maharashtra"/>
    <n v="8"/>
    <x v="10"/>
    <x v="11"/>
    <x v="0"/>
    <x v="4"/>
    <x v="5"/>
    <x v="1"/>
    <x v="2"/>
    <x v="3"/>
    <x v="3"/>
  </r>
  <r>
    <n v="918"/>
    <s v="AHMEDABAD  REGION"/>
    <s v="AHMEDABAD"/>
    <s v="Gujarat"/>
    <n v="5"/>
    <x v="7"/>
    <x v="8"/>
    <x v="0"/>
    <x v="0"/>
    <x v="4"/>
    <x v="3"/>
    <x v="3"/>
    <x v="4"/>
    <x v="5"/>
  </r>
  <r>
    <n v="1790"/>
    <s v="PUNE RURAL REGION"/>
    <s v="PUNE RURAL"/>
    <s v="Maharashtra"/>
    <n v="8"/>
    <x v="2"/>
    <x v="2"/>
    <x v="0"/>
    <x v="0"/>
    <x v="0"/>
    <x v="3"/>
    <x v="1"/>
    <x v="0"/>
    <x v="2"/>
  </r>
  <r>
    <n v="1000"/>
    <s v="LATUR REGION"/>
    <s v="LATUR"/>
    <s v="Maharashtra"/>
    <n v="8"/>
    <x v="2"/>
    <x v="2"/>
    <x v="3"/>
    <x v="5"/>
    <x v="6"/>
    <x v="0"/>
    <x v="0"/>
    <x v="3"/>
    <x v="3"/>
  </r>
  <r>
    <n v="1341"/>
    <s v="MUMBAI REGION"/>
    <s v="MUMBAI"/>
    <s v="Maharashtra"/>
    <n v="8"/>
    <x v="4"/>
    <x v="4"/>
    <x v="0"/>
    <x v="0"/>
    <x v="0"/>
    <x v="0"/>
    <x v="0"/>
    <x v="2"/>
    <x v="4"/>
  </r>
  <r>
    <n v="44"/>
    <s v="CHANDRAPUR REGION"/>
    <s v="CHANDIGARH"/>
    <s v="Punjab&amp;Haryana"/>
    <n v="10"/>
    <x v="11"/>
    <x v="12"/>
    <x v="6"/>
    <x v="1"/>
    <x v="4"/>
    <x v="1"/>
    <x v="2"/>
    <x v="2"/>
    <x v="3"/>
  </r>
  <r>
    <n v="1853"/>
    <s v="CHENNAI REGION"/>
    <s v="CHENNAI"/>
    <s v="Tamil Nadu"/>
    <n v="12"/>
    <x v="10"/>
    <x v="11"/>
    <x v="0"/>
    <x v="0"/>
    <x v="0"/>
    <x v="2"/>
    <x v="3"/>
    <x v="3"/>
    <x v="3"/>
  </r>
  <r>
    <n v="11"/>
    <s v="MUMBAI REGION"/>
    <s v="MUMBAI"/>
    <s v="Maharashtra"/>
    <n v="8"/>
    <x v="1"/>
    <x v="1"/>
    <x v="0"/>
    <x v="0"/>
    <x v="5"/>
    <x v="1"/>
    <x v="0"/>
    <x v="3"/>
    <x v="3"/>
  </r>
  <r>
    <n v="1430"/>
    <s v="DELHI REGION"/>
    <s v="DELHI"/>
    <s v="Delhi"/>
    <n v="3"/>
    <x v="2"/>
    <x v="2"/>
    <x v="0"/>
    <x v="0"/>
    <x v="0"/>
    <x v="0"/>
    <x v="1"/>
    <x v="1"/>
    <x v="2"/>
  </r>
  <r>
    <n v="1126"/>
    <s v="AHMEDABAD  REGION"/>
    <s v="AHMEDABAD"/>
    <s v="Gujarat"/>
    <n v="5"/>
    <x v="4"/>
    <x v="4"/>
    <x v="0"/>
    <x v="0"/>
    <x v="0"/>
    <x v="0"/>
    <x v="0"/>
    <x v="5"/>
    <x v="1"/>
  </r>
  <r>
    <n v="42"/>
    <s v="MUMBAI REGION"/>
    <s v="MUMBAI"/>
    <s v="Maharashtra"/>
    <n v="8"/>
    <x v="9"/>
    <x v="10"/>
    <x v="0"/>
    <x v="0"/>
    <x v="0"/>
    <x v="3"/>
    <x v="1"/>
    <x v="3"/>
    <x v="3"/>
  </r>
  <r>
    <n v="1201"/>
    <s v="BANGALORE REGION"/>
    <s v="BANGALORE"/>
    <s v="Karnataka"/>
    <n v="6"/>
    <x v="2"/>
    <x v="2"/>
    <x v="0"/>
    <x v="0"/>
    <x v="0"/>
    <x v="0"/>
    <x v="0"/>
    <x v="1"/>
    <x v="2"/>
  </r>
  <r>
    <n v="341"/>
    <s v="BANGALORE REGION"/>
    <s v="BANGALORE"/>
    <s v="Karnataka"/>
    <n v="6"/>
    <x v="13"/>
    <x v="14"/>
    <x v="4"/>
    <x v="4"/>
    <x v="4"/>
    <x v="1"/>
    <x v="2"/>
    <x v="2"/>
    <x v="2"/>
  </r>
  <r>
    <n v="2081"/>
    <s v="NAGPUR REGION"/>
    <s v="NAGPUR"/>
    <s v="Maharashtra"/>
    <n v="8"/>
    <x v="10"/>
    <x v="11"/>
    <x v="0"/>
    <x v="0"/>
    <x v="0"/>
    <x v="0"/>
    <x v="3"/>
    <x v="8"/>
    <x v="6"/>
  </r>
  <r>
    <n v="372"/>
    <s v="MUMBAI REGION"/>
    <s v="MUMBAI"/>
    <s v="Maharashtra"/>
    <n v="8"/>
    <x v="7"/>
    <x v="8"/>
    <x v="0"/>
    <x v="3"/>
    <x v="1"/>
    <x v="2"/>
    <x v="3"/>
    <x v="2"/>
    <x v="4"/>
  </r>
  <r>
    <n v="1001"/>
    <s v="MUMBAI REGION"/>
    <s v="MUMBAI"/>
    <s v="Maharashtra"/>
    <n v="8"/>
    <x v="2"/>
    <x v="2"/>
    <x v="1"/>
    <x v="4"/>
    <x v="5"/>
    <x v="1"/>
    <x v="2"/>
    <x v="2"/>
    <x v="4"/>
  </r>
  <r>
    <n v="390"/>
    <s v="PUNE CITY REGION"/>
    <s v="PUNE CITY"/>
    <s v="Maharashtra"/>
    <n v="8"/>
    <x v="2"/>
    <x v="2"/>
    <x v="0"/>
    <x v="0"/>
    <x v="0"/>
    <x v="0"/>
    <x v="0"/>
    <x v="0"/>
    <x v="0"/>
  </r>
  <r>
    <n v="10"/>
    <s v="PUNE CITY REGION"/>
    <s v="PUNE CITY"/>
    <s v="Maharashtra"/>
    <n v="8"/>
    <x v="4"/>
    <x v="4"/>
    <x v="5"/>
    <x v="4"/>
    <x v="0"/>
    <x v="3"/>
    <x v="1"/>
    <x v="1"/>
    <x v="2"/>
  </r>
  <r>
    <n v="1765"/>
    <s v="PUNE RURAL REGION"/>
    <s v="PUNE RURAL"/>
    <s v="Maharashtra"/>
    <n v="8"/>
    <x v="11"/>
    <x v="12"/>
    <x v="0"/>
    <x v="0"/>
    <x v="0"/>
    <x v="0"/>
    <x v="0"/>
    <x v="1"/>
    <x v="0"/>
  </r>
  <r>
    <n v="428"/>
    <s v="CHANDRAPUR REGION"/>
    <s v="CHANDIGARH"/>
    <s v="Punjab&amp;Haryana"/>
    <n v="10"/>
    <x v="10"/>
    <x v="11"/>
    <x v="0"/>
    <x v="0"/>
    <x v="1"/>
    <x v="2"/>
    <x v="0"/>
    <x v="3"/>
    <x v="3"/>
  </r>
  <r>
    <n v="448"/>
    <s v="NASIK REGION"/>
    <s v="NASIK"/>
    <s v="Maharashtra"/>
    <n v="8"/>
    <x v="1"/>
    <x v="1"/>
    <x v="0"/>
    <x v="0"/>
    <x v="0"/>
    <x v="0"/>
    <x v="2"/>
    <x v="4"/>
    <x v="4"/>
  </r>
  <r>
    <n v="14"/>
    <s v="BHOPAL REGION"/>
    <s v="BHOPAL"/>
    <s v="Madhya Pradesh"/>
    <n v="7"/>
    <x v="2"/>
    <x v="2"/>
    <x v="0"/>
    <x v="1"/>
    <x v="2"/>
    <x v="0"/>
    <x v="0"/>
    <x v="3"/>
    <x v="3"/>
  </r>
  <r>
    <n v="10"/>
    <s v="MUMBAI REGION"/>
    <s v="MUMBAI"/>
    <s v="Maharashtra"/>
    <n v="8"/>
    <x v="4"/>
    <x v="4"/>
    <x v="2"/>
    <x v="3"/>
    <x v="1"/>
    <x v="2"/>
    <x v="3"/>
    <x v="0"/>
    <x v="2"/>
  </r>
  <r>
    <n v="767"/>
    <s v="BANGALORE REGION"/>
    <s v="BANGALORE"/>
    <s v="Karnataka"/>
    <n v="6"/>
    <x v="9"/>
    <x v="10"/>
    <x v="0"/>
    <x v="0"/>
    <x v="1"/>
    <x v="2"/>
    <x v="3"/>
    <x v="3"/>
    <x v="3"/>
  </r>
  <r>
    <n v="1"/>
    <s v="PUNE CITY REGION"/>
    <s v="PUNE CITY"/>
    <s v="Maharashtra"/>
    <n v="8"/>
    <x v="11"/>
    <x v="12"/>
    <x v="2"/>
    <x v="3"/>
    <x v="1"/>
    <x v="2"/>
    <x v="3"/>
    <x v="1"/>
    <x v="2"/>
  </r>
  <r>
    <n v="1531"/>
    <s v="MUMBAI REGION"/>
    <s v="MUMBAI"/>
    <s v="Maharashtra"/>
    <n v="8"/>
    <x v="13"/>
    <x v="14"/>
    <x v="0"/>
    <x v="0"/>
    <x v="0"/>
    <x v="0"/>
    <x v="0"/>
    <x v="2"/>
    <x v="4"/>
  </r>
  <r>
    <n v="194"/>
    <s v="MUMBAI REGION"/>
    <s v="MUMBAI"/>
    <s v="Maharashtra"/>
    <n v="8"/>
    <x v="13"/>
    <x v="14"/>
    <x v="0"/>
    <x v="0"/>
    <x v="1"/>
    <x v="2"/>
    <x v="3"/>
    <x v="1"/>
    <x v="2"/>
  </r>
  <r>
    <n v="21"/>
    <s v="KOLKATTA REGION"/>
    <s v="KOLKATA"/>
    <s v="West Bengal"/>
    <n v="14"/>
    <x v="13"/>
    <x v="14"/>
    <x v="0"/>
    <x v="0"/>
    <x v="1"/>
    <x v="3"/>
    <x v="3"/>
    <x v="2"/>
    <x v="4"/>
  </r>
  <r>
    <n v="36"/>
    <s v="PUNE CITY REGION"/>
    <s v="PUNE CITY"/>
    <s v="Maharashtra"/>
    <n v="8"/>
    <x v="13"/>
    <x v="14"/>
    <x v="0"/>
    <x v="0"/>
    <x v="0"/>
    <x v="0"/>
    <x v="0"/>
    <x v="1"/>
    <x v="2"/>
  </r>
  <r>
    <n v="6"/>
    <s v="BANGALORE REGION"/>
    <s v="BANGALORE"/>
    <s v="Karnataka"/>
    <n v="6"/>
    <x v="11"/>
    <x v="12"/>
    <x v="0"/>
    <x v="3"/>
    <x v="2"/>
    <x v="0"/>
    <x v="0"/>
    <x v="3"/>
    <x v="3"/>
  </r>
  <r>
    <n v="528"/>
    <s v="THANE REGION"/>
    <s v="THANE"/>
    <s v="Maharashtra"/>
    <n v="8"/>
    <x v="11"/>
    <x v="12"/>
    <x v="1"/>
    <x v="1"/>
    <x v="4"/>
    <x v="1"/>
    <x v="3"/>
    <x v="0"/>
    <x v="3"/>
  </r>
  <r>
    <n v="4"/>
    <s v="BANGALORE REGION"/>
    <s v="BANGALORE"/>
    <s v="Karnataka"/>
    <n v="6"/>
    <x v="14"/>
    <x v="15"/>
    <x v="5"/>
    <x v="3"/>
    <x v="1"/>
    <x v="3"/>
    <x v="3"/>
    <x v="1"/>
    <x v="2"/>
  </r>
  <r>
    <n v="553"/>
    <s v="DELHI REGION"/>
    <s v="DELHI"/>
    <s v="Delhi"/>
    <n v="3"/>
    <x v="14"/>
    <x v="15"/>
    <x v="0"/>
    <x v="0"/>
    <x v="0"/>
    <x v="0"/>
    <x v="0"/>
    <x v="1"/>
    <x v="0"/>
  </r>
  <r>
    <n v="1184"/>
    <s v="LUCKNOW REGION"/>
    <s v="LUCKNOW"/>
    <s v="Uttar Pradesh"/>
    <n v="13"/>
    <x v="16"/>
    <x v="17"/>
    <x v="0"/>
    <x v="0"/>
    <x v="0"/>
    <x v="0"/>
    <x v="0"/>
    <x v="0"/>
    <x v="5"/>
  </r>
  <r>
    <n v="485"/>
    <s v="DELHI REGION"/>
    <s v="DELHI"/>
    <s v="Delhi"/>
    <n v="3"/>
    <x v="16"/>
    <x v="17"/>
    <x v="5"/>
    <x v="3"/>
    <x v="0"/>
    <x v="0"/>
    <x v="0"/>
    <x v="3"/>
    <x v="3"/>
  </r>
  <r>
    <n v="1523"/>
    <s v="LATUR REGION"/>
    <s v="LATUR"/>
    <s v="Maharashtra"/>
    <n v="8"/>
    <x v="16"/>
    <x v="17"/>
    <x v="0"/>
    <x v="0"/>
    <x v="0"/>
    <x v="2"/>
    <x v="3"/>
    <x v="3"/>
    <x v="3"/>
  </r>
  <r>
    <n v="112"/>
    <s v="MUMBAI REGION"/>
    <s v="MUMBAI"/>
    <s v="Maharashtra"/>
    <n v="8"/>
    <x v="0"/>
    <x v="5"/>
    <x v="1"/>
    <x v="4"/>
    <x v="4"/>
    <x v="0"/>
    <x v="0"/>
    <x v="3"/>
    <x v="3"/>
  </r>
  <r>
    <n v="60"/>
    <s v="DELHI REGION"/>
    <s v="DELHI"/>
    <s v="Delhi"/>
    <n v="3"/>
    <x v="2"/>
    <x v="2"/>
    <x v="0"/>
    <x v="3"/>
    <x v="1"/>
    <x v="1"/>
    <x v="1"/>
    <x v="4"/>
    <x v="1"/>
  </r>
  <r>
    <n v="945"/>
    <s v="PUNE CITY REGION"/>
    <s v="PUNE CITY"/>
    <s v="Maharashtra"/>
    <n v="8"/>
    <x v="13"/>
    <x v="14"/>
    <x v="0"/>
    <x v="0"/>
    <x v="0"/>
    <x v="2"/>
    <x v="3"/>
    <x v="1"/>
    <x v="0"/>
  </r>
  <r>
    <n v="512"/>
    <s v="DELHI REGION"/>
    <s v="DELHI"/>
    <s v="Delhi"/>
    <n v="3"/>
    <x v="10"/>
    <x v="11"/>
    <x v="0"/>
    <x v="3"/>
    <x v="1"/>
    <x v="2"/>
    <x v="3"/>
    <x v="1"/>
    <x v="2"/>
  </r>
  <r>
    <n v="730"/>
    <s v="DELHI REGION"/>
    <s v="DELHI"/>
    <s v="Delhi"/>
    <n v="3"/>
    <x v="7"/>
    <x v="8"/>
    <x v="0"/>
    <x v="0"/>
    <x v="1"/>
    <x v="2"/>
    <x v="3"/>
    <x v="1"/>
    <x v="2"/>
  </r>
  <r>
    <n v="791"/>
    <s v="BANGALORE REGION"/>
    <s v="BANGALORE"/>
    <s v="Karnataka"/>
    <n v="6"/>
    <x v="2"/>
    <x v="2"/>
    <x v="0"/>
    <x v="0"/>
    <x v="0"/>
    <x v="2"/>
    <x v="3"/>
    <x v="0"/>
    <x v="0"/>
  </r>
  <r>
    <n v="390"/>
    <s v="JAIPUR REGION"/>
    <s v="JAIPUR"/>
    <s v="Rajasthan"/>
    <n v="11"/>
    <x v="2"/>
    <x v="2"/>
    <x v="0"/>
    <x v="0"/>
    <x v="0"/>
    <x v="2"/>
    <x v="3"/>
    <x v="0"/>
    <x v="0"/>
  </r>
  <r>
    <n v="6"/>
    <s v="AHMEDNAGAR REGION"/>
    <s v="AHMEDNAGAR"/>
    <s v="Maharashtra"/>
    <n v="8"/>
    <x v="4"/>
    <x v="4"/>
    <x v="0"/>
    <x v="0"/>
    <x v="0"/>
    <x v="0"/>
    <x v="7"/>
    <x v="5"/>
    <x v="1"/>
  </r>
  <r>
    <n v="2348"/>
    <s v="PUNE CITY REGION"/>
    <s v="PUNE CITY"/>
    <s v="Maharashtra"/>
    <n v="8"/>
    <x v="11"/>
    <x v="12"/>
    <x v="0"/>
    <x v="4"/>
    <x v="1"/>
    <x v="2"/>
    <x v="0"/>
    <x v="3"/>
    <x v="3"/>
  </r>
  <r>
    <n v="484"/>
    <s v="DELHI REGION"/>
    <s v="DELHI"/>
    <s v="Delhi"/>
    <n v="3"/>
    <x v="10"/>
    <x v="11"/>
    <x v="0"/>
    <x v="0"/>
    <x v="0"/>
    <x v="0"/>
    <x v="5"/>
    <x v="4"/>
    <x v="4"/>
  </r>
  <r>
    <n v="2697"/>
    <s v="SATARA REGION"/>
    <s v="SATARA"/>
    <s v="Maharashtra"/>
    <n v="8"/>
    <x v="1"/>
    <x v="1"/>
    <x v="0"/>
    <x v="0"/>
    <x v="0"/>
    <x v="0"/>
    <x v="0"/>
    <x v="1"/>
    <x v="0"/>
  </r>
  <r>
    <n v="872"/>
    <s v="DELHI REGION"/>
    <s v="DELHI"/>
    <s v="Delhi"/>
    <n v="3"/>
    <x v="2"/>
    <x v="2"/>
    <x v="0"/>
    <x v="0"/>
    <x v="0"/>
    <x v="0"/>
    <x v="0"/>
    <x v="0"/>
    <x v="2"/>
  </r>
  <r>
    <n v="991"/>
    <s v="AURANGABAD REGION"/>
    <s v="AURANGABAD"/>
    <s v="Maharashtra"/>
    <n v="8"/>
    <x v="16"/>
    <x v="17"/>
    <x v="5"/>
    <x v="1"/>
    <x v="1"/>
    <x v="2"/>
    <x v="3"/>
    <x v="0"/>
    <x v="0"/>
  </r>
  <r>
    <n v="671"/>
    <s v="DELHI REGION"/>
    <s v="DELHI"/>
    <s v="Delhi"/>
    <n v="3"/>
    <x v="16"/>
    <x v="17"/>
    <x v="0"/>
    <x v="0"/>
    <x v="0"/>
    <x v="2"/>
    <x v="3"/>
    <x v="0"/>
    <x v="2"/>
  </r>
  <r>
    <n v="355"/>
    <s v="PUNE CITY REGION"/>
    <s v="PUNE CITY"/>
    <s v="Maharashtra"/>
    <n v="8"/>
    <x v="15"/>
    <x v="16"/>
    <x v="3"/>
    <x v="5"/>
    <x v="8"/>
    <x v="6"/>
    <x v="0"/>
    <x v="3"/>
    <x v="3"/>
  </r>
  <r>
    <n v="3"/>
    <s v="JALGAON  REGION"/>
    <s v="JALGAON"/>
    <s v="Maharashtra"/>
    <n v="8"/>
    <x v="15"/>
    <x v="16"/>
    <x v="2"/>
    <x v="1"/>
    <x v="2"/>
    <x v="3"/>
    <x v="2"/>
    <x v="6"/>
    <x v="8"/>
  </r>
  <r>
    <n v="4"/>
    <s v="JAIPUR REGION"/>
    <s v="JAIPUR"/>
    <s v="Rajasthan"/>
    <n v="11"/>
    <x v="8"/>
    <x v="9"/>
    <x v="0"/>
    <x v="0"/>
    <x v="0"/>
    <x v="0"/>
    <x v="0"/>
    <x v="0"/>
    <x v="0"/>
  </r>
  <r>
    <n v="528"/>
    <s v="MUMBAI REGION"/>
    <s v="MUMBAI"/>
    <s v="Maharashtra"/>
    <n v="8"/>
    <x v="4"/>
    <x v="4"/>
    <x v="0"/>
    <x v="0"/>
    <x v="0"/>
    <x v="2"/>
    <x v="1"/>
    <x v="2"/>
    <x v="2"/>
  </r>
  <r>
    <n v="610"/>
    <s v="MUMBAI REGION"/>
    <s v="MUMBAI"/>
    <s v="Maharashtra"/>
    <n v="8"/>
    <x v="6"/>
    <x v="7"/>
    <x v="0"/>
    <x v="0"/>
    <x v="0"/>
    <x v="0"/>
    <x v="0"/>
    <x v="4"/>
    <x v="1"/>
  </r>
  <r>
    <n v="724"/>
    <s v="MUMBAI REGION"/>
    <s v="MUMBAI"/>
    <s v="Maharashtra"/>
    <n v="8"/>
    <x v="6"/>
    <x v="7"/>
    <x v="0"/>
    <x v="0"/>
    <x v="0"/>
    <x v="0"/>
    <x v="1"/>
    <x v="1"/>
    <x v="4"/>
  </r>
  <r>
    <n v="599"/>
    <s v="NAGPUR REGION"/>
    <s v="NAGPUR"/>
    <s v="Maharashtra"/>
    <n v="8"/>
    <x v="0"/>
    <x v="5"/>
    <x v="0"/>
    <x v="0"/>
    <x v="5"/>
    <x v="7"/>
    <x v="3"/>
    <x v="3"/>
    <x v="3"/>
  </r>
  <r>
    <n v="255"/>
    <s v="PUNE CITY REGION"/>
    <s v="PUNE CITY"/>
    <s v="Maharashtra"/>
    <n v="8"/>
    <x v="0"/>
    <x v="5"/>
    <x v="2"/>
    <x v="3"/>
    <x v="1"/>
    <x v="2"/>
    <x v="0"/>
    <x v="3"/>
    <x v="3"/>
  </r>
  <r>
    <n v="85"/>
    <s v="NASIK REGION"/>
    <s v="NASIK"/>
    <s v="Maharashtra"/>
    <n v="8"/>
    <x v="1"/>
    <x v="1"/>
    <x v="0"/>
    <x v="1"/>
    <x v="2"/>
    <x v="3"/>
    <x v="2"/>
    <x v="4"/>
    <x v="6"/>
  </r>
  <r>
    <n v="114"/>
    <s v="NASIK REGION"/>
    <s v="NASIK"/>
    <s v="Maharashtra"/>
    <n v="8"/>
    <x v="2"/>
    <x v="2"/>
    <x v="4"/>
    <x v="2"/>
    <x v="4"/>
    <x v="7"/>
    <x v="2"/>
    <x v="2"/>
    <x v="0"/>
  </r>
  <r>
    <n v="240"/>
    <s v="MUMBAI REGION"/>
    <s v="MUMBAI"/>
    <s v="Maharashtra"/>
    <n v="8"/>
    <x v="3"/>
    <x v="3"/>
    <x v="0"/>
    <x v="0"/>
    <x v="0"/>
    <x v="0"/>
    <x v="1"/>
    <x v="1"/>
    <x v="4"/>
  </r>
  <r>
    <n v="1206"/>
    <s v="KOLHAPUR REGION"/>
    <s v="KOLHAPUR"/>
    <s v="Maharashtra"/>
    <n v="8"/>
    <x v="3"/>
    <x v="3"/>
    <x v="0"/>
    <x v="0"/>
    <x v="1"/>
    <x v="2"/>
    <x v="0"/>
    <x v="3"/>
    <x v="3"/>
  </r>
  <r>
    <n v="31"/>
    <s v="KOLKATTA REGION"/>
    <s v="KOLKATA"/>
    <s v="West Bengal"/>
    <n v="14"/>
    <x v="1"/>
    <x v="1"/>
    <x v="5"/>
    <x v="1"/>
    <x v="2"/>
    <x v="3"/>
    <x v="1"/>
    <x v="2"/>
    <x v="2"/>
  </r>
  <r>
    <n v="740"/>
    <s v="BANGALORE REGION"/>
    <s v="BANGALORE"/>
    <s v="Karnataka"/>
    <n v="6"/>
    <x v="4"/>
    <x v="4"/>
    <x v="0"/>
    <x v="0"/>
    <x v="0"/>
    <x v="0"/>
    <x v="0"/>
    <x v="1"/>
    <x v="0"/>
  </r>
  <r>
    <n v="2"/>
    <s v="PUNE CITY REGION"/>
    <s v="PUNE CITY"/>
    <s v="Maharashtra"/>
    <n v="8"/>
    <x v="0"/>
    <x v="5"/>
    <x v="4"/>
    <x v="2"/>
    <x v="4"/>
    <x v="1"/>
    <x v="5"/>
    <x v="2"/>
    <x v="1"/>
  </r>
  <r>
    <n v="1397"/>
    <s v="PUNE CITY REGION"/>
    <s v="PUNE CITY"/>
    <s v="Maharashtra"/>
    <n v="8"/>
    <x v="5"/>
    <x v="6"/>
    <x v="0"/>
    <x v="0"/>
    <x v="0"/>
    <x v="0"/>
    <x v="1"/>
    <x v="1"/>
    <x v="1"/>
  </r>
  <r>
    <n v="2"/>
    <s v="DELHI REGION"/>
    <s v="DELHI"/>
    <s v="Delhi"/>
    <n v="3"/>
    <x v="6"/>
    <x v="7"/>
    <x v="0"/>
    <x v="0"/>
    <x v="0"/>
    <x v="0"/>
    <x v="3"/>
    <x v="0"/>
    <x v="2"/>
  </r>
  <r>
    <n v="61"/>
    <s v="CHENNAI REGION"/>
    <s v="CHENNAI"/>
    <s v="Tamil Nadu"/>
    <n v="12"/>
    <x v="7"/>
    <x v="8"/>
    <x v="0"/>
    <x v="4"/>
    <x v="4"/>
    <x v="0"/>
    <x v="0"/>
    <x v="3"/>
    <x v="3"/>
  </r>
  <r>
    <n v="87"/>
    <s v="MUMBAI REGION"/>
    <s v="MUMBAI"/>
    <s v="Maharashtra"/>
    <n v="8"/>
    <x v="1"/>
    <x v="1"/>
    <x v="0"/>
    <x v="3"/>
    <x v="2"/>
    <x v="3"/>
    <x v="3"/>
    <x v="0"/>
    <x v="0"/>
  </r>
  <r>
    <n v="791"/>
    <s v="DELHI REGION"/>
    <s v="DELHI"/>
    <s v="Delhi"/>
    <n v="3"/>
    <x v="1"/>
    <x v="1"/>
    <x v="0"/>
    <x v="0"/>
    <x v="0"/>
    <x v="1"/>
    <x v="3"/>
    <x v="2"/>
    <x v="0"/>
  </r>
  <r>
    <n v="1454"/>
    <s v="PUNE CITY REGION"/>
    <s v="PUNE CITY"/>
    <s v="Maharashtra"/>
    <n v="8"/>
    <x v="7"/>
    <x v="8"/>
    <x v="0"/>
    <x v="0"/>
    <x v="1"/>
    <x v="2"/>
    <x v="3"/>
    <x v="0"/>
    <x v="4"/>
  </r>
  <r>
    <n v="1044"/>
    <s v="HYDERABAD REGION"/>
    <s v="HYDERABAD"/>
    <s v="Andhra Pradesh"/>
    <n v="1"/>
    <x v="1"/>
    <x v="1"/>
    <x v="0"/>
    <x v="0"/>
    <x v="4"/>
    <x v="3"/>
    <x v="1"/>
    <x v="0"/>
    <x v="2"/>
  </r>
  <r>
    <n v="4290"/>
    <s v="HYDERABAD REGION"/>
    <s v="HYDERABAD"/>
    <s v="Andhra Pradesh"/>
    <n v="1"/>
    <x v="7"/>
    <x v="8"/>
    <x v="0"/>
    <x v="0"/>
    <x v="0"/>
    <x v="0"/>
    <x v="3"/>
    <x v="0"/>
    <x v="4"/>
  </r>
  <r>
    <n v="420"/>
    <s v="AHMEDABAD  REGION"/>
    <s v="AHMEDABAD"/>
    <s v="Gujarat"/>
    <n v="5"/>
    <x v="1"/>
    <x v="1"/>
    <x v="0"/>
    <x v="3"/>
    <x v="1"/>
    <x v="2"/>
    <x v="2"/>
    <x v="2"/>
    <x v="4"/>
  </r>
  <r>
    <n v="548"/>
    <s v="NASIK REGION"/>
    <s v="NASIK"/>
    <s v="Maharashtra"/>
    <n v="8"/>
    <x v="1"/>
    <x v="1"/>
    <x v="0"/>
    <x v="3"/>
    <x v="1"/>
    <x v="2"/>
    <x v="3"/>
    <x v="0"/>
    <x v="0"/>
  </r>
  <r>
    <n v="1252"/>
    <s v="PUNE CITY REGION"/>
    <s v="PUNE CITY"/>
    <s v="Maharashtra"/>
    <n v="8"/>
    <x v="1"/>
    <x v="1"/>
    <x v="0"/>
    <x v="0"/>
    <x v="1"/>
    <x v="2"/>
    <x v="3"/>
    <x v="0"/>
    <x v="3"/>
  </r>
  <r>
    <n v="409"/>
    <s v="INDORE REGION"/>
    <s v="INDORE"/>
    <s v="Madhya Pradesh"/>
    <n v="7"/>
    <x v="8"/>
    <x v="9"/>
    <x v="0"/>
    <x v="0"/>
    <x v="0"/>
    <x v="0"/>
    <x v="3"/>
    <x v="0"/>
    <x v="0"/>
  </r>
  <r>
    <n v="1052"/>
    <s v="AHMEDABAD  REGION"/>
    <s v="AHMEDABAD"/>
    <s v="Gujarat"/>
    <n v="5"/>
    <x v="8"/>
    <x v="9"/>
    <x v="0"/>
    <x v="0"/>
    <x v="0"/>
    <x v="0"/>
    <x v="0"/>
    <x v="1"/>
    <x v="0"/>
  </r>
  <r>
    <n v="1008"/>
    <s v="CHANDIGARH REGION"/>
    <s v="CHANDIGARH"/>
    <s v="Punjab&amp;Haryana"/>
    <n v="10"/>
    <x v="8"/>
    <x v="9"/>
    <x v="0"/>
    <x v="0"/>
    <x v="7"/>
    <x v="5"/>
    <x v="5"/>
    <x v="3"/>
    <x v="3"/>
  </r>
  <r>
    <n v="1"/>
    <s v="MUMBAI REGION"/>
    <s v="MUMBAI"/>
    <s v="Maharashtra"/>
    <n v="8"/>
    <x v="2"/>
    <x v="2"/>
    <x v="5"/>
    <x v="1"/>
    <x v="4"/>
    <x v="1"/>
    <x v="2"/>
    <x v="1"/>
    <x v="2"/>
  </r>
  <r>
    <n v="3221"/>
    <s v="PUNE CITY REGION"/>
    <s v="PUNE CITY"/>
    <s v="Maharashtra"/>
    <n v="8"/>
    <x v="1"/>
    <x v="1"/>
    <x v="0"/>
    <x v="0"/>
    <x v="0"/>
    <x v="0"/>
    <x v="2"/>
    <x v="0"/>
    <x v="3"/>
  </r>
  <r>
    <n v="2"/>
    <s v="KOLKATTA REGION"/>
    <s v="KOLKATA"/>
    <s v="West Bengal"/>
    <n v="14"/>
    <x v="2"/>
    <x v="2"/>
    <x v="4"/>
    <x v="1"/>
    <x v="2"/>
    <x v="1"/>
    <x v="3"/>
    <x v="2"/>
    <x v="0"/>
  </r>
  <r>
    <n v="3"/>
    <s v="MUMBAI REGION"/>
    <s v="MUMBAI"/>
    <s v="Maharashtra"/>
    <n v="8"/>
    <x v="0"/>
    <x v="5"/>
    <x v="1"/>
    <x v="1"/>
    <x v="1"/>
    <x v="2"/>
    <x v="3"/>
    <x v="2"/>
    <x v="0"/>
  </r>
  <r>
    <n v="44"/>
    <s v="PUNE CITY REGION"/>
    <s v="PUNE CITY"/>
    <s v="Maharashtra"/>
    <n v="8"/>
    <x v="8"/>
    <x v="9"/>
    <x v="0"/>
    <x v="0"/>
    <x v="1"/>
    <x v="2"/>
    <x v="3"/>
    <x v="0"/>
    <x v="0"/>
  </r>
  <r>
    <n v="4"/>
    <s v="MUMBAI REGION"/>
    <s v="MUMBAI"/>
    <s v="Maharashtra"/>
    <n v="8"/>
    <x v="9"/>
    <x v="10"/>
    <x v="1"/>
    <x v="4"/>
    <x v="2"/>
    <x v="3"/>
    <x v="1"/>
    <x v="4"/>
    <x v="1"/>
  </r>
  <r>
    <n v="267"/>
    <s v="MUMBAI REGION"/>
    <s v="MUMBAI"/>
    <s v="Maharashtra"/>
    <n v="8"/>
    <x v="7"/>
    <x v="8"/>
    <x v="0"/>
    <x v="0"/>
    <x v="0"/>
    <x v="0"/>
    <x v="0"/>
    <x v="0"/>
    <x v="4"/>
  </r>
  <r>
    <n v="1"/>
    <s v="PUNE CITY REGION"/>
    <s v="PUNE CITY"/>
    <s v="Maharashtra"/>
    <n v="8"/>
    <x v="1"/>
    <x v="1"/>
    <x v="1"/>
    <x v="3"/>
    <x v="1"/>
    <x v="2"/>
    <x v="1"/>
    <x v="1"/>
    <x v="0"/>
  </r>
  <r>
    <n v="54"/>
    <s v="PUNE CITY REGION"/>
    <s v="PUNE CITY"/>
    <s v="Maharashtra"/>
    <n v="8"/>
    <x v="2"/>
    <x v="2"/>
    <x v="2"/>
    <x v="3"/>
    <x v="0"/>
    <x v="0"/>
    <x v="0"/>
    <x v="3"/>
    <x v="3"/>
  </r>
  <r>
    <n v="3012"/>
    <s v="PUNE RURAL REGION"/>
    <s v="PUNE RURAL"/>
    <s v="Maharashtra"/>
    <n v="8"/>
    <x v="2"/>
    <x v="2"/>
    <x v="0"/>
    <x v="0"/>
    <x v="0"/>
    <x v="7"/>
    <x v="1"/>
    <x v="1"/>
    <x v="5"/>
  </r>
  <r>
    <n v="351"/>
    <s v="CHENNAI REGION"/>
    <s v="CHENNAI"/>
    <s v="Tamil Nadu"/>
    <n v="12"/>
    <x v="3"/>
    <x v="3"/>
    <x v="0"/>
    <x v="0"/>
    <x v="0"/>
    <x v="0"/>
    <x v="0"/>
    <x v="0"/>
    <x v="0"/>
  </r>
  <r>
    <n v="1168"/>
    <s v="MUMBAI REGION"/>
    <s v="MUMBAI"/>
    <s v="Maharashtra"/>
    <n v="8"/>
    <x v="1"/>
    <x v="1"/>
    <x v="0"/>
    <x v="0"/>
    <x v="0"/>
    <x v="0"/>
    <x v="0"/>
    <x v="2"/>
    <x v="1"/>
  </r>
  <r>
    <n v="299"/>
    <s v="BANGALORE REGION"/>
    <s v="BANGALORE"/>
    <s v="Karnataka"/>
    <n v="6"/>
    <x v="10"/>
    <x v="11"/>
    <x v="0"/>
    <x v="3"/>
    <x v="1"/>
    <x v="2"/>
    <x v="1"/>
    <x v="1"/>
    <x v="2"/>
  </r>
  <r>
    <n v="14"/>
    <s v="HYDERABAD REGION"/>
    <s v="HYDERABAD"/>
    <s v="Andhra Pradesh"/>
    <n v="1"/>
    <x v="11"/>
    <x v="12"/>
    <x v="0"/>
    <x v="0"/>
    <x v="0"/>
    <x v="0"/>
    <x v="0"/>
    <x v="0"/>
    <x v="4"/>
  </r>
  <r>
    <n v="15"/>
    <s v="NASIK REGION"/>
    <s v="NASIK"/>
    <s v="Maharashtra"/>
    <n v="8"/>
    <x v="12"/>
    <x v="13"/>
    <x v="0"/>
    <x v="0"/>
    <x v="0"/>
    <x v="2"/>
    <x v="1"/>
    <x v="4"/>
    <x v="3"/>
  </r>
  <r>
    <n v="220"/>
    <s v="KOLHAPUR REGION"/>
    <s v="KOLHAPUR"/>
    <s v="Maharashtra"/>
    <n v="8"/>
    <x v="0"/>
    <x v="5"/>
    <x v="2"/>
    <x v="1"/>
    <x v="2"/>
    <x v="2"/>
    <x v="2"/>
    <x v="1"/>
    <x v="4"/>
  </r>
  <r>
    <n v="16"/>
    <s v="NAGPUR REGION"/>
    <s v="NAGPUR"/>
    <s v="Maharashtra"/>
    <n v="8"/>
    <x v="13"/>
    <x v="14"/>
    <x v="2"/>
    <x v="3"/>
    <x v="1"/>
    <x v="2"/>
    <x v="3"/>
    <x v="0"/>
    <x v="0"/>
  </r>
  <r>
    <n v="447"/>
    <s v="NAGPUR REGION"/>
    <s v="NAGPUR"/>
    <s v="Maharashtra"/>
    <n v="8"/>
    <x v="2"/>
    <x v="2"/>
    <x v="1"/>
    <x v="4"/>
    <x v="5"/>
    <x v="3"/>
    <x v="3"/>
    <x v="3"/>
    <x v="3"/>
  </r>
  <r>
    <n v="1267"/>
    <s v="PUNE CITY REGION"/>
    <s v="PUNE CITY"/>
    <s v="Maharashtra"/>
    <n v="8"/>
    <x v="10"/>
    <x v="11"/>
    <x v="5"/>
    <x v="1"/>
    <x v="2"/>
    <x v="3"/>
    <x v="1"/>
    <x v="2"/>
    <x v="3"/>
  </r>
  <r>
    <n v="979"/>
    <s v="PUNE CITY REGION"/>
    <s v="PUNE CITY"/>
    <s v="Maharashtra"/>
    <n v="8"/>
    <x v="1"/>
    <x v="1"/>
    <x v="0"/>
    <x v="0"/>
    <x v="0"/>
    <x v="0"/>
    <x v="3"/>
    <x v="1"/>
    <x v="3"/>
  </r>
  <r>
    <n v="646"/>
    <s v="AHMEDABAD  REGION"/>
    <s v="AHMEDABAD"/>
    <s v="Gujarat"/>
    <n v="5"/>
    <x v="7"/>
    <x v="8"/>
    <x v="0"/>
    <x v="0"/>
    <x v="0"/>
    <x v="0"/>
    <x v="3"/>
    <x v="0"/>
    <x v="4"/>
  </r>
  <r>
    <n v="154"/>
    <s v="DELHI REGION"/>
    <s v="DELHI"/>
    <s v="Delhi"/>
    <n v="3"/>
    <x v="14"/>
    <x v="15"/>
    <x v="0"/>
    <x v="0"/>
    <x v="0"/>
    <x v="3"/>
    <x v="2"/>
    <x v="2"/>
    <x v="3"/>
  </r>
  <r>
    <n v="2148"/>
    <s v="RATNAGIRI REGION"/>
    <s v="RATNAGIRI"/>
    <s v="Maharashtra"/>
    <n v="8"/>
    <x v="1"/>
    <x v="1"/>
    <x v="0"/>
    <x v="0"/>
    <x v="0"/>
    <x v="0"/>
    <x v="1"/>
    <x v="1"/>
    <x v="1"/>
  </r>
  <r>
    <n v="6"/>
    <s v="MUMBAI REGION"/>
    <s v="MUMBAI"/>
    <s v="Maharashtra"/>
    <n v="8"/>
    <x v="12"/>
    <x v="13"/>
    <x v="1"/>
    <x v="1"/>
    <x v="4"/>
    <x v="2"/>
    <x v="1"/>
    <x v="2"/>
    <x v="4"/>
  </r>
  <r>
    <n v="515"/>
    <s v="GOA REGION"/>
    <s v="GOA"/>
    <s v="Goa"/>
    <n v="4"/>
    <x v="5"/>
    <x v="6"/>
    <x v="0"/>
    <x v="0"/>
    <x v="0"/>
    <x v="2"/>
    <x v="2"/>
    <x v="3"/>
    <x v="3"/>
  </r>
  <r>
    <n v="556"/>
    <s v="THANE REGION"/>
    <s v="THANE"/>
    <s v="Maharashtra"/>
    <n v="8"/>
    <x v="3"/>
    <x v="3"/>
    <x v="2"/>
    <x v="3"/>
    <x v="0"/>
    <x v="0"/>
    <x v="0"/>
    <x v="3"/>
    <x v="3"/>
  </r>
  <r>
    <n v="410"/>
    <s v="PUNE CITY REGION"/>
    <s v="PUNE CITY"/>
    <s v="Maharashtra"/>
    <n v="8"/>
    <x v="0"/>
    <x v="5"/>
    <x v="0"/>
    <x v="0"/>
    <x v="0"/>
    <x v="0"/>
    <x v="3"/>
    <x v="1"/>
    <x v="2"/>
  </r>
  <r>
    <n v="1508"/>
    <s v="MUMBAI REGION"/>
    <s v="MUMBAI"/>
    <s v="Maharashtra"/>
    <n v="8"/>
    <x v="2"/>
    <x v="2"/>
    <x v="0"/>
    <x v="0"/>
    <x v="0"/>
    <x v="0"/>
    <x v="3"/>
    <x v="0"/>
    <x v="3"/>
  </r>
  <r>
    <n v="123"/>
    <s v="AURANGABAD REGION"/>
    <s v="AURANGABAD"/>
    <s v="Maharashtra"/>
    <n v="8"/>
    <x v="13"/>
    <x v="14"/>
    <x v="0"/>
    <x v="0"/>
    <x v="2"/>
    <x v="7"/>
    <x v="2"/>
    <x v="1"/>
    <x v="2"/>
  </r>
  <r>
    <n v="1853"/>
    <s v="HYDERABAD REGION"/>
    <s v="HYDERABAD"/>
    <s v="Andhra Pradesh"/>
    <n v="1"/>
    <x v="10"/>
    <x v="11"/>
    <x v="0"/>
    <x v="0"/>
    <x v="0"/>
    <x v="0"/>
    <x v="1"/>
    <x v="1"/>
    <x v="3"/>
  </r>
  <r>
    <n v="102"/>
    <s v="HYDERABAD REGION"/>
    <s v="HYDERABAD"/>
    <s v="Andhra Pradesh"/>
    <n v="1"/>
    <x v="7"/>
    <x v="8"/>
    <x v="0"/>
    <x v="0"/>
    <x v="0"/>
    <x v="0"/>
    <x v="0"/>
    <x v="1"/>
    <x v="0"/>
  </r>
  <r>
    <n v="1018"/>
    <s v="MUMBAI REGION"/>
    <s v="MUMBAI"/>
    <s v="Maharashtra"/>
    <n v="8"/>
    <x v="2"/>
    <x v="2"/>
    <x v="0"/>
    <x v="0"/>
    <x v="0"/>
    <x v="0"/>
    <x v="0"/>
    <x v="0"/>
    <x v="4"/>
  </r>
  <r>
    <n v="133"/>
    <s v="MUMBAI REGION"/>
    <s v="MUMBAI"/>
    <s v="Maharashtra"/>
    <n v="8"/>
    <x v="2"/>
    <x v="2"/>
    <x v="7"/>
    <x v="7"/>
    <x v="6"/>
    <x v="0"/>
    <x v="0"/>
    <x v="3"/>
    <x v="3"/>
  </r>
  <r>
    <n v="2432"/>
    <s v="BANGALORE REGION"/>
    <s v="BANGALORE"/>
    <s v="Karnataka"/>
    <n v="6"/>
    <x v="4"/>
    <x v="4"/>
    <x v="0"/>
    <x v="0"/>
    <x v="0"/>
    <x v="0"/>
    <x v="3"/>
    <x v="0"/>
    <x v="2"/>
  </r>
  <r>
    <n v="350"/>
    <s v="MUMBAI REGION"/>
    <s v="MUMBAI"/>
    <s v="Maharashtra"/>
    <n v="8"/>
    <x v="11"/>
    <x v="12"/>
    <x v="5"/>
    <x v="1"/>
    <x v="1"/>
    <x v="2"/>
    <x v="1"/>
    <x v="2"/>
    <x v="4"/>
  </r>
  <r>
    <n v="373"/>
    <s v="PUNE CITY REGION"/>
    <s v="PUNE CITY"/>
    <s v="Maharashtra"/>
    <n v="8"/>
    <x v="10"/>
    <x v="11"/>
    <x v="0"/>
    <x v="0"/>
    <x v="0"/>
    <x v="3"/>
    <x v="2"/>
    <x v="2"/>
    <x v="0"/>
  </r>
  <r>
    <n v="829"/>
    <s v="PUNE CITY REGION"/>
    <s v="PUNE CITY"/>
    <s v="Maharashtra"/>
    <n v="8"/>
    <x v="1"/>
    <x v="1"/>
    <x v="0"/>
    <x v="0"/>
    <x v="0"/>
    <x v="3"/>
    <x v="3"/>
    <x v="3"/>
    <x v="3"/>
  </r>
  <r>
    <n v="3285"/>
    <s v="PUNE CITY REGION"/>
    <s v="PUNE CITY"/>
    <s v="Maharashtra"/>
    <n v="8"/>
    <x v="2"/>
    <x v="2"/>
    <x v="0"/>
    <x v="0"/>
    <x v="0"/>
    <x v="0"/>
    <x v="2"/>
    <x v="2"/>
    <x v="2"/>
  </r>
  <r>
    <n v="449"/>
    <s v="AHMEDABAD  REGION"/>
    <s v="AHMEDABAD"/>
    <s v="Gujarat"/>
    <n v="5"/>
    <x v="4"/>
    <x v="4"/>
    <x v="1"/>
    <x v="2"/>
    <x v="0"/>
    <x v="0"/>
    <x v="0"/>
    <x v="3"/>
    <x v="3"/>
  </r>
  <r>
    <n v="433"/>
    <s v="MUMBAI REGION"/>
    <s v="MUMBAI"/>
    <s v="Maharashtra"/>
    <n v="8"/>
    <x v="9"/>
    <x v="10"/>
    <x v="0"/>
    <x v="0"/>
    <x v="1"/>
    <x v="2"/>
    <x v="0"/>
    <x v="3"/>
    <x v="3"/>
  </r>
  <r>
    <n v="1549"/>
    <s v="RAIPUR REGION"/>
    <s v="RAIPUR"/>
    <s v="Chhattisgarh"/>
    <n v="2"/>
    <x v="16"/>
    <x v="17"/>
    <x v="0"/>
    <x v="0"/>
    <x v="0"/>
    <x v="0"/>
    <x v="0"/>
    <x v="1"/>
    <x v="0"/>
  </r>
  <r>
    <n v="11"/>
    <s v="MUMBAI REGION"/>
    <s v="MUMBAI"/>
    <s v="Maharashtra"/>
    <n v="8"/>
    <x v="9"/>
    <x v="10"/>
    <x v="1"/>
    <x v="4"/>
    <x v="4"/>
    <x v="3"/>
    <x v="3"/>
    <x v="1"/>
    <x v="4"/>
  </r>
  <r>
    <n v="1441"/>
    <s v="PUNE CITY REGION"/>
    <s v="PUNE CITY"/>
    <s v="Maharashtra"/>
    <n v="8"/>
    <x v="12"/>
    <x v="13"/>
    <x v="5"/>
    <x v="3"/>
    <x v="0"/>
    <x v="0"/>
    <x v="0"/>
    <x v="3"/>
    <x v="3"/>
  </r>
  <r>
    <n v="13"/>
    <s v="CHENNAI REGION"/>
    <s v="CHENNAI"/>
    <s v="Tamil Nadu"/>
    <n v="12"/>
    <x v="12"/>
    <x v="13"/>
    <x v="2"/>
    <x v="3"/>
    <x v="1"/>
    <x v="2"/>
    <x v="3"/>
    <x v="2"/>
    <x v="4"/>
  </r>
  <r>
    <n v="11"/>
    <s v="NASIK REGION"/>
    <s v="NASIK"/>
    <s v="Maharashtra"/>
    <n v="8"/>
    <x v="2"/>
    <x v="2"/>
    <x v="0"/>
    <x v="1"/>
    <x v="4"/>
    <x v="2"/>
    <x v="3"/>
    <x v="2"/>
    <x v="1"/>
  </r>
  <r>
    <n v="893"/>
    <s v="PUNE CITY REGION"/>
    <s v="PUNE CITY"/>
    <s v="Maharashtra"/>
    <n v="8"/>
    <x v="0"/>
    <x v="5"/>
    <x v="0"/>
    <x v="0"/>
    <x v="1"/>
    <x v="2"/>
    <x v="1"/>
    <x v="0"/>
    <x v="4"/>
  </r>
  <r>
    <n v="286"/>
    <s v="DELHI REGION"/>
    <s v="DELHI"/>
    <s v="Delhi"/>
    <n v="3"/>
    <x v="1"/>
    <x v="1"/>
    <x v="0"/>
    <x v="0"/>
    <x v="0"/>
    <x v="0"/>
    <x v="0"/>
    <x v="0"/>
    <x v="0"/>
  </r>
  <r>
    <n v="341"/>
    <s v="DELHI REGION"/>
    <s v="DELHI"/>
    <s v="Delhi"/>
    <n v="3"/>
    <x v="2"/>
    <x v="2"/>
    <x v="0"/>
    <x v="4"/>
    <x v="4"/>
    <x v="3"/>
    <x v="5"/>
    <x v="1"/>
    <x v="2"/>
  </r>
  <r>
    <n v="108"/>
    <s v="THANE REGION"/>
    <s v="THANE"/>
    <s v="Maharashtra"/>
    <n v="8"/>
    <x v="3"/>
    <x v="3"/>
    <x v="0"/>
    <x v="4"/>
    <x v="2"/>
    <x v="3"/>
    <x v="2"/>
    <x v="4"/>
    <x v="1"/>
  </r>
  <r>
    <n v="536"/>
    <s v="MUMBAI REGION"/>
    <s v="MUMBAI"/>
    <s v="Maharashtra"/>
    <n v="8"/>
    <x v="3"/>
    <x v="3"/>
    <x v="0"/>
    <x v="3"/>
    <x v="1"/>
    <x v="2"/>
    <x v="0"/>
    <x v="3"/>
    <x v="3"/>
  </r>
  <r>
    <n v="1072"/>
    <s v="BANGALORE REGION"/>
    <s v="BANGALORE"/>
    <s v="Karnataka"/>
    <n v="6"/>
    <x v="1"/>
    <x v="1"/>
    <x v="0"/>
    <x v="0"/>
    <x v="0"/>
    <x v="0"/>
    <x v="3"/>
    <x v="2"/>
    <x v="4"/>
  </r>
  <r>
    <n v="2"/>
    <s v="MUMBAI REGION"/>
    <s v="MUMBAI"/>
    <s v="Maharashtra"/>
    <n v="8"/>
    <x v="4"/>
    <x v="4"/>
    <x v="0"/>
    <x v="0"/>
    <x v="0"/>
    <x v="3"/>
    <x v="1"/>
    <x v="3"/>
    <x v="3"/>
  </r>
  <r>
    <n v="3"/>
    <s v="MUMBAI REGION"/>
    <s v="MUMBAI"/>
    <s v="Maharashtra"/>
    <n v="8"/>
    <x v="0"/>
    <x v="5"/>
    <x v="0"/>
    <x v="0"/>
    <x v="0"/>
    <x v="1"/>
    <x v="1"/>
    <x v="3"/>
    <x v="3"/>
  </r>
  <r>
    <n v="282"/>
    <s v="BANGALORE REGION"/>
    <s v="BANGALORE"/>
    <s v="Karnataka"/>
    <n v="6"/>
    <x v="5"/>
    <x v="6"/>
    <x v="0"/>
    <x v="4"/>
    <x v="1"/>
    <x v="2"/>
    <x v="3"/>
    <x v="2"/>
    <x v="4"/>
  </r>
  <r>
    <n v="332"/>
    <s v="MUMBAI REGION"/>
    <s v="MUMBAI"/>
    <s v="Maharashtra"/>
    <n v="8"/>
    <x v="6"/>
    <x v="7"/>
    <x v="0"/>
    <x v="0"/>
    <x v="1"/>
    <x v="3"/>
    <x v="1"/>
    <x v="3"/>
    <x v="3"/>
  </r>
  <r>
    <n v="464"/>
    <s v="MUMBAI REGION"/>
    <s v="MUMBAI"/>
    <s v="Maharashtra"/>
    <n v="8"/>
    <x v="7"/>
    <x v="8"/>
    <x v="0"/>
    <x v="0"/>
    <x v="0"/>
    <x v="0"/>
    <x v="0"/>
    <x v="4"/>
    <x v="1"/>
  </r>
  <r>
    <n v="534"/>
    <s v="MUMBAI REGION"/>
    <s v="MUMBAI"/>
    <s v="Maharashtra"/>
    <n v="8"/>
    <x v="1"/>
    <x v="1"/>
    <x v="0"/>
    <x v="0"/>
    <x v="0"/>
    <x v="2"/>
    <x v="5"/>
    <x v="4"/>
    <x v="3"/>
  </r>
  <r>
    <n v="502"/>
    <s v="MUMBAI REGION"/>
    <s v="MUMBAI"/>
    <s v="Maharashtra"/>
    <n v="8"/>
    <x v="1"/>
    <x v="1"/>
    <x v="0"/>
    <x v="3"/>
    <x v="1"/>
    <x v="0"/>
    <x v="0"/>
    <x v="3"/>
    <x v="3"/>
  </r>
  <r>
    <n v="949"/>
    <s v="MUMBAI REGION"/>
    <s v="MUMBAI"/>
    <s v="Maharashtra"/>
    <n v="8"/>
    <x v="7"/>
    <x v="8"/>
    <x v="0"/>
    <x v="0"/>
    <x v="0"/>
    <x v="2"/>
    <x v="5"/>
    <x v="4"/>
    <x v="3"/>
  </r>
  <r>
    <n v="280"/>
    <s v="BANGALORE REGION"/>
    <s v="BANGALORE"/>
    <s v="Karnataka"/>
    <n v="6"/>
    <x v="1"/>
    <x v="1"/>
    <x v="0"/>
    <x v="1"/>
    <x v="1"/>
    <x v="2"/>
    <x v="3"/>
    <x v="2"/>
    <x v="2"/>
  </r>
  <r>
    <n v="1104"/>
    <s v="MUMBAI REGION"/>
    <s v="MUMBAI"/>
    <s v="Maharashtra"/>
    <n v="8"/>
    <x v="7"/>
    <x v="8"/>
    <x v="0"/>
    <x v="0"/>
    <x v="0"/>
    <x v="0"/>
    <x v="3"/>
    <x v="0"/>
    <x v="3"/>
  </r>
  <r>
    <n v="419"/>
    <s v="MUMBAI REGION"/>
    <s v="MUMBAI"/>
    <s v="Maharashtra"/>
    <n v="8"/>
    <x v="1"/>
    <x v="1"/>
    <x v="5"/>
    <x v="3"/>
    <x v="1"/>
    <x v="3"/>
    <x v="3"/>
    <x v="0"/>
    <x v="3"/>
  </r>
  <r>
    <n v="12"/>
    <s v="MUMBAI REGION"/>
    <s v="MUMBAI"/>
    <s v="Maharashtra"/>
    <n v="8"/>
    <x v="1"/>
    <x v="1"/>
    <x v="1"/>
    <x v="3"/>
    <x v="1"/>
    <x v="2"/>
    <x v="3"/>
    <x v="0"/>
    <x v="2"/>
  </r>
  <r>
    <n v="48"/>
    <s v="AURANGABAD REGION"/>
    <s v="AURANGABAD"/>
    <s v="Maharashtra"/>
    <n v="8"/>
    <x v="1"/>
    <x v="1"/>
    <x v="5"/>
    <x v="1"/>
    <x v="1"/>
    <x v="0"/>
    <x v="0"/>
    <x v="3"/>
    <x v="3"/>
  </r>
  <r>
    <n v="2"/>
    <s v="MUMBAI REGION"/>
    <s v="MUMBAI"/>
    <s v="Maharashtra"/>
    <n v="8"/>
    <x v="8"/>
    <x v="9"/>
    <x v="5"/>
    <x v="3"/>
    <x v="0"/>
    <x v="2"/>
    <x v="3"/>
    <x v="0"/>
    <x v="2"/>
  </r>
  <r>
    <n v="25"/>
    <s v="NASIK REGION"/>
    <s v="NASIK"/>
    <s v="Maharashtra"/>
    <n v="8"/>
    <x v="8"/>
    <x v="9"/>
    <x v="0"/>
    <x v="3"/>
    <x v="1"/>
    <x v="2"/>
    <x v="3"/>
    <x v="0"/>
    <x v="0"/>
  </r>
  <r>
    <n v="37"/>
    <s v="CHENNAI REGION"/>
    <s v="CHENNAI"/>
    <s v="Tamil Nadu"/>
    <n v="12"/>
    <x v="8"/>
    <x v="9"/>
    <x v="0"/>
    <x v="0"/>
    <x v="0"/>
    <x v="0"/>
    <x v="0"/>
    <x v="0"/>
    <x v="0"/>
  </r>
  <r>
    <n v="561"/>
    <s v="PUNE CITY REGION"/>
    <s v="PUNE CITY"/>
    <s v="Maharashtra"/>
    <n v="8"/>
    <x v="2"/>
    <x v="2"/>
    <x v="0"/>
    <x v="0"/>
    <x v="0"/>
    <x v="3"/>
    <x v="3"/>
    <x v="0"/>
    <x v="1"/>
  </r>
  <r>
    <n v="2"/>
    <s v="PUNE CITY REGION"/>
    <s v="PUNE CITY"/>
    <s v="Maharashtra"/>
    <n v="8"/>
    <x v="1"/>
    <x v="1"/>
    <x v="5"/>
    <x v="1"/>
    <x v="1"/>
    <x v="2"/>
    <x v="3"/>
    <x v="1"/>
    <x v="0"/>
  </r>
  <r>
    <n v="350"/>
    <s v="PUNE CITY REGION"/>
    <s v="PUNE CITY"/>
    <s v="Maharashtra"/>
    <n v="8"/>
    <x v="2"/>
    <x v="2"/>
    <x v="5"/>
    <x v="3"/>
    <x v="0"/>
    <x v="0"/>
    <x v="0"/>
    <x v="3"/>
    <x v="3"/>
  </r>
  <r>
    <n v="3974"/>
    <s v="PUNE CITY REGION"/>
    <s v="PUNE CITY"/>
    <s v="Maharashtra"/>
    <n v="8"/>
    <x v="0"/>
    <x v="5"/>
    <x v="0"/>
    <x v="4"/>
    <x v="1"/>
    <x v="3"/>
    <x v="1"/>
    <x v="0"/>
    <x v="2"/>
  </r>
  <r>
    <n v="2094"/>
    <s v="PUNE CITY REGION"/>
    <s v="PUNE CITY"/>
    <s v="Maharashtra"/>
    <n v="8"/>
    <x v="8"/>
    <x v="9"/>
    <x v="0"/>
    <x v="0"/>
    <x v="0"/>
    <x v="0"/>
    <x v="3"/>
    <x v="2"/>
    <x v="4"/>
  </r>
  <r>
    <n v="126"/>
    <s v="GOA REGION"/>
    <s v="GOA"/>
    <s v="Goa"/>
    <n v="4"/>
    <x v="9"/>
    <x v="10"/>
    <x v="5"/>
    <x v="3"/>
    <x v="1"/>
    <x v="3"/>
    <x v="3"/>
    <x v="3"/>
    <x v="3"/>
  </r>
  <r>
    <n v="1158"/>
    <s v="DELHI REGION"/>
    <s v="DELHI"/>
    <s v="Delhi"/>
    <n v="3"/>
    <x v="7"/>
    <x v="8"/>
    <x v="0"/>
    <x v="0"/>
    <x v="0"/>
    <x v="0"/>
    <x v="1"/>
    <x v="0"/>
    <x v="4"/>
  </r>
  <r>
    <n v="8"/>
    <s v="MUMBAI REGION"/>
    <s v="MUMBAI"/>
    <s v="Maharashtra"/>
    <n v="8"/>
    <x v="1"/>
    <x v="1"/>
    <x v="0"/>
    <x v="0"/>
    <x v="0"/>
    <x v="0"/>
    <x v="1"/>
    <x v="1"/>
    <x v="0"/>
  </r>
  <r>
    <n v="7"/>
    <s v="HYDERABAD REGION"/>
    <s v="HYDERABAD"/>
    <s v="Andhra Pradesh"/>
    <n v="1"/>
    <x v="2"/>
    <x v="2"/>
    <x v="0"/>
    <x v="0"/>
    <x v="0"/>
    <x v="0"/>
    <x v="0"/>
    <x v="0"/>
    <x v="2"/>
  </r>
  <r>
    <n v="3823"/>
    <s v="AURANGABAD REGION"/>
    <s v="AURANGABAD"/>
    <s v="Maharashtra"/>
    <n v="8"/>
    <x v="2"/>
    <x v="2"/>
    <x v="0"/>
    <x v="0"/>
    <x v="0"/>
    <x v="0"/>
    <x v="0"/>
    <x v="1"/>
    <x v="4"/>
  </r>
  <r>
    <n v="11"/>
    <s v="MUMBAI REGION"/>
    <s v="MUMBAI"/>
    <s v="Maharashtra"/>
    <n v="8"/>
    <x v="3"/>
    <x v="3"/>
    <x v="0"/>
    <x v="4"/>
    <x v="4"/>
    <x v="3"/>
    <x v="0"/>
    <x v="3"/>
    <x v="3"/>
  </r>
  <r>
    <n v="489"/>
    <s v="DELHI REGION"/>
    <s v="DELHI"/>
    <s v="Delhi"/>
    <n v="3"/>
    <x v="1"/>
    <x v="1"/>
    <x v="0"/>
    <x v="0"/>
    <x v="0"/>
    <x v="2"/>
    <x v="1"/>
    <x v="1"/>
    <x v="3"/>
  </r>
  <r>
    <n v="2789"/>
    <s v="PUNE CITY REGION"/>
    <s v="PUNE CITY"/>
    <s v="Maharashtra"/>
    <n v="8"/>
    <x v="10"/>
    <x v="11"/>
    <x v="0"/>
    <x v="0"/>
    <x v="0"/>
    <x v="0"/>
    <x v="1"/>
    <x v="1"/>
    <x v="4"/>
  </r>
  <r>
    <n v="66"/>
    <s v="DELHI REGION"/>
    <s v="DELHI"/>
    <s v="Delhi"/>
    <n v="3"/>
    <x v="11"/>
    <x v="12"/>
    <x v="0"/>
    <x v="0"/>
    <x v="0"/>
    <x v="0"/>
    <x v="2"/>
    <x v="0"/>
    <x v="3"/>
  </r>
  <r>
    <n v="1244"/>
    <s v="PUNE CITY REGION"/>
    <s v="PUNE CITY"/>
    <s v="Maharashtra"/>
    <n v="8"/>
    <x v="12"/>
    <x v="13"/>
    <x v="0"/>
    <x v="0"/>
    <x v="0"/>
    <x v="3"/>
    <x v="3"/>
    <x v="0"/>
    <x v="3"/>
  </r>
  <r>
    <n v="7"/>
    <s v="MUMBAI REGION"/>
    <s v="MUMBAI"/>
    <s v="Maharashtra"/>
    <n v="8"/>
    <x v="0"/>
    <x v="5"/>
    <x v="4"/>
    <x v="6"/>
    <x v="4"/>
    <x v="1"/>
    <x v="2"/>
    <x v="2"/>
    <x v="2"/>
  </r>
  <r>
    <n v="6"/>
    <s v="MUMBAI REGION"/>
    <s v="MUMBAI"/>
    <s v="Maharashtra"/>
    <n v="8"/>
    <x v="13"/>
    <x v="14"/>
    <x v="5"/>
    <x v="4"/>
    <x v="5"/>
    <x v="3"/>
    <x v="2"/>
    <x v="2"/>
    <x v="2"/>
  </r>
  <r>
    <n v="46"/>
    <s v="PUNE CITY REGION"/>
    <s v="PUNE CITY"/>
    <s v="Maharashtra"/>
    <n v="8"/>
    <x v="2"/>
    <x v="2"/>
    <x v="5"/>
    <x v="4"/>
    <x v="4"/>
    <x v="2"/>
    <x v="1"/>
    <x v="0"/>
    <x v="0"/>
  </r>
  <r>
    <n v="2461"/>
    <s v="PUNE CITY REGION"/>
    <s v="PUNE CITY"/>
    <s v="Maharashtra"/>
    <n v="8"/>
    <x v="10"/>
    <x v="11"/>
    <x v="0"/>
    <x v="0"/>
    <x v="0"/>
    <x v="0"/>
    <x v="0"/>
    <x v="4"/>
    <x v="2"/>
  </r>
  <r>
    <n v="6"/>
    <s v="MUMBAI REGION"/>
    <s v="MUMBAI"/>
    <s v="Maharashtra"/>
    <n v="8"/>
    <x v="1"/>
    <x v="1"/>
    <x v="2"/>
    <x v="3"/>
    <x v="2"/>
    <x v="0"/>
    <x v="0"/>
    <x v="3"/>
    <x v="3"/>
  </r>
  <r>
    <n v="3464"/>
    <s v="PUNE CITY REGION"/>
    <s v="PUNE CITY"/>
    <s v="Maharashtra"/>
    <n v="8"/>
    <x v="7"/>
    <x v="8"/>
    <x v="0"/>
    <x v="0"/>
    <x v="0"/>
    <x v="4"/>
    <x v="8"/>
    <x v="6"/>
    <x v="6"/>
  </r>
  <r>
    <n v="37"/>
    <s v="HYDERABAD REGION"/>
    <s v="HYDERABAD"/>
    <s v="Andhra Pradesh"/>
    <n v="1"/>
    <x v="14"/>
    <x v="15"/>
    <x v="5"/>
    <x v="4"/>
    <x v="4"/>
    <x v="1"/>
    <x v="1"/>
    <x v="1"/>
    <x v="0"/>
  </r>
  <r>
    <n v="19"/>
    <s v="KOLKATTA REGION"/>
    <s v="KOLKATA"/>
    <s v="West Bengal"/>
    <n v="14"/>
    <x v="1"/>
    <x v="1"/>
    <x v="6"/>
    <x v="6"/>
    <x v="3"/>
    <x v="8"/>
    <x v="6"/>
    <x v="3"/>
    <x v="3"/>
  </r>
  <r>
    <n v="480"/>
    <s v="DELHI REGION"/>
    <s v="DELHI"/>
    <s v="Delhi"/>
    <n v="3"/>
    <x v="12"/>
    <x v="13"/>
    <x v="0"/>
    <x v="0"/>
    <x v="0"/>
    <x v="0"/>
    <x v="0"/>
    <x v="0"/>
    <x v="0"/>
  </r>
  <r>
    <n v="1"/>
    <s v="PUNE CITY REGION"/>
    <s v="PUNE CITY"/>
    <s v="Maharashtra"/>
    <n v="8"/>
    <x v="5"/>
    <x v="6"/>
    <x v="3"/>
    <x v="5"/>
    <x v="8"/>
    <x v="0"/>
    <x v="0"/>
    <x v="3"/>
    <x v="3"/>
  </r>
  <r>
    <n v="17"/>
    <s v="GOA REGION"/>
    <s v="GOA"/>
    <s v="Goa"/>
    <n v="4"/>
    <x v="3"/>
    <x v="3"/>
    <x v="1"/>
    <x v="3"/>
    <x v="1"/>
    <x v="0"/>
    <x v="0"/>
    <x v="3"/>
    <x v="3"/>
  </r>
  <r>
    <n v="214"/>
    <s v="GOA REGION"/>
    <s v="GOA"/>
    <s v="Goa"/>
    <n v="4"/>
    <x v="0"/>
    <x v="5"/>
    <x v="4"/>
    <x v="3"/>
    <x v="1"/>
    <x v="0"/>
    <x v="0"/>
    <x v="3"/>
    <x v="3"/>
  </r>
  <r>
    <n v="23"/>
    <s v="MUMBAI REGION"/>
    <s v="MUMBAI"/>
    <s v="Maharashtra"/>
    <n v="8"/>
    <x v="2"/>
    <x v="2"/>
    <x v="4"/>
    <x v="7"/>
    <x v="5"/>
    <x v="7"/>
    <x v="5"/>
    <x v="2"/>
    <x v="0"/>
  </r>
  <r>
    <n v="46"/>
    <s v="PUNE CITY REGION"/>
    <s v="PUNE CITY"/>
    <s v="Maharashtra"/>
    <n v="8"/>
    <x v="13"/>
    <x v="14"/>
    <x v="0"/>
    <x v="3"/>
    <x v="1"/>
    <x v="3"/>
    <x v="1"/>
    <x v="4"/>
    <x v="3"/>
  </r>
  <r>
    <n v="565"/>
    <s v="MUMBAI REGION"/>
    <s v="MUMBAI"/>
    <s v="Maharashtra"/>
    <n v="8"/>
    <x v="10"/>
    <x v="11"/>
    <x v="0"/>
    <x v="0"/>
    <x v="1"/>
    <x v="1"/>
    <x v="3"/>
    <x v="4"/>
    <x v="3"/>
  </r>
  <r>
    <n v="272"/>
    <s v="RAIPUR REGION"/>
    <s v="RAIPUR"/>
    <s v="Chhattisgarh"/>
    <n v="2"/>
    <x v="7"/>
    <x v="8"/>
    <x v="0"/>
    <x v="0"/>
    <x v="1"/>
    <x v="2"/>
    <x v="0"/>
    <x v="3"/>
    <x v="3"/>
  </r>
  <r>
    <n v="4"/>
    <s v="CHENNAI REGION"/>
    <s v="CHENNAI"/>
    <s v="Tamil Nadu"/>
    <n v="12"/>
    <x v="2"/>
    <x v="2"/>
    <x v="0"/>
    <x v="3"/>
    <x v="2"/>
    <x v="3"/>
    <x v="1"/>
    <x v="5"/>
    <x v="1"/>
  </r>
  <r>
    <n v="4"/>
    <s v="MUMBAI REGION"/>
    <s v="MUMBAI"/>
    <s v="Maharashtra"/>
    <n v="8"/>
    <x v="2"/>
    <x v="2"/>
    <x v="0"/>
    <x v="3"/>
    <x v="2"/>
    <x v="2"/>
    <x v="3"/>
    <x v="0"/>
    <x v="3"/>
  </r>
  <r>
    <n v="50"/>
    <s v="PUNE CITY REGION"/>
    <s v="PUNE CITY"/>
    <s v="Maharashtra"/>
    <n v="8"/>
    <x v="4"/>
    <x v="4"/>
    <x v="0"/>
    <x v="0"/>
    <x v="0"/>
    <x v="3"/>
    <x v="3"/>
    <x v="1"/>
    <x v="3"/>
  </r>
  <r>
    <n v="716"/>
    <s v="THANE REGION"/>
    <s v="THANE"/>
    <s v="Maharashtra"/>
    <n v="8"/>
    <x v="11"/>
    <x v="12"/>
    <x v="5"/>
    <x v="4"/>
    <x v="1"/>
    <x v="2"/>
    <x v="1"/>
    <x v="1"/>
    <x v="2"/>
  </r>
  <r>
    <n v="191"/>
    <s v="PUNE CITY REGION"/>
    <s v="PUNE CITY"/>
    <s v="Maharashtra"/>
    <n v="8"/>
    <x v="10"/>
    <x v="11"/>
    <x v="7"/>
    <x v="5"/>
    <x v="8"/>
    <x v="6"/>
    <x v="0"/>
    <x v="3"/>
    <x v="3"/>
  </r>
  <r>
    <n v="2"/>
    <s v="INDORE REGION"/>
    <s v="INDORE"/>
    <s v="Madhya Pradesh"/>
    <n v="7"/>
    <x v="1"/>
    <x v="1"/>
    <x v="0"/>
    <x v="0"/>
    <x v="1"/>
    <x v="2"/>
    <x v="1"/>
    <x v="4"/>
    <x v="4"/>
  </r>
  <r>
    <n v="150"/>
    <s v="NASIK REGION"/>
    <s v="NASIK"/>
    <s v="Maharashtra"/>
    <n v="8"/>
    <x v="2"/>
    <x v="2"/>
    <x v="0"/>
    <x v="0"/>
    <x v="0"/>
    <x v="0"/>
    <x v="3"/>
    <x v="1"/>
    <x v="2"/>
  </r>
  <r>
    <n v="673"/>
    <s v="GOA REGION"/>
    <s v="GOA"/>
    <s v="Goa"/>
    <n v="4"/>
    <x v="4"/>
    <x v="4"/>
    <x v="0"/>
    <x v="0"/>
    <x v="0"/>
    <x v="0"/>
    <x v="2"/>
    <x v="2"/>
    <x v="4"/>
  </r>
  <r>
    <n v="1552"/>
    <s v="SOLAPUR REGION"/>
    <s v="SOLAPUR"/>
    <s v="Maharashtra"/>
    <n v="8"/>
    <x v="9"/>
    <x v="10"/>
    <x v="0"/>
    <x v="0"/>
    <x v="0"/>
    <x v="3"/>
    <x v="2"/>
    <x v="3"/>
    <x v="3"/>
  </r>
  <r>
    <n v="1690"/>
    <s v="SOLAPUR REGION"/>
    <s v="SOLAPUR"/>
    <s v="Maharashtra"/>
    <n v="8"/>
    <x v="3"/>
    <x v="3"/>
    <x v="0"/>
    <x v="0"/>
    <x v="0"/>
    <x v="0"/>
    <x v="0"/>
    <x v="1"/>
    <x v="2"/>
  </r>
  <r>
    <n v="1638"/>
    <s v="SOLAPUR REGION"/>
    <s v="SOLAPUR"/>
    <s v="Maharashtra"/>
    <n v="8"/>
    <x v="11"/>
    <x v="12"/>
    <x v="0"/>
    <x v="0"/>
    <x v="0"/>
    <x v="3"/>
    <x v="1"/>
    <x v="3"/>
    <x v="3"/>
  </r>
  <r>
    <n v="14"/>
    <s v="MUMBAI REGION"/>
    <s v="MUMBAI"/>
    <s v="Maharashtra"/>
    <n v="8"/>
    <x v="8"/>
    <x v="9"/>
    <x v="4"/>
    <x v="6"/>
    <x v="5"/>
    <x v="7"/>
    <x v="2"/>
    <x v="4"/>
    <x v="5"/>
  </r>
  <r>
    <n v="1927"/>
    <s v="NASIK REGION"/>
    <s v="NASIK"/>
    <s v="Maharashtra"/>
    <n v="8"/>
    <x v="0"/>
    <x v="5"/>
    <x v="0"/>
    <x v="0"/>
    <x v="0"/>
    <x v="0"/>
    <x v="0"/>
    <x v="1"/>
    <x v="2"/>
  </r>
  <r>
    <n v="323"/>
    <s v="PUNE CITY REGION"/>
    <s v="PUNE CITY"/>
    <s v="Maharashtra"/>
    <n v="8"/>
    <x v="10"/>
    <x v="11"/>
    <x v="0"/>
    <x v="0"/>
    <x v="0"/>
    <x v="0"/>
    <x v="1"/>
    <x v="2"/>
    <x v="0"/>
  </r>
  <r>
    <n v="2"/>
    <s v="MUMBAI REGION"/>
    <s v="MUMBAI"/>
    <s v="Maharashtra"/>
    <n v="8"/>
    <x v="10"/>
    <x v="11"/>
    <x v="0"/>
    <x v="4"/>
    <x v="4"/>
    <x v="1"/>
    <x v="2"/>
    <x v="2"/>
    <x v="4"/>
  </r>
  <r>
    <n v="1496"/>
    <s v="NASIK REGION"/>
    <s v="NASIK"/>
    <s v="Maharashtra"/>
    <n v="8"/>
    <x v="2"/>
    <x v="2"/>
    <x v="0"/>
    <x v="0"/>
    <x v="0"/>
    <x v="2"/>
    <x v="3"/>
    <x v="1"/>
    <x v="4"/>
  </r>
  <r>
    <n v="150"/>
    <s v="BANGALORE REGION"/>
    <s v="BANGALORE"/>
    <s v="Karnataka"/>
    <n v="6"/>
    <x v="2"/>
    <x v="2"/>
    <x v="0"/>
    <x v="0"/>
    <x v="0"/>
    <x v="0"/>
    <x v="3"/>
    <x v="0"/>
    <x v="2"/>
  </r>
  <r>
    <n v="766"/>
    <s v="DELHI REGION"/>
    <s v="DELHI"/>
    <s v="Delhi"/>
    <n v="3"/>
    <x v="2"/>
    <x v="2"/>
    <x v="0"/>
    <x v="0"/>
    <x v="0"/>
    <x v="3"/>
    <x v="3"/>
    <x v="1"/>
    <x v="0"/>
  </r>
  <r>
    <n v="430"/>
    <s v="AHMEDABAD  REGION"/>
    <s v="AHMEDABAD"/>
    <s v="Gujarat"/>
    <n v="5"/>
    <x v="11"/>
    <x v="12"/>
    <x v="0"/>
    <x v="0"/>
    <x v="0"/>
    <x v="2"/>
    <x v="1"/>
    <x v="2"/>
    <x v="4"/>
  </r>
  <r>
    <n v="1"/>
    <s v="NASIK REGION"/>
    <s v="NASIK"/>
    <s v="Maharashtra"/>
    <n v="8"/>
    <x v="0"/>
    <x v="5"/>
    <x v="2"/>
    <x v="4"/>
    <x v="4"/>
    <x v="0"/>
    <x v="0"/>
    <x v="3"/>
    <x v="3"/>
  </r>
  <r>
    <n v="1843"/>
    <s v="PUNE CITY REGION"/>
    <s v="PUNE CITY"/>
    <s v="Maharashtra"/>
    <n v="8"/>
    <x v="8"/>
    <x v="9"/>
    <x v="0"/>
    <x v="0"/>
    <x v="0"/>
    <x v="0"/>
    <x v="5"/>
    <x v="2"/>
    <x v="4"/>
  </r>
  <r>
    <n v="678"/>
    <s v="PUNE CITY REGION"/>
    <s v="PUNE CITY"/>
    <s v="Maharashtra"/>
    <n v="8"/>
    <x v="15"/>
    <x v="16"/>
    <x v="0"/>
    <x v="1"/>
    <x v="1"/>
    <x v="2"/>
    <x v="3"/>
    <x v="0"/>
    <x v="2"/>
  </r>
  <r>
    <n v="838"/>
    <s v="MUMBAI REGION"/>
    <s v="MUMBAI"/>
    <s v="Maharashtra"/>
    <n v="8"/>
    <x v="15"/>
    <x v="16"/>
    <x v="0"/>
    <x v="0"/>
    <x v="0"/>
    <x v="0"/>
    <x v="0"/>
    <x v="0"/>
    <x v="5"/>
  </r>
  <r>
    <n v="571"/>
    <s v="LATUR REGION"/>
    <s v="LATUR"/>
    <s v="Maharashtra"/>
    <n v="8"/>
    <x v="2"/>
    <x v="2"/>
    <x v="3"/>
    <x v="5"/>
    <x v="6"/>
    <x v="0"/>
    <x v="0"/>
    <x v="3"/>
    <x v="3"/>
  </r>
  <r>
    <n v="641"/>
    <s v="PUNE CITY REGION"/>
    <s v="PUNE CITY"/>
    <s v="Maharashtra"/>
    <n v="8"/>
    <x v="1"/>
    <x v="1"/>
    <x v="2"/>
    <x v="3"/>
    <x v="1"/>
    <x v="2"/>
    <x v="3"/>
    <x v="0"/>
    <x v="3"/>
  </r>
  <r>
    <n v="1455"/>
    <s v="PUNE CITY REGION"/>
    <s v="PUNE CITY"/>
    <s v="Maharashtra"/>
    <n v="8"/>
    <x v="0"/>
    <x v="5"/>
    <x v="0"/>
    <x v="0"/>
    <x v="0"/>
    <x v="0"/>
    <x v="3"/>
    <x v="1"/>
    <x v="0"/>
  </r>
  <r>
    <n v="70"/>
    <s v="CHANDIGARH REGION"/>
    <s v="CHANDIGARH"/>
    <s v="Punjab&amp;Haryana"/>
    <n v="10"/>
    <x v="2"/>
    <x v="2"/>
    <x v="0"/>
    <x v="6"/>
    <x v="4"/>
    <x v="0"/>
    <x v="0"/>
    <x v="3"/>
    <x v="3"/>
  </r>
  <r>
    <n v="2349"/>
    <s v="PUNE CITY REGION"/>
    <s v="PUNE CITY"/>
    <s v="Maharashtra"/>
    <n v="8"/>
    <x v="6"/>
    <x v="7"/>
    <x v="0"/>
    <x v="0"/>
    <x v="4"/>
    <x v="1"/>
    <x v="0"/>
    <x v="3"/>
    <x v="3"/>
  </r>
  <r>
    <n v="75"/>
    <s v="AURANGABAD REGION"/>
    <s v="AURANGABAD"/>
    <s v="Maharashtra"/>
    <n v="8"/>
    <x v="16"/>
    <x v="17"/>
    <x v="5"/>
    <x v="4"/>
    <x v="2"/>
    <x v="1"/>
    <x v="5"/>
    <x v="1"/>
    <x v="0"/>
  </r>
  <r>
    <n v="1161"/>
    <s v="AURANGABAD REGION"/>
    <s v="AURANGABAD"/>
    <s v="Maharashtra"/>
    <n v="8"/>
    <x v="16"/>
    <x v="17"/>
    <x v="0"/>
    <x v="1"/>
    <x v="2"/>
    <x v="0"/>
    <x v="0"/>
    <x v="3"/>
    <x v="3"/>
  </r>
  <r>
    <n v="54"/>
    <s v="PUNE CITY REGION"/>
    <s v="PUNE CITY"/>
    <s v="Maharashtra"/>
    <n v="8"/>
    <x v="6"/>
    <x v="7"/>
    <x v="2"/>
    <x v="3"/>
    <x v="2"/>
    <x v="2"/>
    <x v="1"/>
    <x v="1"/>
    <x v="3"/>
  </r>
  <r>
    <n v="19"/>
    <s v="DELHI REGION"/>
    <s v="DELHI"/>
    <s v="Delhi"/>
    <n v="3"/>
    <x v="6"/>
    <x v="7"/>
    <x v="0"/>
    <x v="0"/>
    <x v="0"/>
    <x v="0"/>
    <x v="0"/>
    <x v="0"/>
    <x v="2"/>
  </r>
  <r>
    <n v="476"/>
    <s v="MUMBAI REGION"/>
    <s v="MUMBAI"/>
    <s v="Maharashtra"/>
    <n v="8"/>
    <x v="11"/>
    <x v="12"/>
    <x v="0"/>
    <x v="0"/>
    <x v="0"/>
    <x v="0"/>
    <x v="3"/>
    <x v="1"/>
    <x v="4"/>
  </r>
  <r>
    <n v="89"/>
    <s v="BANGALORE REGION"/>
    <s v="BANGALORE"/>
    <s v="Karnataka"/>
    <n v="6"/>
    <x v="2"/>
    <x v="2"/>
    <x v="0"/>
    <x v="0"/>
    <x v="0"/>
    <x v="0"/>
    <x v="0"/>
    <x v="2"/>
    <x v="0"/>
  </r>
  <r>
    <n v="753"/>
    <s v="THANE REGION"/>
    <s v="THANE"/>
    <s v="Maharashtra"/>
    <n v="8"/>
    <x v="10"/>
    <x v="11"/>
    <x v="0"/>
    <x v="3"/>
    <x v="2"/>
    <x v="2"/>
    <x v="3"/>
    <x v="0"/>
    <x v="3"/>
  </r>
  <r>
    <n v="9"/>
    <s v="KOLKATTA REGION"/>
    <s v="KOLKATA"/>
    <s v="West Bengal"/>
    <n v="14"/>
    <x v="1"/>
    <x v="1"/>
    <x v="0"/>
    <x v="0"/>
    <x v="0"/>
    <x v="0"/>
    <x v="3"/>
    <x v="1"/>
    <x v="3"/>
  </r>
  <r>
    <n v="3487"/>
    <s v="AURANGABAD REGION"/>
    <s v="AURANGABAD"/>
    <s v="Maharashtra"/>
    <n v="8"/>
    <x v="7"/>
    <x v="8"/>
    <x v="0"/>
    <x v="0"/>
    <x v="0"/>
    <x v="0"/>
    <x v="2"/>
    <x v="2"/>
    <x v="4"/>
  </r>
  <r>
    <n v="569"/>
    <s v="KOLKATTA REGION"/>
    <s v="KOLKATA"/>
    <s v="West Bengal"/>
    <n v="14"/>
    <x v="14"/>
    <x v="15"/>
    <x v="0"/>
    <x v="0"/>
    <x v="0"/>
    <x v="0"/>
    <x v="0"/>
    <x v="4"/>
    <x v="1"/>
  </r>
  <r>
    <n v="17"/>
    <s v="HYDERABAD REGION"/>
    <s v="HYDERABAD"/>
    <s v="Andhra Pradesh"/>
    <n v="1"/>
    <x v="1"/>
    <x v="1"/>
    <x v="2"/>
    <x v="3"/>
    <x v="2"/>
    <x v="1"/>
    <x v="3"/>
    <x v="1"/>
    <x v="2"/>
  </r>
  <r>
    <n v="35"/>
    <s v="PUNE CITY REGION"/>
    <s v="PUNE CITY"/>
    <s v="Maharashtra"/>
    <n v="8"/>
    <x v="12"/>
    <x v="13"/>
    <x v="7"/>
    <x v="7"/>
    <x v="4"/>
    <x v="1"/>
    <x v="2"/>
    <x v="2"/>
    <x v="4"/>
  </r>
  <r>
    <n v="65"/>
    <s v="GOA REGION"/>
    <s v="GOA"/>
    <s v="Goa"/>
    <n v="4"/>
    <x v="5"/>
    <x v="6"/>
    <x v="6"/>
    <x v="2"/>
    <x v="5"/>
    <x v="6"/>
    <x v="0"/>
    <x v="3"/>
    <x v="3"/>
  </r>
  <r>
    <n v="1086"/>
    <s v="PUNE CITY REGION"/>
    <s v="PUNE CITY"/>
    <s v="Maharashtra"/>
    <n v="8"/>
    <x v="3"/>
    <x v="3"/>
    <x v="0"/>
    <x v="0"/>
    <x v="0"/>
    <x v="0"/>
    <x v="0"/>
    <x v="0"/>
    <x v="2"/>
  </r>
  <r>
    <n v="32"/>
    <s v="PUNE CITY REGION"/>
    <s v="PUNE CITY"/>
    <s v="Maharashtra"/>
    <n v="8"/>
    <x v="0"/>
    <x v="5"/>
    <x v="0"/>
    <x v="0"/>
    <x v="1"/>
    <x v="2"/>
    <x v="2"/>
    <x v="2"/>
    <x v="2"/>
  </r>
  <r>
    <n v="1555"/>
    <s v="MUMBAI REGION"/>
    <s v="MUMBAI"/>
    <s v="Maharashtra"/>
    <n v="8"/>
    <x v="2"/>
    <x v="2"/>
    <x v="0"/>
    <x v="0"/>
    <x v="0"/>
    <x v="0"/>
    <x v="0"/>
    <x v="2"/>
    <x v="1"/>
  </r>
  <r>
    <n v="1091"/>
    <s v="PUNE CITY REGION"/>
    <s v="PUNE CITY"/>
    <s v="Maharashtra"/>
    <n v="8"/>
    <x v="13"/>
    <x v="14"/>
    <x v="0"/>
    <x v="0"/>
    <x v="1"/>
    <x v="2"/>
    <x v="0"/>
    <x v="3"/>
    <x v="3"/>
  </r>
  <r>
    <n v="60"/>
    <s v="NASIK REGION"/>
    <s v="NASIK"/>
    <s v="Maharashtra"/>
    <n v="8"/>
    <x v="10"/>
    <x v="11"/>
    <x v="0"/>
    <x v="0"/>
    <x v="0"/>
    <x v="0"/>
    <x v="0"/>
    <x v="3"/>
    <x v="2"/>
  </r>
  <r>
    <n v="361"/>
    <s v="PUNE CITY REGION"/>
    <s v="PUNE CITY"/>
    <s v="Maharashtra"/>
    <n v="8"/>
    <x v="7"/>
    <x v="8"/>
    <x v="0"/>
    <x v="0"/>
    <x v="0"/>
    <x v="0"/>
    <x v="0"/>
    <x v="1"/>
    <x v="2"/>
  </r>
  <r>
    <n v="105"/>
    <s v="MUMBAI REGION"/>
    <s v="MUMBAI"/>
    <s v="Maharashtra"/>
    <n v="8"/>
    <x v="2"/>
    <x v="2"/>
    <x v="0"/>
    <x v="0"/>
    <x v="4"/>
    <x v="1"/>
    <x v="1"/>
    <x v="0"/>
    <x v="2"/>
  </r>
  <r>
    <n v="1439"/>
    <s v="MUMBAI REGION"/>
    <s v="MUMBAI"/>
    <s v="Maharashtra"/>
    <n v="8"/>
    <x v="2"/>
    <x v="2"/>
    <x v="0"/>
    <x v="0"/>
    <x v="0"/>
    <x v="0"/>
    <x v="0"/>
    <x v="1"/>
    <x v="1"/>
  </r>
  <r>
    <n v="86"/>
    <s v="AURANGABAD REGION"/>
    <s v="AURANGABAD"/>
    <s v="Maharashtra"/>
    <n v="8"/>
    <x v="4"/>
    <x v="4"/>
    <x v="0"/>
    <x v="3"/>
    <x v="1"/>
    <x v="2"/>
    <x v="1"/>
    <x v="1"/>
    <x v="2"/>
  </r>
  <r>
    <n v="330"/>
    <s v="PUNE CITY REGION"/>
    <s v="PUNE CITY"/>
    <s v="Maharashtra"/>
    <n v="8"/>
    <x v="11"/>
    <x v="12"/>
    <x v="0"/>
    <x v="3"/>
    <x v="1"/>
    <x v="2"/>
    <x v="1"/>
    <x v="2"/>
    <x v="4"/>
  </r>
  <r>
    <n v="2349"/>
    <s v="PUNE CITY REGION"/>
    <s v="PUNE CITY"/>
    <s v="Maharashtra"/>
    <n v="8"/>
    <x v="10"/>
    <x v="11"/>
    <x v="0"/>
    <x v="0"/>
    <x v="0"/>
    <x v="0"/>
    <x v="3"/>
    <x v="2"/>
    <x v="4"/>
  </r>
  <r>
    <n v="1934"/>
    <s v="AURANGABAD REGION"/>
    <s v="AURANGABAD"/>
    <s v="Maharashtra"/>
    <n v="8"/>
    <x v="1"/>
    <x v="1"/>
    <x v="0"/>
    <x v="0"/>
    <x v="0"/>
    <x v="1"/>
    <x v="2"/>
    <x v="1"/>
    <x v="2"/>
  </r>
  <r>
    <n v="2008"/>
    <s v="AURANGABAD REGION"/>
    <s v="AURANGABAD"/>
    <s v="Maharashtra"/>
    <n v="8"/>
    <x v="2"/>
    <x v="2"/>
    <x v="0"/>
    <x v="0"/>
    <x v="0"/>
    <x v="7"/>
    <x v="3"/>
    <x v="3"/>
    <x v="3"/>
  </r>
  <r>
    <n v="4357"/>
    <s v="PUNE CITY REGION"/>
    <s v="PUNE CITY"/>
    <s v="Maharashtra"/>
    <n v="8"/>
    <x v="4"/>
    <x v="4"/>
    <x v="0"/>
    <x v="0"/>
    <x v="2"/>
    <x v="2"/>
    <x v="1"/>
    <x v="1"/>
    <x v="2"/>
  </r>
  <r>
    <n v="9"/>
    <s v="PUNE CITY REGION"/>
    <s v="PUNE CITY"/>
    <s v="Maharashtra"/>
    <n v="8"/>
    <x v="9"/>
    <x v="10"/>
    <x v="2"/>
    <x v="3"/>
    <x v="1"/>
    <x v="2"/>
    <x v="3"/>
    <x v="1"/>
    <x v="4"/>
  </r>
  <r>
    <n v="33"/>
    <s v="NAGPUR REGION"/>
    <s v="NAGPUR"/>
    <s v="Maharashtra"/>
    <n v="8"/>
    <x v="10"/>
    <x v="11"/>
    <x v="0"/>
    <x v="0"/>
    <x v="0"/>
    <x v="0"/>
    <x v="0"/>
    <x v="0"/>
    <x v="4"/>
  </r>
  <r>
    <n v="487"/>
    <s v="CHENNAI REGION"/>
    <s v="CHENNAI"/>
    <s v="Tamil Nadu"/>
    <n v="12"/>
    <x v="10"/>
    <x v="11"/>
    <x v="7"/>
    <x v="7"/>
    <x v="0"/>
    <x v="0"/>
    <x v="5"/>
    <x v="4"/>
    <x v="1"/>
  </r>
  <r>
    <n v="117"/>
    <s v="CHENNAI REGION"/>
    <s v="CHENNAI"/>
    <s v="Tamil Nadu"/>
    <n v="12"/>
    <x v="4"/>
    <x v="4"/>
    <x v="0"/>
    <x v="0"/>
    <x v="0"/>
    <x v="2"/>
    <x v="1"/>
    <x v="1"/>
    <x v="1"/>
  </r>
  <r>
    <n v="1906"/>
    <s v="AURANGABAD REGION"/>
    <s v="AURANGABAD"/>
    <s v="Maharashtra"/>
    <n v="8"/>
    <x v="4"/>
    <x v="4"/>
    <x v="0"/>
    <x v="0"/>
    <x v="0"/>
    <x v="0"/>
    <x v="0"/>
    <x v="1"/>
    <x v="0"/>
  </r>
  <r>
    <n v="294"/>
    <s v="MUMBAI REGION"/>
    <s v="MUMBAI"/>
    <s v="Maharashtra"/>
    <n v="8"/>
    <x v="7"/>
    <x v="8"/>
    <x v="0"/>
    <x v="0"/>
    <x v="0"/>
    <x v="1"/>
    <x v="2"/>
    <x v="1"/>
    <x v="2"/>
  </r>
  <r>
    <n v="34"/>
    <s v="PUNE CITY REGION"/>
    <s v="PUNE CITY"/>
    <s v="Maharashtra"/>
    <n v="8"/>
    <x v="4"/>
    <x v="4"/>
    <x v="5"/>
    <x v="1"/>
    <x v="1"/>
    <x v="3"/>
    <x v="2"/>
    <x v="2"/>
    <x v="4"/>
  </r>
  <r>
    <n v="1255"/>
    <s v="PUNE CITY REGION"/>
    <s v="PUNE CITY"/>
    <s v="Maharashtra"/>
    <n v="8"/>
    <x v="12"/>
    <x v="13"/>
    <x v="0"/>
    <x v="0"/>
    <x v="2"/>
    <x v="3"/>
    <x v="0"/>
    <x v="3"/>
    <x v="3"/>
  </r>
  <r>
    <n v="105"/>
    <s v="PUNE CITY REGION"/>
    <s v="PUNE CITY"/>
    <s v="Maharashtra"/>
    <n v="8"/>
    <x v="12"/>
    <x v="13"/>
    <x v="0"/>
    <x v="0"/>
    <x v="0"/>
    <x v="0"/>
    <x v="0"/>
    <x v="0"/>
    <x v="0"/>
  </r>
  <r>
    <n v="817"/>
    <s v="DELHI REGION"/>
    <s v="DELHI"/>
    <s v="Delhi"/>
    <n v="3"/>
    <x v="6"/>
    <x v="7"/>
    <x v="0"/>
    <x v="0"/>
    <x v="0"/>
    <x v="0"/>
    <x v="2"/>
    <x v="5"/>
    <x v="5"/>
  </r>
  <r>
    <n v="225"/>
    <s v="RAIPUR REGION"/>
    <s v="RAIPUR"/>
    <s v="Chhattisgarh"/>
    <n v="2"/>
    <x v="6"/>
    <x v="7"/>
    <x v="0"/>
    <x v="0"/>
    <x v="0"/>
    <x v="0"/>
    <x v="0"/>
    <x v="2"/>
    <x v="4"/>
  </r>
  <r>
    <n v="84"/>
    <s v="MUMBAI REGION"/>
    <s v="MUMBAI"/>
    <s v="Maharashtra"/>
    <n v="8"/>
    <x v="1"/>
    <x v="1"/>
    <x v="0"/>
    <x v="0"/>
    <x v="0"/>
    <x v="0"/>
    <x v="0"/>
    <x v="1"/>
    <x v="2"/>
  </r>
  <r>
    <n v="3285"/>
    <s v="PUNE CITY REGION"/>
    <s v="PUNE CITY"/>
    <s v="Maharashtra"/>
    <n v="8"/>
    <x v="1"/>
    <x v="1"/>
    <x v="0"/>
    <x v="0"/>
    <x v="0"/>
    <x v="0"/>
    <x v="1"/>
    <x v="1"/>
    <x v="3"/>
  </r>
  <r>
    <n v="7"/>
    <s v="MUMBAI REGION"/>
    <s v="MUMBAI"/>
    <s v="Maharashtra"/>
    <n v="8"/>
    <x v="7"/>
    <x v="8"/>
    <x v="1"/>
    <x v="1"/>
    <x v="2"/>
    <x v="3"/>
    <x v="2"/>
    <x v="5"/>
    <x v="8"/>
  </r>
  <r>
    <n v="325"/>
    <s v="MUMBAI REGION"/>
    <s v="MUMBAI"/>
    <s v="Maharashtra"/>
    <n v="8"/>
    <x v="15"/>
    <x v="16"/>
    <x v="1"/>
    <x v="1"/>
    <x v="5"/>
    <x v="2"/>
    <x v="2"/>
    <x v="2"/>
    <x v="2"/>
  </r>
  <r>
    <n v="208"/>
    <s v="NAGPUR REGION"/>
    <s v="NAGPUR"/>
    <s v="Maharashtra"/>
    <n v="8"/>
    <x v="15"/>
    <x v="16"/>
    <x v="0"/>
    <x v="0"/>
    <x v="2"/>
    <x v="3"/>
    <x v="2"/>
    <x v="2"/>
    <x v="2"/>
  </r>
  <r>
    <n v="100"/>
    <s v="DELHI REGION"/>
    <s v="DELHI"/>
    <s v="Delhi"/>
    <n v="3"/>
    <x v="3"/>
    <x v="3"/>
    <x v="0"/>
    <x v="0"/>
    <x v="0"/>
    <x v="0"/>
    <x v="0"/>
    <x v="0"/>
    <x v="4"/>
  </r>
  <r>
    <n v="1278"/>
    <s v="MUMBAI REGION"/>
    <s v="MUMBAI"/>
    <s v="Maharashtra"/>
    <n v="8"/>
    <x v="3"/>
    <x v="3"/>
    <x v="0"/>
    <x v="0"/>
    <x v="1"/>
    <x v="2"/>
    <x v="3"/>
    <x v="0"/>
    <x v="3"/>
  </r>
  <r>
    <n v="569"/>
    <s v="DELHI REGION"/>
    <s v="DELHI"/>
    <s v="Delhi"/>
    <n v="3"/>
    <x v="0"/>
    <x v="5"/>
    <x v="0"/>
    <x v="0"/>
    <x v="0"/>
    <x v="2"/>
    <x v="3"/>
    <x v="0"/>
    <x v="3"/>
  </r>
  <r>
    <n v="66"/>
    <s v="MUMBAI REGION"/>
    <s v="MUMBAI"/>
    <s v="Maharashtra"/>
    <n v="8"/>
    <x v="4"/>
    <x v="4"/>
    <x v="0"/>
    <x v="0"/>
    <x v="0"/>
    <x v="2"/>
    <x v="3"/>
    <x v="0"/>
    <x v="2"/>
  </r>
  <r>
    <n v="870"/>
    <s v="MUMBAI REGION"/>
    <s v="MUMBAI"/>
    <s v="Maharashtra"/>
    <n v="8"/>
    <x v="4"/>
    <x v="4"/>
    <x v="0"/>
    <x v="0"/>
    <x v="2"/>
    <x v="3"/>
    <x v="3"/>
    <x v="0"/>
    <x v="1"/>
  </r>
  <r>
    <n v="2119"/>
    <s v="PUNE CITY REGION"/>
    <s v="PUNE CITY"/>
    <s v="Maharashtra"/>
    <n v="8"/>
    <x v="4"/>
    <x v="4"/>
    <x v="0"/>
    <x v="0"/>
    <x v="0"/>
    <x v="0"/>
    <x v="0"/>
    <x v="0"/>
    <x v="0"/>
  </r>
  <r>
    <n v="2144"/>
    <s v="PUNE CITY REGION"/>
    <s v="PUNE CITY"/>
    <s v="Maharashtra"/>
    <n v="8"/>
    <x v="10"/>
    <x v="11"/>
    <x v="0"/>
    <x v="0"/>
    <x v="0"/>
    <x v="0"/>
    <x v="0"/>
    <x v="2"/>
    <x v="4"/>
  </r>
  <r>
    <n v="6"/>
    <s v="CHENNAI REGION"/>
    <s v="CHENNAI"/>
    <s v="Tamil Nadu"/>
    <n v="12"/>
    <x v="11"/>
    <x v="12"/>
    <x v="0"/>
    <x v="1"/>
    <x v="1"/>
    <x v="2"/>
    <x v="3"/>
    <x v="2"/>
    <x v="2"/>
  </r>
  <r>
    <n v="204"/>
    <s v="MUMBAI REGION"/>
    <s v="MUMBAI"/>
    <s v="Maharashtra"/>
    <n v="8"/>
    <x v="11"/>
    <x v="12"/>
    <x v="0"/>
    <x v="0"/>
    <x v="0"/>
    <x v="0"/>
    <x v="1"/>
    <x v="0"/>
    <x v="0"/>
  </r>
  <r>
    <n v="7"/>
    <s v="CHENNAI REGION"/>
    <s v="CHENNAI"/>
    <s v="Tamil Nadu"/>
    <n v="12"/>
    <x v="13"/>
    <x v="14"/>
    <x v="2"/>
    <x v="1"/>
    <x v="1"/>
    <x v="0"/>
    <x v="0"/>
    <x v="3"/>
    <x v="3"/>
  </r>
  <r>
    <n v="193"/>
    <s v="KOLHAPUR REGION"/>
    <s v="KOLHAPUR"/>
    <s v="Maharashtra"/>
    <n v="8"/>
    <x v="13"/>
    <x v="14"/>
    <x v="2"/>
    <x v="3"/>
    <x v="1"/>
    <x v="3"/>
    <x v="1"/>
    <x v="1"/>
    <x v="4"/>
  </r>
  <r>
    <n v="23"/>
    <s v="MUMBAI REGION"/>
    <s v="MUMBAI"/>
    <s v="Maharashtra"/>
    <n v="8"/>
    <x v="13"/>
    <x v="14"/>
    <x v="0"/>
    <x v="0"/>
    <x v="0"/>
    <x v="0"/>
    <x v="3"/>
    <x v="1"/>
    <x v="2"/>
  </r>
  <r>
    <n v="14"/>
    <s v="MUMBAI REGION"/>
    <s v="MUMBAI"/>
    <s v="Maharashtra"/>
    <n v="8"/>
    <x v="13"/>
    <x v="14"/>
    <x v="0"/>
    <x v="0"/>
    <x v="0"/>
    <x v="0"/>
    <x v="0"/>
    <x v="0"/>
    <x v="2"/>
  </r>
  <r>
    <n v="599"/>
    <s v="PUNE CITY REGION"/>
    <s v="PUNE CITY"/>
    <s v="Maharashtra"/>
    <n v="8"/>
    <x v="11"/>
    <x v="12"/>
    <x v="0"/>
    <x v="2"/>
    <x v="5"/>
    <x v="1"/>
    <x v="2"/>
    <x v="2"/>
    <x v="3"/>
  </r>
  <r>
    <n v="884"/>
    <s v="PUNE CITY REGION"/>
    <s v="PUNE CITY"/>
    <s v="Maharashtra"/>
    <n v="8"/>
    <x v="11"/>
    <x v="12"/>
    <x v="7"/>
    <x v="7"/>
    <x v="5"/>
    <x v="3"/>
    <x v="1"/>
    <x v="1"/>
    <x v="2"/>
  </r>
  <r>
    <n v="1"/>
    <s v="NASIK REGION"/>
    <s v="NASIK"/>
    <s v="Maharashtra"/>
    <n v="8"/>
    <x v="14"/>
    <x v="15"/>
    <x v="5"/>
    <x v="1"/>
    <x v="5"/>
    <x v="7"/>
    <x v="5"/>
    <x v="5"/>
    <x v="4"/>
  </r>
  <r>
    <n v="538"/>
    <s v="RATNAGIRI REGION"/>
    <s v="RATNAGIRI"/>
    <s v="Maharashtra"/>
    <n v="8"/>
    <x v="14"/>
    <x v="15"/>
    <x v="0"/>
    <x v="0"/>
    <x v="0"/>
    <x v="0"/>
    <x v="2"/>
    <x v="2"/>
    <x v="1"/>
  </r>
  <r>
    <n v="25"/>
    <s v="PUNE CITY REGION"/>
    <s v="PUNE CITY"/>
    <s v="Maharashtra"/>
    <n v="8"/>
    <x v="16"/>
    <x v="17"/>
    <x v="2"/>
    <x v="3"/>
    <x v="1"/>
    <x v="2"/>
    <x v="3"/>
    <x v="1"/>
    <x v="2"/>
  </r>
  <r>
    <n v="68"/>
    <s v="NASIK REGION"/>
    <s v="NASIK"/>
    <s v="Maharashtra"/>
    <n v="8"/>
    <x v="16"/>
    <x v="17"/>
    <x v="3"/>
    <x v="6"/>
    <x v="3"/>
    <x v="5"/>
    <x v="8"/>
    <x v="6"/>
    <x v="3"/>
  </r>
  <r>
    <n v="1995"/>
    <s v="NASIK REGION"/>
    <s v="NASIK"/>
    <s v="Maharashtra"/>
    <n v="8"/>
    <x v="16"/>
    <x v="17"/>
    <x v="0"/>
    <x v="0"/>
    <x v="0"/>
    <x v="0"/>
    <x v="0"/>
    <x v="0"/>
    <x v="0"/>
  </r>
  <r>
    <n v="57"/>
    <s v="DELHI REGION"/>
    <s v="DELHI"/>
    <s v="Delhi"/>
    <n v="3"/>
    <x v="3"/>
    <x v="3"/>
    <x v="0"/>
    <x v="0"/>
    <x v="0"/>
    <x v="0"/>
    <x v="0"/>
    <x v="1"/>
    <x v="0"/>
  </r>
  <r>
    <n v="445"/>
    <s v="MUMBAI REGION"/>
    <s v="MUMBAI"/>
    <s v="Maharashtra"/>
    <n v="8"/>
    <x v="0"/>
    <x v="5"/>
    <x v="0"/>
    <x v="0"/>
    <x v="0"/>
    <x v="3"/>
    <x v="3"/>
    <x v="0"/>
    <x v="3"/>
  </r>
  <r>
    <n v="573"/>
    <s v="KOLKATTA REGION"/>
    <s v="KOLKATA"/>
    <s v="West Bengal"/>
    <n v="14"/>
    <x v="2"/>
    <x v="2"/>
    <x v="0"/>
    <x v="0"/>
    <x v="0"/>
    <x v="0"/>
    <x v="0"/>
    <x v="2"/>
    <x v="4"/>
  </r>
  <r>
    <n v="21"/>
    <s v="NASIK REGION"/>
    <s v="NASIK"/>
    <s v="Maharashtra"/>
    <n v="8"/>
    <x v="13"/>
    <x v="14"/>
    <x v="0"/>
    <x v="0"/>
    <x v="0"/>
    <x v="3"/>
    <x v="3"/>
    <x v="2"/>
    <x v="4"/>
  </r>
  <r>
    <n v="119"/>
    <s v="PUNE CITY REGION"/>
    <s v="PUNE CITY"/>
    <s v="Maharashtra"/>
    <n v="8"/>
    <x v="10"/>
    <x v="11"/>
    <x v="0"/>
    <x v="0"/>
    <x v="0"/>
    <x v="0"/>
    <x v="0"/>
    <x v="1"/>
    <x v="1"/>
  </r>
  <r>
    <n v="1"/>
    <s v="MUMBAI REGION"/>
    <s v="MUMBAI"/>
    <s v="Maharashtra"/>
    <n v="8"/>
    <x v="7"/>
    <x v="8"/>
    <x v="2"/>
    <x v="3"/>
    <x v="1"/>
    <x v="2"/>
    <x v="3"/>
    <x v="0"/>
    <x v="0"/>
  </r>
  <r>
    <n v="8"/>
    <s v="MUMBAI REGION"/>
    <s v="MUMBAI"/>
    <s v="Maharashtra"/>
    <n v="8"/>
    <x v="2"/>
    <x v="2"/>
    <x v="4"/>
    <x v="2"/>
    <x v="7"/>
    <x v="8"/>
    <x v="5"/>
    <x v="2"/>
    <x v="4"/>
  </r>
  <r>
    <n v="606"/>
    <s v="PUNE CITY REGION"/>
    <s v="PUNE CITY"/>
    <s v="Maharashtra"/>
    <n v="8"/>
    <x v="2"/>
    <x v="2"/>
    <x v="5"/>
    <x v="3"/>
    <x v="1"/>
    <x v="0"/>
    <x v="2"/>
    <x v="1"/>
    <x v="2"/>
  </r>
  <r>
    <n v="392"/>
    <s v="PUNE CITY REGION"/>
    <s v="PUNE CITY"/>
    <s v="Maharashtra"/>
    <n v="8"/>
    <x v="4"/>
    <x v="4"/>
    <x v="2"/>
    <x v="3"/>
    <x v="1"/>
    <x v="2"/>
    <x v="3"/>
    <x v="1"/>
    <x v="2"/>
  </r>
  <r>
    <n v="1602"/>
    <s v="PUNE CITY REGION"/>
    <s v="PUNE CITY"/>
    <s v="Maharashtra"/>
    <n v="8"/>
    <x v="11"/>
    <x v="12"/>
    <x v="0"/>
    <x v="0"/>
    <x v="0"/>
    <x v="3"/>
    <x v="1"/>
    <x v="1"/>
    <x v="4"/>
  </r>
  <r>
    <n v="225"/>
    <s v="PUNE CITY REGION"/>
    <s v="PUNE CITY"/>
    <s v="Maharashtra"/>
    <n v="8"/>
    <x v="10"/>
    <x v="11"/>
    <x v="2"/>
    <x v="3"/>
    <x v="2"/>
    <x v="2"/>
    <x v="2"/>
    <x v="4"/>
    <x v="2"/>
  </r>
  <r>
    <n v="3697"/>
    <s v="PUNE CITY REGION"/>
    <s v="PUNE CITY"/>
    <s v="Maharashtra"/>
    <n v="8"/>
    <x v="1"/>
    <x v="1"/>
    <x v="0"/>
    <x v="0"/>
    <x v="0"/>
    <x v="0"/>
    <x v="3"/>
    <x v="2"/>
    <x v="3"/>
  </r>
  <r>
    <n v="2"/>
    <s v="MUMBAI REGION"/>
    <s v="MUMBAI"/>
    <s v="Maharashtra"/>
    <n v="8"/>
    <x v="2"/>
    <x v="2"/>
    <x v="0"/>
    <x v="0"/>
    <x v="1"/>
    <x v="2"/>
    <x v="3"/>
    <x v="1"/>
    <x v="2"/>
  </r>
  <r>
    <n v="1121"/>
    <s v="MUMBAI REGION"/>
    <s v="MUMBAI"/>
    <s v="Maharashtra"/>
    <n v="8"/>
    <x v="4"/>
    <x v="4"/>
    <x v="0"/>
    <x v="0"/>
    <x v="0"/>
    <x v="0"/>
    <x v="0"/>
    <x v="0"/>
    <x v="2"/>
  </r>
  <r>
    <n v="122"/>
    <s v="THANE REGION"/>
    <s v="THANE"/>
    <s v="Maharashtra"/>
    <n v="8"/>
    <x v="9"/>
    <x v="10"/>
    <x v="0"/>
    <x v="0"/>
    <x v="7"/>
    <x v="5"/>
    <x v="5"/>
    <x v="2"/>
    <x v="2"/>
  </r>
  <r>
    <n v="1907"/>
    <s v="SOLAPUR REGION"/>
    <s v="SOLAPUR"/>
    <s v="Maharashtra"/>
    <n v="8"/>
    <x v="3"/>
    <x v="3"/>
    <x v="0"/>
    <x v="0"/>
    <x v="0"/>
    <x v="0"/>
    <x v="1"/>
    <x v="2"/>
    <x v="2"/>
  </r>
  <r>
    <n v="3330"/>
    <s v="PUNE CITY REGION"/>
    <s v="PUNE CITY"/>
    <s v="Maharashtra"/>
    <n v="8"/>
    <x v="11"/>
    <x v="12"/>
    <x v="0"/>
    <x v="0"/>
    <x v="0"/>
    <x v="0"/>
    <x v="1"/>
    <x v="4"/>
    <x v="3"/>
  </r>
  <r>
    <n v="4495"/>
    <s v="PUNE CITY REGION"/>
    <s v="PUNE CITY"/>
    <s v="Maharashtra"/>
    <n v="8"/>
    <x v="8"/>
    <x v="9"/>
    <x v="0"/>
    <x v="0"/>
    <x v="0"/>
    <x v="0"/>
    <x v="0"/>
    <x v="2"/>
    <x v="4"/>
  </r>
  <r>
    <n v="619"/>
    <s v="GOA REGION"/>
    <s v="GOA"/>
    <s v="Goa"/>
    <n v="4"/>
    <x v="0"/>
    <x v="5"/>
    <x v="0"/>
    <x v="0"/>
    <x v="1"/>
    <x v="2"/>
    <x v="3"/>
    <x v="0"/>
    <x v="0"/>
  </r>
  <r>
    <n v="391"/>
    <s v="CHENNAI REGION"/>
    <s v="CHENNAI"/>
    <s v="Tamil Nadu"/>
    <n v="12"/>
    <x v="10"/>
    <x v="11"/>
    <x v="0"/>
    <x v="0"/>
    <x v="0"/>
    <x v="0"/>
    <x v="1"/>
    <x v="0"/>
    <x v="3"/>
  </r>
  <r>
    <n v="1"/>
    <s v="MUMBAI REGION"/>
    <s v="MUMBAI"/>
    <s v="Maharashtra"/>
    <n v="8"/>
    <x v="10"/>
    <x v="11"/>
    <x v="2"/>
    <x v="3"/>
    <x v="1"/>
    <x v="2"/>
    <x v="3"/>
    <x v="1"/>
    <x v="2"/>
  </r>
  <r>
    <n v="1627"/>
    <s v="HYDERABAD REGION"/>
    <s v="HYDERABAD"/>
    <s v="Andhra Pradesh"/>
    <n v="1"/>
    <x v="2"/>
    <x v="2"/>
    <x v="0"/>
    <x v="0"/>
    <x v="0"/>
    <x v="1"/>
    <x v="1"/>
    <x v="2"/>
    <x v="3"/>
  </r>
  <r>
    <n v="879"/>
    <s v="DELHI REGION"/>
    <s v="DELHI"/>
    <s v="Delhi"/>
    <n v="3"/>
    <x v="2"/>
    <x v="2"/>
    <x v="0"/>
    <x v="0"/>
    <x v="0"/>
    <x v="0"/>
    <x v="2"/>
    <x v="0"/>
    <x v="2"/>
  </r>
  <r>
    <n v="4195"/>
    <s v="HYDERABAD REGION"/>
    <s v="HYDERABAD"/>
    <s v="Andhra Pradesh"/>
    <n v="1"/>
    <x v="2"/>
    <x v="2"/>
    <x v="0"/>
    <x v="0"/>
    <x v="0"/>
    <x v="0"/>
    <x v="2"/>
    <x v="4"/>
    <x v="1"/>
  </r>
  <r>
    <n v="949"/>
    <s v="MUMBAI REGION"/>
    <s v="MUMBAI"/>
    <s v="Maharashtra"/>
    <n v="8"/>
    <x v="11"/>
    <x v="12"/>
    <x v="0"/>
    <x v="0"/>
    <x v="0"/>
    <x v="3"/>
    <x v="1"/>
    <x v="2"/>
    <x v="4"/>
  </r>
  <r>
    <n v="2833"/>
    <s v="PUNE CITY REGION"/>
    <s v="PUNE CITY"/>
    <s v="Maharashtra"/>
    <n v="8"/>
    <x v="0"/>
    <x v="5"/>
    <x v="0"/>
    <x v="0"/>
    <x v="0"/>
    <x v="0"/>
    <x v="3"/>
    <x v="0"/>
    <x v="2"/>
  </r>
  <r>
    <n v="132"/>
    <s v="RAIGAD REGION"/>
    <s v="RAIGAD"/>
    <s v="Maharashtra"/>
    <n v="8"/>
    <x v="8"/>
    <x v="9"/>
    <x v="0"/>
    <x v="1"/>
    <x v="4"/>
    <x v="3"/>
    <x v="2"/>
    <x v="4"/>
    <x v="4"/>
  </r>
  <r>
    <n v="2470"/>
    <s v="AURANGABAD REGION"/>
    <s v="AURANGABAD"/>
    <s v="Maharashtra"/>
    <n v="8"/>
    <x v="15"/>
    <x v="16"/>
    <x v="0"/>
    <x v="0"/>
    <x v="7"/>
    <x v="5"/>
    <x v="5"/>
    <x v="2"/>
    <x v="4"/>
  </r>
  <r>
    <n v="1546"/>
    <s v="PUNE CITY REGION"/>
    <s v="PUNE CITY"/>
    <s v="Maharashtra"/>
    <n v="8"/>
    <x v="15"/>
    <x v="16"/>
    <x v="2"/>
    <x v="3"/>
    <x v="0"/>
    <x v="0"/>
    <x v="0"/>
    <x v="3"/>
    <x v="3"/>
  </r>
  <r>
    <n v="2056"/>
    <s v="HYDERABAD REGION"/>
    <s v="HYDERABAD"/>
    <s v="Andhra Pradesh"/>
    <n v="1"/>
    <x v="2"/>
    <x v="2"/>
    <x v="0"/>
    <x v="0"/>
    <x v="0"/>
    <x v="0"/>
    <x v="0"/>
    <x v="1"/>
    <x v="0"/>
  </r>
  <r>
    <n v="1072"/>
    <s v="MUMBAI REGION"/>
    <s v="MUMBAI"/>
    <s v="Maharashtra"/>
    <n v="8"/>
    <x v="1"/>
    <x v="1"/>
    <x v="0"/>
    <x v="0"/>
    <x v="0"/>
    <x v="2"/>
    <x v="2"/>
    <x v="1"/>
    <x v="2"/>
  </r>
  <r>
    <n v="1"/>
    <s v="CHENNAI REGION"/>
    <s v="CHENNAI"/>
    <s v="Tamil Nadu"/>
    <n v="12"/>
    <x v="0"/>
    <x v="5"/>
    <x v="1"/>
    <x v="3"/>
    <x v="2"/>
    <x v="0"/>
    <x v="0"/>
    <x v="3"/>
    <x v="3"/>
  </r>
  <r>
    <n v="681"/>
    <s v="CHENNAI REGION"/>
    <s v="CHENNAI"/>
    <s v="Tamil Nadu"/>
    <n v="12"/>
    <x v="2"/>
    <x v="2"/>
    <x v="0"/>
    <x v="0"/>
    <x v="2"/>
    <x v="3"/>
    <x v="1"/>
    <x v="2"/>
    <x v="4"/>
  </r>
  <r>
    <n v="715"/>
    <s v="MUMBAI REGION"/>
    <s v="MUMBAI"/>
    <s v="Maharashtra"/>
    <n v="8"/>
    <x v="6"/>
    <x v="7"/>
    <x v="0"/>
    <x v="0"/>
    <x v="0"/>
    <x v="0"/>
    <x v="0"/>
    <x v="2"/>
    <x v="1"/>
  </r>
  <r>
    <n v="416"/>
    <s v="MUMBAI REGION"/>
    <s v="MUMBAI"/>
    <s v="Maharashtra"/>
    <n v="8"/>
    <x v="16"/>
    <x v="17"/>
    <x v="1"/>
    <x v="3"/>
    <x v="1"/>
    <x v="2"/>
    <x v="3"/>
    <x v="0"/>
    <x v="2"/>
  </r>
  <r>
    <n v="226"/>
    <s v="PUNE CITY REGION"/>
    <s v="PUNE CITY"/>
    <s v="Maharashtra"/>
    <n v="8"/>
    <x v="16"/>
    <x v="17"/>
    <x v="0"/>
    <x v="0"/>
    <x v="0"/>
    <x v="2"/>
    <x v="3"/>
    <x v="1"/>
    <x v="0"/>
  </r>
  <r>
    <n v="36"/>
    <s v="PUNE CITY REGION"/>
    <s v="PUNE CITY"/>
    <s v="Maharashtra"/>
    <n v="8"/>
    <x v="6"/>
    <x v="7"/>
    <x v="5"/>
    <x v="1"/>
    <x v="2"/>
    <x v="2"/>
    <x v="3"/>
    <x v="2"/>
    <x v="0"/>
  </r>
  <r>
    <n v="6"/>
    <s v="PUNE CITY REGION"/>
    <s v="PUNE CITY"/>
    <s v="Maharashtra"/>
    <n v="8"/>
    <x v="6"/>
    <x v="7"/>
    <x v="5"/>
    <x v="1"/>
    <x v="1"/>
    <x v="2"/>
    <x v="3"/>
    <x v="1"/>
    <x v="4"/>
  </r>
  <r>
    <n v="257"/>
    <s v="MUMBAI REGION"/>
    <s v="MUMBAI"/>
    <s v="Maharashtra"/>
    <n v="8"/>
    <x v="11"/>
    <x v="12"/>
    <x v="0"/>
    <x v="0"/>
    <x v="0"/>
    <x v="0"/>
    <x v="0"/>
    <x v="4"/>
    <x v="4"/>
  </r>
  <r>
    <n v="2684"/>
    <s v="HYDERABAD REGION"/>
    <s v="HYDERABAD"/>
    <s v="Andhra Pradesh"/>
    <n v="1"/>
    <x v="2"/>
    <x v="2"/>
    <x v="0"/>
    <x v="0"/>
    <x v="0"/>
    <x v="2"/>
    <x v="3"/>
    <x v="3"/>
    <x v="3"/>
  </r>
  <r>
    <n v="371"/>
    <s v="DELHI REGION"/>
    <s v="DELHI"/>
    <s v="Delhi"/>
    <n v="3"/>
    <x v="10"/>
    <x v="11"/>
    <x v="0"/>
    <x v="0"/>
    <x v="0"/>
    <x v="0"/>
    <x v="1"/>
    <x v="0"/>
    <x v="3"/>
  </r>
  <r>
    <n v="1595"/>
    <s v="DELHI REGION"/>
    <s v="DELHI"/>
    <s v="Delhi"/>
    <n v="3"/>
    <x v="1"/>
    <x v="1"/>
    <x v="0"/>
    <x v="0"/>
    <x v="0"/>
    <x v="0"/>
    <x v="0"/>
    <x v="1"/>
    <x v="2"/>
  </r>
  <r>
    <n v="984"/>
    <s v="NASIK REGION"/>
    <s v="NASIK"/>
    <s v="Maharashtra"/>
    <n v="8"/>
    <x v="7"/>
    <x v="8"/>
    <x v="0"/>
    <x v="4"/>
    <x v="4"/>
    <x v="0"/>
    <x v="0"/>
    <x v="3"/>
    <x v="3"/>
  </r>
  <r>
    <n v="1167"/>
    <s v="THANE REGION"/>
    <s v="THANE"/>
    <s v="Maharashtra"/>
    <n v="8"/>
    <x v="14"/>
    <x v="15"/>
    <x v="0"/>
    <x v="0"/>
    <x v="0"/>
    <x v="0"/>
    <x v="3"/>
    <x v="4"/>
    <x v="4"/>
  </r>
  <r>
    <n v="251"/>
    <s v="HYDERABAD REGION"/>
    <s v="HYDERABAD"/>
    <s v="Andhra Pradesh"/>
    <n v="1"/>
    <x v="1"/>
    <x v="1"/>
    <x v="0"/>
    <x v="0"/>
    <x v="0"/>
    <x v="2"/>
    <x v="3"/>
    <x v="0"/>
    <x v="0"/>
  </r>
  <r>
    <n v="9"/>
    <s v="MUMBAI REGION"/>
    <s v="MUMBAI"/>
    <s v="Maharashtra"/>
    <n v="8"/>
    <x v="12"/>
    <x v="13"/>
    <x v="5"/>
    <x v="3"/>
    <x v="1"/>
    <x v="2"/>
    <x v="0"/>
    <x v="0"/>
    <x v="0"/>
  </r>
  <r>
    <n v="6"/>
    <s v="MUMBAI REGION"/>
    <s v="MUMBAI"/>
    <s v="Maharashtra"/>
    <n v="8"/>
    <x v="5"/>
    <x v="6"/>
    <x v="5"/>
    <x v="3"/>
    <x v="1"/>
    <x v="2"/>
    <x v="3"/>
    <x v="1"/>
    <x v="4"/>
  </r>
  <r>
    <n v="29"/>
    <s v="KOLKATTA REGION"/>
    <s v="KOLKATA"/>
    <s v="West Bengal"/>
    <n v="14"/>
    <x v="3"/>
    <x v="3"/>
    <x v="0"/>
    <x v="0"/>
    <x v="2"/>
    <x v="2"/>
    <x v="3"/>
    <x v="0"/>
    <x v="3"/>
  </r>
  <r>
    <n v="14"/>
    <s v="KOLKATTA REGION"/>
    <s v="KOLKATA"/>
    <s v="West Bengal"/>
    <n v="14"/>
    <x v="0"/>
    <x v="5"/>
    <x v="2"/>
    <x v="3"/>
    <x v="1"/>
    <x v="2"/>
    <x v="0"/>
    <x v="3"/>
    <x v="3"/>
  </r>
  <r>
    <n v="573"/>
    <s v="PUNE CITY REGION"/>
    <s v="PUNE CITY"/>
    <s v="Maharashtra"/>
    <n v="8"/>
    <x v="2"/>
    <x v="2"/>
    <x v="1"/>
    <x v="2"/>
    <x v="5"/>
    <x v="3"/>
    <x v="5"/>
    <x v="1"/>
    <x v="4"/>
  </r>
  <r>
    <n v="121"/>
    <s v="KOLHAPUR REGION"/>
    <s v="KOLHAPUR"/>
    <s v="Maharashtra"/>
    <n v="8"/>
    <x v="13"/>
    <x v="14"/>
    <x v="1"/>
    <x v="4"/>
    <x v="1"/>
    <x v="3"/>
    <x v="3"/>
    <x v="2"/>
    <x v="3"/>
  </r>
  <r>
    <n v="119"/>
    <s v="THANE REGION"/>
    <s v="THANE"/>
    <s v="Maharashtra"/>
    <n v="8"/>
    <x v="10"/>
    <x v="11"/>
    <x v="0"/>
    <x v="0"/>
    <x v="0"/>
    <x v="0"/>
    <x v="0"/>
    <x v="2"/>
    <x v="0"/>
  </r>
  <r>
    <n v="554"/>
    <s v="MUMBAI REGION"/>
    <s v="MUMBAI"/>
    <s v="Maharashtra"/>
    <n v="8"/>
    <x v="7"/>
    <x v="8"/>
    <x v="0"/>
    <x v="3"/>
    <x v="1"/>
    <x v="2"/>
    <x v="3"/>
    <x v="3"/>
    <x v="3"/>
  </r>
  <r>
    <n v="724"/>
    <s v="MUMBAI REGION"/>
    <s v="MUMBAI"/>
    <s v="Maharashtra"/>
    <n v="8"/>
    <x v="2"/>
    <x v="2"/>
    <x v="0"/>
    <x v="0"/>
    <x v="0"/>
    <x v="0"/>
    <x v="5"/>
    <x v="2"/>
    <x v="3"/>
  </r>
  <r>
    <n v="540"/>
    <s v="MUMBAI REGION"/>
    <s v="MUMBAI"/>
    <s v="Maharashtra"/>
    <n v="8"/>
    <x v="2"/>
    <x v="2"/>
    <x v="0"/>
    <x v="0"/>
    <x v="0"/>
    <x v="3"/>
    <x v="1"/>
    <x v="4"/>
    <x v="8"/>
  </r>
  <r>
    <n v="28"/>
    <s v="CHANDIGARH REGION"/>
    <s v="CHANDIGARH"/>
    <s v="Punjab&amp;Haryana"/>
    <n v="10"/>
    <x v="4"/>
    <x v="4"/>
    <x v="0"/>
    <x v="0"/>
    <x v="0"/>
    <x v="0"/>
    <x v="0"/>
    <x v="0"/>
    <x v="0"/>
  </r>
  <r>
    <n v="578"/>
    <s v="BANGALORE REGION"/>
    <s v="BANGALORE"/>
    <s v="Karnataka"/>
    <n v="6"/>
    <x v="11"/>
    <x v="12"/>
    <x v="0"/>
    <x v="0"/>
    <x v="0"/>
    <x v="0"/>
    <x v="1"/>
    <x v="1"/>
    <x v="2"/>
  </r>
  <r>
    <n v="1073"/>
    <s v="BANGALORE REGION"/>
    <s v="BANGALORE"/>
    <s v="Karnataka"/>
    <n v="6"/>
    <x v="10"/>
    <x v="11"/>
    <x v="0"/>
    <x v="0"/>
    <x v="0"/>
    <x v="2"/>
    <x v="3"/>
    <x v="1"/>
    <x v="3"/>
  </r>
  <r>
    <n v="804"/>
    <s v="GOA REGION"/>
    <s v="GOA"/>
    <s v="Goa"/>
    <n v="4"/>
    <x v="1"/>
    <x v="1"/>
    <x v="0"/>
    <x v="4"/>
    <x v="4"/>
    <x v="0"/>
    <x v="0"/>
    <x v="3"/>
    <x v="3"/>
  </r>
  <r>
    <n v="252"/>
    <s v="DELHI REGION"/>
    <s v="DELHI"/>
    <s v="Delhi"/>
    <n v="3"/>
    <x v="2"/>
    <x v="2"/>
    <x v="0"/>
    <x v="0"/>
    <x v="0"/>
    <x v="0"/>
    <x v="3"/>
    <x v="0"/>
    <x v="2"/>
  </r>
  <r>
    <n v="2069"/>
    <s v="LATUR REGION"/>
    <s v="LATUR"/>
    <s v="Maharashtra"/>
    <n v="8"/>
    <x v="4"/>
    <x v="4"/>
    <x v="0"/>
    <x v="0"/>
    <x v="0"/>
    <x v="0"/>
    <x v="0"/>
    <x v="0"/>
    <x v="2"/>
  </r>
  <r>
    <n v="2821"/>
    <s v="LATUR REGION"/>
    <s v="LATUR"/>
    <s v="Maharashtra"/>
    <n v="8"/>
    <x v="9"/>
    <x v="10"/>
    <x v="0"/>
    <x v="0"/>
    <x v="0"/>
    <x v="0"/>
    <x v="0"/>
    <x v="0"/>
    <x v="0"/>
  </r>
  <r>
    <n v="2136"/>
    <s v="PUNE RURAL REGION"/>
    <s v="PUNE RURAL"/>
    <s v="Maharashtra"/>
    <n v="8"/>
    <x v="10"/>
    <x v="11"/>
    <x v="0"/>
    <x v="0"/>
    <x v="0"/>
    <x v="0"/>
    <x v="0"/>
    <x v="0"/>
    <x v="2"/>
  </r>
  <r>
    <n v="60"/>
    <s v="PUNE CITY REGION"/>
    <s v="PUNE CITY"/>
    <s v="Maharashtra"/>
    <n v="8"/>
    <x v="10"/>
    <x v="11"/>
    <x v="0"/>
    <x v="0"/>
    <x v="4"/>
    <x v="1"/>
    <x v="5"/>
    <x v="4"/>
    <x v="3"/>
  </r>
  <r>
    <n v="876"/>
    <s v="AHMEDABAD  REGION"/>
    <s v="AHMEDABAD"/>
    <s v="Gujarat"/>
    <n v="5"/>
    <x v="4"/>
    <x v="4"/>
    <x v="0"/>
    <x v="0"/>
    <x v="1"/>
    <x v="1"/>
    <x v="3"/>
    <x v="0"/>
    <x v="4"/>
  </r>
  <r>
    <n v="2233"/>
    <s v="BANGALORE REGION"/>
    <s v="BANGALORE"/>
    <s v="Karnataka"/>
    <n v="6"/>
    <x v="4"/>
    <x v="4"/>
    <x v="0"/>
    <x v="0"/>
    <x v="0"/>
    <x v="3"/>
    <x v="7"/>
    <x v="2"/>
    <x v="4"/>
  </r>
  <r>
    <n v="1635"/>
    <s v="CHENNAI REGION"/>
    <s v="CHENNAI"/>
    <s v="Tamil Nadu"/>
    <n v="12"/>
    <x v="7"/>
    <x v="8"/>
    <x v="0"/>
    <x v="2"/>
    <x v="2"/>
    <x v="0"/>
    <x v="0"/>
    <x v="3"/>
    <x v="3"/>
  </r>
  <r>
    <n v="2543"/>
    <s v="PUNE CITY REGION"/>
    <s v="PUNE CITY"/>
    <s v="Maharashtra"/>
    <n v="8"/>
    <x v="4"/>
    <x v="4"/>
    <x v="0"/>
    <x v="0"/>
    <x v="0"/>
    <x v="0"/>
    <x v="1"/>
    <x v="2"/>
    <x v="7"/>
  </r>
  <r>
    <n v="639"/>
    <s v="MUMBAI REGION"/>
    <s v="MUMBAI"/>
    <s v="Maharashtra"/>
    <n v="8"/>
    <x v="12"/>
    <x v="13"/>
    <x v="0"/>
    <x v="0"/>
    <x v="0"/>
    <x v="0"/>
    <x v="1"/>
    <x v="4"/>
    <x v="1"/>
  </r>
  <r>
    <n v="115"/>
    <s v="MUMBAI REGION"/>
    <s v="MUMBAI"/>
    <s v="Maharashtra"/>
    <n v="8"/>
    <x v="12"/>
    <x v="13"/>
    <x v="0"/>
    <x v="3"/>
    <x v="1"/>
    <x v="2"/>
    <x v="3"/>
    <x v="0"/>
    <x v="0"/>
  </r>
  <r>
    <n v="382"/>
    <s v="PUNE CITY REGION"/>
    <s v="PUNE CITY"/>
    <s v="Maharashtra"/>
    <n v="8"/>
    <x v="6"/>
    <x v="7"/>
    <x v="0"/>
    <x v="0"/>
    <x v="0"/>
    <x v="0"/>
    <x v="0"/>
    <x v="1"/>
    <x v="2"/>
  </r>
  <r>
    <n v="91"/>
    <s v="NAGPUR REGION"/>
    <s v="NAGPUR"/>
    <s v="Maharashtra"/>
    <n v="8"/>
    <x v="6"/>
    <x v="7"/>
    <x v="0"/>
    <x v="0"/>
    <x v="4"/>
    <x v="1"/>
    <x v="1"/>
    <x v="0"/>
    <x v="3"/>
  </r>
  <r>
    <n v="355"/>
    <s v="AHMEDABAD  REGION"/>
    <s v="AHMEDABAD"/>
    <s v="Gujarat"/>
    <n v="5"/>
    <x v="1"/>
    <x v="1"/>
    <x v="1"/>
    <x v="2"/>
    <x v="8"/>
    <x v="6"/>
    <x v="0"/>
    <x v="3"/>
    <x v="3"/>
  </r>
  <r>
    <n v="247"/>
    <s v="DELHI REGION"/>
    <s v="DELHI"/>
    <s v="Delhi"/>
    <n v="3"/>
    <x v="1"/>
    <x v="1"/>
    <x v="0"/>
    <x v="0"/>
    <x v="0"/>
    <x v="0"/>
    <x v="0"/>
    <x v="1"/>
    <x v="0"/>
  </r>
  <r>
    <n v="809"/>
    <s v="THANE REGION"/>
    <s v="THANE"/>
    <s v="Maharashtra"/>
    <n v="8"/>
    <x v="7"/>
    <x v="8"/>
    <x v="0"/>
    <x v="0"/>
    <x v="0"/>
    <x v="0"/>
    <x v="1"/>
    <x v="2"/>
    <x v="1"/>
  </r>
  <r>
    <n v="2175"/>
    <s v="SATARA REGION"/>
    <s v="SATARA"/>
    <s v="Maharashtra"/>
    <n v="8"/>
    <x v="15"/>
    <x v="16"/>
    <x v="0"/>
    <x v="0"/>
    <x v="0"/>
    <x v="1"/>
    <x v="2"/>
    <x v="1"/>
    <x v="2"/>
  </r>
  <r>
    <n v="250"/>
    <s v="HYDERABAD REGION"/>
    <s v="HYDERABAD"/>
    <s v="Andhra Pradesh"/>
    <n v="1"/>
    <x v="15"/>
    <x v="16"/>
    <x v="0"/>
    <x v="0"/>
    <x v="0"/>
    <x v="0"/>
    <x v="0"/>
    <x v="2"/>
    <x v="2"/>
  </r>
  <r>
    <n v="83"/>
    <s v="MUMBAI REGION"/>
    <s v="MUMBAI"/>
    <s v="Maharashtra"/>
    <n v="8"/>
    <x v="3"/>
    <x v="3"/>
    <x v="0"/>
    <x v="1"/>
    <x v="4"/>
    <x v="2"/>
    <x v="6"/>
    <x v="6"/>
    <x v="8"/>
  </r>
  <r>
    <n v="622"/>
    <s v="KOLKATTA REGION"/>
    <s v="KOLKATA"/>
    <s v="West Bengal"/>
    <n v="14"/>
    <x v="3"/>
    <x v="3"/>
    <x v="0"/>
    <x v="0"/>
    <x v="0"/>
    <x v="0"/>
    <x v="3"/>
    <x v="1"/>
    <x v="2"/>
  </r>
  <r>
    <n v="3098"/>
    <s v="PUNE RURAL REGION"/>
    <s v="PUNE RURAL"/>
    <s v="Maharashtra"/>
    <n v="8"/>
    <x v="0"/>
    <x v="5"/>
    <x v="0"/>
    <x v="0"/>
    <x v="0"/>
    <x v="0"/>
    <x v="0"/>
    <x v="2"/>
    <x v="4"/>
  </r>
  <r>
    <n v="134"/>
    <s v="DELHI REGION"/>
    <s v="DELHI"/>
    <s v="Delhi"/>
    <n v="3"/>
    <x v="4"/>
    <x v="4"/>
    <x v="0"/>
    <x v="0"/>
    <x v="1"/>
    <x v="7"/>
    <x v="3"/>
    <x v="0"/>
    <x v="0"/>
  </r>
  <r>
    <n v="1992"/>
    <s v="PUNE RURAL REGION"/>
    <s v="PUNE RURAL"/>
    <s v="Maharashtra"/>
    <n v="8"/>
    <x v="4"/>
    <x v="4"/>
    <x v="0"/>
    <x v="0"/>
    <x v="0"/>
    <x v="0"/>
    <x v="0"/>
    <x v="4"/>
    <x v="5"/>
  </r>
  <r>
    <n v="232"/>
    <s v="PUNE CITY REGION"/>
    <s v="PUNE CITY"/>
    <s v="Maharashtra"/>
    <n v="8"/>
    <x v="4"/>
    <x v="4"/>
    <x v="0"/>
    <x v="0"/>
    <x v="1"/>
    <x v="2"/>
    <x v="1"/>
    <x v="1"/>
    <x v="0"/>
  </r>
  <r>
    <n v="1313"/>
    <s v="HYDERABAD REGION"/>
    <s v="HYDERABAD"/>
    <s v="Andhra Pradesh"/>
    <n v="1"/>
    <x v="10"/>
    <x v="11"/>
    <x v="0"/>
    <x v="0"/>
    <x v="0"/>
    <x v="0"/>
    <x v="0"/>
    <x v="0"/>
    <x v="2"/>
  </r>
  <r>
    <n v="307"/>
    <s v="DELHI REGION"/>
    <s v="DELHI"/>
    <s v="Delhi"/>
    <n v="3"/>
    <x v="11"/>
    <x v="12"/>
    <x v="0"/>
    <x v="0"/>
    <x v="0"/>
    <x v="0"/>
    <x v="0"/>
    <x v="5"/>
    <x v="1"/>
  </r>
  <r>
    <n v="1"/>
    <s v="DELHI REGION"/>
    <s v="DELHI"/>
    <s v="Delhi"/>
    <n v="3"/>
    <x v="11"/>
    <x v="12"/>
    <x v="0"/>
    <x v="0"/>
    <x v="0"/>
    <x v="1"/>
    <x v="1"/>
    <x v="2"/>
    <x v="1"/>
  </r>
  <r>
    <n v="722"/>
    <s v="DELHI REGION"/>
    <s v="DELHI"/>
    <s v="Delhi"/>
    <n v="3"/>
    <x v="13"/>
    <x v="14"/>
    <x v="0"/>
    <x v="0"/>
    <x v="0"/>
    <x v="0"/>
    <x v="1"/>
    <x v="0"/>
    <x v="0"/>
  </r>
  <r>
    <n v="999"/>
    <s v="DELHI REGION"/>
    <s v="DELHI"/>
    <s v="Delhi"/>
    <n v="3"/>
    <x v="13"/>
    <x v="14"/>
    <x v="0"/>
    <x v="0"/>
    <x v="0"/>
    <x v="0"/>
    <x v="0"/>
    <x v="1"/>
    <x v="2"/>
  </r>
  <r>
    <n v="900"/>
    <s v="AHMEDABAD  REGION"/>
    <s v="AHMEDABAD"/>
    <s v="Gujarat"/>
    <n v="5"/>
    <x v="13"/>
    <x v="14"/>
    <x v="0"/>
    <x v="0"/>
    <x v="0"/>
    <x v="2"/>
    <x v="3"/>
    <x v="2"/>
    <x v="0"/>
  </r>
  <r>
    <n v="466"/>
    <s v="BANGALORE REGION"/>
    <s v="BANGALORE"/>
    <s v="Karnataka"/>
    <n v="6"/>
    <x v="13"/>
    <x v="14"/>
    <x v="0"/>
    <x v="0"/>
    <x v="0"/>
    <x v="2"/>
    <x v="3"/>
    <x v="3"/>
    <x v="3"/>
  </r>
  <r>
    <n v="552"/>
    <s v="BANGALORE REGION"/>
    <s v="BANGALORE"/>
    <s v="Karnataka"/>
    <n v="6"/>
    <x v="11"/>
    <x v="12"/>
    <x v="0"/>
    <x v="0"/>
    <x v="0"/>
    <x v="2"/>
    <x v="3"/>
    <x v="3"/>
    <x v="3"/>
  </r>
  <r>
    <n v="436"/>
    <s v="NASIK REGION"/>
    <s v="NASIK"/>
    <s v="Maharashtra"/>
    <n v="8"/>
    <x v="11"/>
    <x v="12"/>
    <x v="0"/>
    <x v="3"/>
    <x v="1"/>
    <x v="0"/>
    <x v="0"/>
    <x v="3"/>
    <x v="3"/>
  </r>
  <r>
    <n v="848"/>
    <s v="MUMBAI REGION"/>
    <s v="MUMBAI"/>
    <s v="Maharashtra"/>
    <n v="8"/>
    <x v="14"/>
    <x v="15"/>
    <x v="0"/>
    <x v="0"/>
    <x v="0"/>
    <x v="0"/>
    <x v="3"/>
    <x v="0"/>
    <x v="0"/>
  </r>
  <r>
    <n v="932"/>
    <s v="MUMBAI REGION"/>
    <s v="MUMBAI"/>
    <s v="Maharashtra"/>
    <n v="8"/>
    <x v="14"/>
    <x v="15"/>
    <x v="0"/>
    <x v="0"/>
    <x v="0"/>
    <x v="0"/>
    <x v="1"/>
    <x v="2"/>
    <x v="4"/>
  </r>
  <r>
    <n v="292"/>
    <s v="BANGALORE REGION"/>
    <s v="BANGALORE"/>
    <s v="Karnataka"/>
    <n v="6"/>
    <x v="16"/>
    <x v="17"/>
    <x v="2"/>
    <x v="1"/>
    <x v="0"/>
    <x v="2"/>
    <x v="1"/>
    <x v="3"/>
    <x v="3"/>
  </r>
  <r>
    <n v="141"/>
    <s v="MUMBAI REGION"/>
    <s v="MUMBAI"/>
    <s v="Maharashtra"/>
    <n v="8"/>
    <x v="16"/>
    <x v="17"/>
    <x v="2"/>
    <x v="3"/>
    <x v="1"/>
    <x v="2"/>
    <x v="3"/>
    <x v="3"/>
    <x v="3"/>
  </r>
  <r>
    <n v="622"/>
    <s v="PUNE CITY REGION"/>
    <s v="PUNE CITY"/>
    <s v="Maharashtra"/>
    <n v="8"/>
    <x v="16"/>
    <x v="17"/>
    <x v="2"/>
    <x v="3"/>
    <x v="2"/>
    <x v="2"/>
    <x v="3"/>
    <x v="0"/>
    <x v="4"/>
  </r>
  <r>
    <n v="2237"/>
    <s v="BANGALORE REGION"/>
    <s v="BANGALORE"/>
    <s v="Karnataka"/>
    <n v="6"/>
    <x v="7"/>
    <x v="8"/>
    <x v="0"/>
    <x v="0"/>
    <x v="0"/>
    <x v="0"/>
    <x v="2"/>
    <x v="2"/>
    <x v="2"/>
  </r>
  <r>
    <n v="157"/>
    <s v="DELHI REGION"/>
    <s v="DELHI"/>
    <s v="Delhi"/>
    <n v="3"/>
    <x v="1"/>
    <x v="1"/>
    <x v="2"/>
    <x v="3"/>
    <x v="1"/>
    <x v="3"/>
    <x v="3"/>
    <x v="1"/>
    <x v="3"/>
  </r>
  <r>
    <n v="454"/>
    <s v="AHMEDABAD  REGION"/>
    <s v="AHMEDABAD"/>
    <s v="Gujarat"/>
    <n v="5"/>
    <x v="1"/>
    <x v="1"/>
    <x v="0"/>
    <x v="0"/>
    <x v="0"/>
    <x v="0"/>
    <x v="3"/>
    <x v="0"/>
    <x v="2"/>
  </r>
  <r>
    <n v="674"/>
    <s v="CHANDIGARH REGION"/>
    <s v="CHANDIGARH"/>
    <s v="Punjab&amp;Haryana"/>
    <n v="10"/>
    <x v="1"/>
    <x v="1"/>
    <x v="2"/>
    <x v="3"/>
    <x v="1"/>
    <x v="3"/>
    <x v="1"/>
    <x v="1"/>
    <x v="0"/>
  </r>
  <r>
    <n v="1101"/>
    <s v="MUMBAI REGION"/>
    <s v="MUMBAI"/>
    <s v="Maharashtra"/>
    <n v="8"/>
    <x v="8"/>
    <x v="9"/>
    <x v="0"/>
    <x v="0"/>
    <x v="0"/>
    <x v="3"/>
    <x v="2"/>
    <x v="1"/>
    <x v="3"/>
  </r>
  <r>
    <n v="580"/>
    <s v="MUMBAI REGION"/>
    <s v="MUMBAI"/>
    <s v="Maharashtra"/>
    <n v="8"/>
    <x v="8"/>
    <x v="9"/>
    <x v="0"/>
    <x v="0"/>
    <x v="0"/>
    <x v="0"/>
    <x v="3"/>
    <x v="1"/>
    <x v="3"/>
  </r>
  <r>
    <n v="453"/>
    <s v="MUMBAI REGION"/>
    <s v="MUMBAI"/>
    <s v="Maharashtra"/>
    <n v="8"/>
    <x v="8"/>
    <x v="9"/>
    <x v="0"/>
    <x v="0"/>
    <x v="0"/>
    <x v="1"/>
    <x v="1"/>
    <x v="1"/>
    <x v="0"/>
  </r>
  <r>
    <n v="1182"/>
    <s v="THANE REGION"/>
    <s v="THANE"/>
    <s v="Maharashtra"/>
    <n v="8"/>
    <x v="2"/>
    <x v="2"/>
    <x v="0"/>
    <x v="0"/>
    <x v="0"/>
    <x v="1"/>
    <x v="2"/>
    <x v="4"/>
    <x v="3"/>
  </r>
  <r>
    <n v="33"/>
    <s v="CHANDIGARH REGION"/>
    <s v="CHANDIGARH"/>
    <s v="Punjab&amp;Haryana"/>
    <n v="10"/>
    <x v="1"/>
    <x v="1"/>
    <x v="0"/>
    <x v="0"/>
    <x v="0"/>
    <x v="1"/>
    <x v="3"/>
    <x v="2"/>
    <x v="0"/>
  </r>
  <r>
    <n v="1130"/>
    <s v="PUNE CITY REGION"/>
    <s v="PUNE CITY"/>
    <s v="Maharashtra"/>
    <n v="8"/>
    <x v="2"/>
    <x v="2"/>
    <x v="0"/>
    <x v="0"/>
    <x v="0"/>
    <x v="0"/>
    <x v="3"/>
    <x v="0"/>
    <x v="0"/>
  </r>
  <r>
    <n v="666"/>
    <s v="CHANDIGARH REGION"/>
    <s v="CHANDIGARH"/>
    <s v="Punjab&amp;Haryana"/>
    <n v="10"/>
    <x v="0"/>
    <x v="5"/>
    <x v="0"/>
    <x v="0"/>
    <x v="1"/>
    <x v="2"/>
    <x v="3"/>
    <x v="1"/>
    <x v="4"/>
  </r>
  <r>
    <n v="1550"/>
    <s v="CHENNAI REGION"/>
    <s v="CHENNAI"/>
    <s v="Tamil Nadu"/>
    <n v="12"/>
    <x v="8"/>
    <x v="9"/>
    <x v="0"/>
    <x v="0"/>
    <x v="0"/>
    <x v="3"/>
    <x v="3"/>
    <x v="2"/>
    <x v="4"/>
  </r>
  <r>
    <n v="448"/>
    <s v="DELHI REGION"/>
    <s v="DELHI"/>
    <s v="Delhi"/>
    <n v="3"/>
    <x v="9"/>
    <x v="10"/>
    <x v="0"/>
    <x v="0"/>
    <x v="0"/>
    <x v="0"/>
    <x v="0"/>
    <x v="2"/>
    <x v="0"/>
  </r>
  <r>
    <n v="2"/>
    <s v="MUMBAI REGION"/>
    <s v="MUMBAI"/>
    <s v="Maharashtra"/>
    <n v="8"/>
    <x v="7"/>
    <x v="8"/>
    <x v="0"/>
    <x v="0"/>
    <x v="5"/>
    <x v="7"/>
    <x v="0"/>
    <x v="3"/>
    <x v="3"/>
  </r>
  <r>
    <n v="1951"/>
    <s v="BANGALORE REGION"/>
    <s v="BANGALORE"/>
    <s v="Karnataka"/>
    <n v="6"/>
    <x v="1"/>
    <x v="1"/>
    <x v="0"/>
    <x v="0"/>
    <x v="0"/>
    <x v="0"/>
    <x v="0"/>
    <x v="1"/>
    <x v="0"/>
  </r>
  <r>
    <n v="1207"/>
    <s v="MUMBAI REGION"/>
    <s v="MUMBAI"/>
    <s v="Maharashtra"/>
    <n v="8"/>
    <x v="2"/>
    <x v="2"/>
    <x v="0"/>
    <x v="0"/>
    <x v="0"/>
    <x v="0"/>
    <x v="0"/>
    <x v="0"/>
    <x v="1"/>
  </r>
  <r>
    <n v="969"/>
    <s v="THANE REGION"/>
    <s v="THANE"/>
    <s v="Maharashtra"/>
    <n v="8"/>
    <x v="2"/>
    <x v="2"/>
    <x v="0"/>
    <x v="3"/>
    <x v="1"/>
    <x v="2"/>
    <x v="3"/>
    <x v="0"/>
    <x v="2"/>
  </r>
  <r>
    <n v="93"/>
    <s v="AURANGABAD REGION"/>
    <s v="AURANGABAD"/>
    <s v="Maharashtra"/>
    <n v="8"/>
    <x v="3"/>
    <x v="3"/>
    <x v="0"/>
    <x v="0"/>
    <x v="0"/>
    <x v="0"/>
    <x v="5"/>
    <x v="4"/>
    <x v="4"/>
  </r>
  <r>
    <n v="247"/>
    <s v="MUMBAI REGION"/>
    <s v="MUMBAI"/>
    <s v="Maharashtra"/>
    <n v="8"/>
    <x v="1"/>
    <x v="1"/>
    <x v="0"/>
    <x v="0"/>
    <x v="0"/>
    <x v="0"/>
    <x v="3"/>
    <x v="1"/>
    <x v="0"/>
  </r>
  <r>
    <n v="907"/>
    <s v="DELHI REGION"/>
    <s v="DELHI"/>
    <s v="Delhi"/>
    <n v="3"/>
    <x v="10"/>
    <x v="11"/>
    <x v="0"/>
    <x v="0"/>
    <x v="0"/>
    <x v="0"/>
    <x v="5"/>
    <x v="1"/>
    <x v="2"/>
  </r>
  <r>
    <n v="244"/>
    <s v="DELHI REGION"/>
    <s v="DELHI"/>
    <s v="Delhi"/>
    <n v="3"/>
    <x v="11"/>
    <x v="12"/>
    <x v="0"/>
    <x v="0"/>
    <x v="0"/>
    <x v="0"/>
    <x v="5"/>
    <x v="1"/>
    <x v="0"/>
  </r>
  <r>
    <n v="710"/>
    <s v="MUMBAI REGION"/>
    <s v="MUMBAI"/>
    <s v="Maharashtra"/>
    <n v="8"/>
    <x v="12"/>
    <x v="13"/>
    <x v="0"/>
    <x v="0"/>
    <x v="0"/>
    <x v="0"/>
    <x v="0"/>
    <x v="0"/>
    <x v="2"/>
  </r>
  <r>
    <n v="333"/>
    <s v="MUMBAI REGION"/>
    <s v="MUMBAI"/>
    <s v="Maharashtra"/>
    <n v="8"/>
    <x v="0"/>
    <x v="5"/>
    <x v="0"/>
    <x v="3"/>
    <x v="1"/>
    <x v="0"/>
    <x v="0"/>
    <x v="3"/>
    <x v="3"/>
  </r>
  <r>
    <n v="575"/>
    <s v="MUMBAI REGION"/>
    <s v="MUMBAI"/>
    <s v="Maharashtra"/>
    <n v="8"/>
    <x v="13"/>
    <x v="14"/>
    <x v="0"/>
    <x v="0"/>
    <x v="0"/>
    <x v="3"/>
    <x v="3"/>
    <x v="0"/>
    <x v="0"/>
  </r>
  <r>
    <n v="23"/>
    <s v="KOLKATTA REGION"/>
    <s v="KOLKATA"/>
    <s v="West Bengal"/>
    <n v="14"/>
    <x v="2"/>
    <x v="2"/>
    <x v="0"/>
    <x v="0"/>
    <x v="0"/>
    <x v="5"/>
    <x v="1"/>
    <x v="1"/>
    <x v="2"/>
  </r>
  <r>
    <n v="293"/>
    <s v="NASIK REGION"/>
    <s v="NASIK"/>
    <s v="Maharashtra"/>
    <n v="8"/>
    <x v="10"/>
    <x v="11"/>
    <x v="0"/>
    <x v="0"/>
    <x v="0"/>
    <x v="5"/>
    <x v="5"/>
    <x v="2"/>
    <x v="2"/>
  </r>
  <r>
    <n v="298"/>
    <s v="NASIK REGION"/>
    <s v="NASIK"/>
    <s v="Maharashtra"/>
    <n v="8"/>
    <x v="1"/>
    <x v="1"/>
    <x v="0"/>
    <x v="0"/>
    <x v="0"/>
    <x v="3"/>
    <x v="5"/>
    <x v="1"/>
    <x v="0"/>
  </r>
  <r>
    <n v="1130"/>
    <s v="CHANDIGARH REGION"/>
    <s v="CHANDIGARH"/>
    <s v="Punjab&amp;Haryana"/>
    <n v="10"/>
    <x v="7"/>
    <x v="8"/>
    <x v="0"/>
    <x v="0"/>
    <x v="0"/>
    <x v="0"/>
    <x v="0"/>
    <x v="0"/>
    <x v="0"/>
  </r>
  <r>
    <n v="2126"/>
    <s v="PUNE RURAL REGION"/>
    <s v="PUNE RURAL"/>
    <s v="Maharashtra"/>
    <n v="8"/>
    <x v="14"/>
    <x v="15"/>
    <x v="0"/>
    <x v="0"/>
    <x v="0"/>
    <x v="0"/>
    <x v="2"/>
    <x v="2"/>
    <x v="2"/>
  </r>
  <r>
    <n v="555"/>
    <s v="CHANDIGARH REGION"/>
    <s v="CHANDIGARH"/>
    <s v="Punjab&amp;Haryana"/>
    <n v="10"/>
    <x v="1"/>
    <x v="1"/>
    <x v="2"/>
    <x v="3"/>
    <x v="1"/>
    <x v="0"/>
    <x v="0"/>
    <x v="3"/>
    <x v="3"/>
  </r>
  <r>
    <n v="283"/>
    <s v="BANGALORE REGION"/>
    <s v="BANGALORE"/>
    <s v="Karnataka"/>
    <n v="6"/>
    <x v="12"/>
    <x v="13"/>
    <x v="5"/>
    <x v="4"/>
    <x v="5"/>
    <x v="0"/>
    <x v="1"/>
    <x v="4"/>
    <x v="1"/>
  </r>
  <r>
    <n v="83"/>
    <s v="HYDERABAD REGION"/>
    <s v="HYDERABAD"/>
    <s v="Andhra Pradesh"/>
    <n v="1"/>
    <x v="5"/>
    <x v="6"/>
    <x v="0"/>
    <x v="3"/>
    <x v="1"/>
    <x v="1"/>
    <x v="3"/>
    <x v="0"/>
    <x v="4"/>
  </r>
  <r>
    <n v="586"/>
    <s v="RAIPUR REGION"/>
    <s v="RAIPUR"/>
    <s v="Chhattisgarh"/>
    <n v="2"/>
    <x v="3"/>
    <x v="3"/>
    <x v="7"/>
    <x v="8"/>
    <x v="0"/>
    <x v="2"/>
    <x v="3"/>
    <x v="0"/>
    <x v="0"/>
  </r>
  <r>
    <n v="704"/>
    <s v="AHMEDNAGAR REGION"/>
    <s v="AHMEDNAGAR"/>
    <s v="Maharashtra"/>
    <n v="8"/>
    <x v="0"/>
    <x v="5"/>
    <x v="0"/>
    <x v="0"/>
    <x v="0"/>
    <x v="0"/>
    <x v="1"/>
    <x v="1"/>
    <x v="1"/>
  </r>
  <r>
    <n v="217"/>
    <s v="PUNE CITY REGION"/>
    <s v="PUNE CITY"/>
    <s v="Maharashtra"/>
    <n v="8"/>
    <x v="2"/>
    <x v="2"/>
    <x v="0"/>
    <x v="0"/>
    <x v="0"/>
    <x v="0"/>
    <x v="3"/>
    <x v="1"/>
    <x v="3"/>
  </r>
  <r>
    <n v="24"/>
    <s v="NASIK REGION"/>
    <s v="NASIK"/>
    <s v="Maharashtra"/>
    <n v="8"/>
    <x v="13"/>
    <x v="14"/>
    <x v="2"/>
    <x v="3"/>
    <x v="1"/>
    <x v="3"/>
    <x v="3"/>
    <x v="1"/>
    <x v="2"/>
  </r>
  <r>
    <n v="1079"/>
    <s v="HYDERABAD REGION"/>
    <s v="HYDERABAD"/>
    <s v="Andhra Pradesh"/>
    <n v="1"/>
    <x v="10"/>
    <x v="11"/>
    <x v="0"/>
    <x v="0"/>
    <x v="0"/>
    <x v="2"/>
    <x v="1"/>
    <x v="0"/>
    <x v="0"/>
  </r>
  <r>
    <n v="200"/>
    <s v="DELHI REGION"/>
    <s v="DELHI"/>
    <s v="Delhi"/>
    <n v="3"/>
    <x v="7"/>
    <x v="8"/>
    <x v="2"/>
    <x v="3"/>
    <x v="1"/>
    <x v="2"/>
    <x v="3"/>
    <x v="0"/>
    <x v="0"/>
  </r>
  <r>
    <n v="133"/>
    <s v="DELHI REGION"/>
    <s v="DELHI"/>
    <s v="Delhi"/>
    <n v="3"/>
    <x v="2"/>
    <x v="2"/>
    <x v="0"/>
    <x v="3"/>
    <x v="1"/>
    <x v="2"/>
    <x v="3"/>
    <x v="0"/>
    <x v="2"/>
  </r>
  <r>
    <n v="2032"/>
    <s v="PUNE CITY REGION"/>
    <s v="PUNE CITY"/>
    <s v="Maharashtra"/>
    <n v="8"/>
    <x v="2"/>
    <x v="2"/>
    <x v="0"/>
    <x v="0"/>
    <x v="0"/>
    <x v="0"/>
    <x v="1"/>
    <x v="1"/>
    <x v="3"/>
  </r>
  <r>
    <n v="1660"/>
    <s v="HYDERABAD REGION"/>
    <s v="HYDERABAD"/>
    <s v="Andhra Pradesh"/>
    <n v="1"/>
    <x v="4"/>
    <x v="4"/>
    <x v="0"/>
    <x v="0"/>
    <x v="0"/>
    <x v="2"/>
    <x v="1"/>
    <x v="1"/>
    <x v="3"/>
  </r>
  <r>
    <n v="1582"/>
    <s v="DELHI REGION"/>
    <s v="DELHI"/>
    <s v="Delhi"/>
    <n v="3"/>
    <x v="11"/>
    <x v="12"/>
    <x v="0"/>
    <x v="0"/>
    <x v="0"/>
    <x v="0"/>
    <x v="3"/>
    <x v="0"/>
    <x v="4"/>
  </r>
  <r>
    <n v="1795"/>
    <s v="PUNE CITY REGION"/>
    <s v="PUNE CITY"/>
    <s v="Maharashtra"/>
    <n v="8"/>
    <x v="10"/>
    <x v="11"/>
    <x v="0"/>
    <x v="0"/>
    <x v="0"/>
    <x v="7"/>
    <x v="7"/>
    <x v="1"/>
    <x v="2"/>
  </r>
  <r>
    <n v="1149"/>
    <s v="HYDERABAD REGION"/>
    <s v="HYDERABAD"/>
    <s v="Andhra Pradesh"/>
    <n v="1"/>
    <x v="1"/>
    <x v="1"/>
    <x v="0"/>
    <x v="0"/>
    <x v="2"/>
    <x v="2"/>
    <x v="3"/>
    <x v="1"/>
    <x v="3"/>
  </r>
  <r>
    <n v="453"/>
    <s v="MUMBAI REGION"/>
    <s v="MUMBAI"/>
    <s v="Maharashtra"/>
    <n v="8"/>
    <x v="2"/>
    <x v="2"/>
    <x v="2"/>
    <x v="3"/>
    <x v="1"/>
    <x v="2"/>
    <x v="3"/>
    <x v="0"/>
    <x v="0"/>
  </r>
  <r>
    <n v="260"/>
    <s v="AHMEDABAD  REGION"/>
    <s v="AHMEDABAD"/>
    <s v="Gujarat"/>
    <n v="5"/>
    <x v="4"/>
    <x v="4"/>
    <x v="0"/>
    <x v="0"/>
    <x v="0"/>
    <x v="0"/>
    <x v="0"/>
    <x v="0"/>
    <x v="4"/>
  </r>
  <r>
    <n v="1289"/>
    <s v="DELHI REGION"/>
    <s v="DELHI"/>
    <s v="Delhi"/>
    <n v="3"/>
    <x v="9"/>
    <x v="10"/>
    <x v="0"/>
    <x v="0"/>
    <x v="0"/>
    <x v="7"/>
    <x v="1"/>
    <x v="1"/>
    <x v="4"/>
  </r>
  <r>
    <n v="1476"/>
    <s v="DELHI REGION"/>
    <s v="DELHI"/>
    <s v="Delhi"/>
    <n v="3"/>
    <x v="3"/>
    <x v="3"/>
    <x v="0"/>
    <x v="0"/>
    <x v="0"/>
    <x v="0"/>
    <x v="3"/>
    <x v="1"/>
    <x v="0"/>
  </r>
  <r>
    <n v="1212"/>
    <s v="MUMBAI REGION"/>
    <s v="MUMBAI"/>
    <s v="Maharashtra"/>
    <n v="8"/>
    <x v="11"/>
    <x v="12"/>
    <x v="0"/>
    <x v="6"/>
    <x v="7"/>
    <x v="5"/>
    <x v="0"/>
    <x v="3"/>
    <x v="3"/>
  </r>
  <r>
    <n v="883"/>
    <s v="MUMBAI REGION"/>
    <s v="MUMBAI"/>
    <s v="Maharashtra"/>
    <n v="8"/>
    <x v="8"/>
    <x v="9"/>
    <x v="0"/>
    <x v="4"/>
    <x v="1"/>
    <x v="2"/>
    <x v="3"/>
    <x v="3"/>
    <x v="3"/>
  </r>
  <r>
    <n v="159"/>
    <s v="MUMBAI REGION"/>
    <s v="MUMBAI"/>
    <s v="Maharashtra"/>
    <n v="8"/>
    <x v="0"/>
    <x v="5"/>
    <x v="0"/>
    <x v="4"/>
    <x v="2"/>
    <x v="0"/>
    <x v="0"/>
    <x v="3"/>
    <x v="3"/>
  </r>
  <r>
    <n v="238"/>
    <s v="PUNE CITY REGION"/>
    <s v="PUNE CITY"/>
    <s v="Maharashtra"/>
    <n v="8"/>
    <x v="10"/>
    <x v="11"/>
    <x v="0"/>
    <x v="0"/>
    <x v="1"/>
    <x v="3"/>
    <x v="0"/>
    <x v="3"/>
    <x v="3"/>
  </r>
  <r>
    <n v="1008"/>
    <s v="PUNE CITY REGION"/>
    <s v="PUNE CITY"/>
    <s v="Maharashtra"/>
    <n v="8"/>
    <x v="10"/>
    <x v="11"/>
    <x v="0"/>
    <x v="0"/>
    <x v="0"/>
    <x v="2"/>
    <x v="5"/>
    <x v="0"/>
    <x v="4"/>
  </r>
  <r>
    <n v="7"/>
    <s v="PUNE CITY REGION"/>
    <s v="PUNE CITY"/>
    <s v="Maharashtra"/>
    <n v="8"/>
    <x v="2"/>
    <x v="2"/>
    <x v="0"/>
    <x v="6"/>
    <x v="3"/>
    <x v="7"/>
    <x v="7"/>
    <x v="4"/>
    <x v="5"/>
  </r>
  <r>
    <n v="7"/>
    <s v="MUMBAI REGION"/>
    <s v="MUMBAI"/>
    <s v="Maharashtra"/>
    <n v="8"/>
    <x v="2"/>
    <x v="2"/>
    <x v="0"/>
    <x v="0"/>
    <x v="0"/>
    <x v="7"/>
    <x v="1"/>
    <x v="3"/>
    <x v="3"/>
  </r>
  <r>
    <n v="770"/>
    <s v="DELHI REGION"/>
    <s v="DELHI"/>
    <s v="Delhi"/>
    <n v="3"/>
    <x v="2"/>
    <x v="2"/>
    <x v="0"/>
    <x v="0"/>
    <x v="0"/>
    <x v="2"/>
    <x v="3"/>
    <x v="1"/>
    <x v="0"/>
  </r>
  <r>
    <n v="1351"/>
    <s v="MUMBAI REGION"/>
    <s v="MUMBAI"/>
    <s v="Maharashtra"/>
    <n v="8"/>
    <x v="11"/>
    <x v="12"/>
    <x v="0"/>
    <x v="0"/>
    <x v="0"/>
    <x v="0"/>
    <x v="0"/>
    <x v="0"/>
    <x v="2"/>
  </r>
  <r>
    <n v="615"/>
    <s v="CHENNAI REGION"/>
    <s v="CHENNAI"/>
    <s v="Tamil Nadu"/>
    <n v="12"/>
    <x v="0"/>
    <x v="5"/>
    <x v="0"/>
    <x v="0"/>
    <x v="0"/>
    <x v="0"/>
    <x v="0"/>
    <x v="0"/>
    <x v="4"/>
  </r>
  <r>
    <n v="14"/>
    <s v="CHENNAI REGION"/>
    <s v="CHENNAI"/>
    <s v="Tamil Nadu"/>
    <n v="12"/>
    <x v="8"/>
    <x v="9"/>
    <x v="2"/>
    <x v="3"/>
    <x v="1"/>
    <x v="2"/>
    <x v="0"/>
    <x v="3"/>
    <x v="3"/>
  </r>
  <r>
    <n v="1236"/>
    <s v="THANE REGION"/>
    <s v="THANE"/>
    <s v="Maharashtra"/>
    <n v="8"/>
    <x v="15"/>
    <x v="16"/>
    <x v="0"/>
    <x v="0"/>
    <x v="0"/>
    <x v="8"/>
    <x v="8"/>
    <x v="4"/>
    <x v="4"/>
  </r>
  <r>
    <n v="2591"/>
    <s v="NAGPUR REGION"/>
    <s v="NAGPUR"/>
    <s v="Maharashtra"/>
    <n v="8"/>
    <x v="15"/>
    <x v="16"/>
    <x v="0"/>
    <x v="0"/>
    <x v="0"/>
    <x v="0"/>
    <x v="3"/>
    <x v="1"/>
    <x v="8"/>
  </r>
  <r>
    <n v="2818"/>
    <s v="PUNE RURAL REGION"/>
    <s v="PUNE RURAL"/>
    <s v="Maharashtra"/>
    <n v="8"/>
    <x v="2"/>
    <x v="2"/>
    <x v="0"/>
    <x v="0"/>
    <x v="0"/>
    <x v="0"/>
    <x v="0"/>
    <x v="1"/>
    <x v="2"/>
  </r>
  <r>
    <n v="439"/>
    <s v="MUMBAI REGION"/>
    <s v="MUMBAI"/>
    <s v="Maharashtra"/>
    <n v="8"/>
    <x v="1"/>
    <x v="1"/>
    <x v="0"/>
    <x v="0"/>
    <x v="0"/>
    <x v="3"/>
    <x v="3"/>
    <x v="0"/>
    <x v="4"/>
  </r>
  <r>
    <n v="282"/>
    <s v="PUNE CITY REGION"/>
    <s v="PUNE CITY"/>
    <s v="Maharashtra"/>
    <n v="8"/>
    <x v="0"/>
    <x v="5"/>
    <x v="0"/>
    <x v="0"/>
    <x v="0"/>
    <x v="0"/>
    <x v="5"/>
    <x v="4"/>
    <x v="5"/>
  </r>
  <r>
    <n v="1334"/>
    <s v="PUNE CITY REGION"/>
    <s v="PUNE CITY"/>
    <s v="Maharashtra"/>
    <n v="8"/>
    <x v="2"/>
    <x v="2"/>
    <x v="0"/>
    <x v="3"/>
    <x v="1"/>
    <x v="0"/>
    <x v="0"/>
    <x v="3"/>
    <x v="3"/>
  </r>
  <r>
    <n v="484"/>
    <s v="DELHI REGION"/>
    <s v="DELHI"/>
    <s v="Delhi"/>
    <n v="3"/>
    <x v="6"/>
    <x v="7"/>
    <x v="2"/>
    <x v="3"/>
    <x v="0"/>
    <x v="0"/>
    <x v="0"/>
    <x v="3"/>
    <x v="3"/>
  </r>
  <r>
    <n v="742"/>
    <s v="DELHI REGION"/>
    <s v="DELHI"/>
    <s v="Delhi"/>
    <n v="3"/>
    <x v="16"/>
    <x v="17"/>
    <x v="0"/>
    <x v="0"/>
    <x v="1"/>
    <x v="2"/>
    <x v="3"/>
    <x v="0"/>
    <x v="3"/>
  </r>
  <r>
    <n v="145"/>
    <s v="MUMBAI REGION"/>
    <s v="MUMBAI"/>
    <s v="Maharashtra"/>
    <n v="8"/>
    <x v="16"/>
    <x v="17"/>
    <x v="5"/>
    <x v="3"/>
    <x v="1"/>
    <x v="2"/>
    <x v="3"/>
    <x v="0"/>
    <x v="0"/>
  </r>
  <r>
    <n v="158"/>
    <s v="MUMBAI REGION"/>
    <s v="MUMBAI"/>
    <s v="Maharashtra"/>
    <n v="8"/>
    <x v="6"/>
    <x v="7"/>
    <x v="5"/>
    <x v="4"/>
    <x v="2"/>
    <x v="0"/>
    <x v="0"/>
    <x v="3"/>
    <x v="3"/>
  </r>
  <r>
    <n v="779"/>
    <s v="DELHI REGION"/>
    <s v="DELHI"/>
    <s v="Delhi"/>
    <n v="3"/>
    <x v="6"/>
    <x v="7"/>
    <x v="0"/>
    <x v="0"/>
    <x v="0"/>
    <x v="2"/>
    <x v="3"/>
    <x v="0"/>
    <x v="0"/>
  </r>
  <r>
    <n v="584"/>
    <s v="DELHI REGION"/>
    <s v="DELHI"/>
    <s v="Delhi"/>
    <n v="3"/>
    <x v="11"/>
    <x v="12"/>
    <x v="1"/>
    <x v="3"/>
    <x v="1"/>
    <x v="0"/>
    <x v="0"/>
    <x v="3"/>
    <x v="3"/>
  </r>
  <r>
    <n v="2506"/>
    <s v="SATARA REGION"/>
    <s v="SATARA"/>
    <s v="Maharashtra"/>
    <n v="8"/>
    <x v="2"/>
    <x v="2"/>
    <x v="0"/>
    <x v="0"/>
    <x v="0"/>
    <x v="0"/>
    <x v="0"/>
    <x v="0"/>
    <x v="0"/>
  </r>
  <r>
    <n v="3"/>
    <s v="PUNE CITY REGION"/>
    <s v="PUNE CITY"/>
    <s v="Maharashtra"/>
    <n v="8"/>
    <x v="10"/>
    <x v="11"/>
    <x v="4"/>
    <x v="2"/>
    <x v="5"/>
    <x v="2"/>
    <x v="3"/>
    <x v="2"/>
    <x v="6"/>
  </r>
  <r>
    <n v="3508"/>
    <s v="PUNE CITY REGION"/>
    <s v="PUNE CITY"/>
    <s v="Maharashtra"/>
    <n v="8"/>
    <x v="1"/>
    <x v="1"/>
    <x v="0"/>
    <x v="0"/>
    <x v="0"/>
    <x v="2"/>
    <x v="1"/>
    <x v="1"/>
    <x v="4"/>
  </r>
  <r>
    <n v="44"/>
    <s v="MUMBAI REGION"/>
    <s v="MUMBAI"/>
    <s v="Maharashtra"/>
    <n v="8"/>
    <x v="7"/>
    <x v="8"/>
    <x v="3"/>
    <x v="5"/>
    <x v="0"/>
    <x v="0"/>
    <x v="0"/>
    <x v="3"/>
    <x v="3"/>
  </r>
  <r>
    <n v="693"/>
    <s v="NASIK REGION"/>
    <s v="NASIK"/>
    <s v="Maharashtra"/>
    <n v="8"/>
    <x v="14"/>
    <x v="15"/>
    <x v="0"/>
    <x v="0"/>
    <x v="1"/>
    <x v="2"/>
    <x v="3"/>
    <x v="0"/>
    <x v="0"/>
  </r>
  <r>
    <n v="400"/>
    <s v="INDORE REGION"/>
    <s v="INDORE"/>
    <s v="Madhya Pradesh"/>
    <n v="7"/>
    <x v="1"/>
    <x v="1"/>
    <x v="0"/>
    <x v="0"/>
    <x v="1"/>
    <x v="2"/>
    <x v="1"/>
    <x v="2"/>
    <x v="4"/>
  </r>
  <r>
    <n v="1660"/>
    <s v="HYDERABAD REGION"/>
    <s v="HYDERABAD"/>
    <s v="Andhra Pradesh"/>
    <n v="1"/>
    <x v="12"/>
    <x v="13"/>
    <x v="0"/>
    <x v="0"/>
    <x v="0"/>
    <x v="0"/>
    <x v="0"/>
    <x v="2"/>
    <x v="0"/>
  </r>
  <r>
    <n v="1260"/>
    <s v="MUMBAI REGION"/>
    <s v="MUMBAI"/>
    <s v="Maharashtra"/>
    <n v="8"/>
    <x v="5"/>
    <x v="6"/>
    <x v="0"/>
    <x v="0"/>
    <x v="0"/>
    <x v="0"/>
    <x v="3"/>
    <x v="0"/>
    <x v="0"/>
  </r>
  <r>
    <n v="11"/>
    <s v="KOLKATTA REGION"/>
    <s v="KOLKATA"/>
    <s v="West Bengal"/>
    <n v="14"/>
    <x v="3"/>
    <x v="3"/>
    <x v="0"/>
    <x v="0"/>
    <x v="0"/>
    <x v="0"/>
    <x v="1"/>
    <x v="2"/>
    <x v="4"/>
  </r>
  <r>
    <n v="17"/>
    <s v="MUMBAI REGION"/>
    <s v="MUMBAI"/>
    <s v="Maharashtra"/>
    <n v="8"/>
    <x v="0"/>
    <x v="5"/>
    <x v="5"/>
    <x v="1"/>
    <x v="2"/>
    <x v="3"/>
    <x v="0"/>
    <x v="3"/>
    <x v="3"/>
  </r>
  <r>
    <n v="614"/>
    <s v="DELHI REGION"/>
    <s v="DELHI"/>
    <s v="Delhi"/>
    <n v="3"/>
    <x v="2"/>
    <x v="2"/>
    <x v="0"/>
    <x v="0"/>
    <x v="0"/>
    <x v="0"/>
    <x v="0"/>
    <x v="2"/>
    <x v="2"/>
  </r>
  <r>
    <n v="2444"/>
    <s v="PUNE CITY REGION"/>
    <s v="PUNE CITY"/>
    <s v="Maharashtra"/>
    <n v="8"/>
    <x v="13"/>
    <x v="14"/>
    <x v="0"/>
    <x v="0"/>
    <x v="0"/>
    <x v="2"/>
    <x v="3"/>
    <x v="3"/>
    <x v="3"/>
  </r>
  <r>
    <n v="825"/>
    <s v="MUMBAI REGION"/>
    <s v="MUMBAI"/>
    <s v="Maharashtra"/>
    <n v="8"/>
    <x v="10"/>
    <x v="11"/>
    <x v="0"/>
    <x v="0"/>
    <x v="4"/>
    <x v="1"/>
    <x v="0"/>
    <x v="3"/>
    <x v="3"/>
  </r>
  <r>
    <n v="301"/>
    <s v="MUMBAI REGION"/>
    <s v="MUMBAI"/>
    <s v="Maharashtra"/>
    <n v="8"/>
    <x v="7"/>
    <x v="8"/>
    <x v="0"/>
    <x v="0"/>
    <x v="0"/>
    <x v="0"/>
    <x v="0"/>
    <x v="1"/>
    <x v="1"/>
  </r>
  <r>
    <n v="1"/>
    <s v="PUNE CITY REGION"/>
    <s v="PUNE CITY"/>
    <s v="Maharashtra"/>
    <n v="8"/>
    <x v="2"/>
    <x v="2"/>
    <x v="2"/>
    <x v="3"/>
    <x v="1"/>
    <x v="2"/>
    <x v="3"/>
    <x v="1"/>
    <x v="4"/>
  </r>
  <r>
    <n v="32"/>
    <s v="DELHI REGION"/>
    <s v="DELHI"/>
    <s v="Delhi"/>
    <n v="3"/>
    <x v="2"/>
    <x v="2"/>
    <x v="4"/>
    <x v="1"/>
    <x v="1"/>
    <x v="2"/>
    <x v="3"/>
    <x v="0"/>
    <x v="2"/>
  </r>
  <r>
    <n v="33"/>
    <s v="DELHI REGION"/>
    <s v="DELHI"/>
    <s v="Delhi"/>
    <n v="3"/>
    <x v="4"/>
    <x v="4"/>
    <x v="0"/>
    <x v="0"/>
    <x v="0"/>
    <x v="0"/>
    <x v="0"/>
    <x v="1"/>
    <x v="2"/>
  </r>
  <r>
    <n v="40"/>
    <s v="PUNE CITY REGION"/>
    <s v="PUNE CITY"/>
    <s v="Maharashtra"/>
    <n v="8"/>
    <x v="11"/>
    <x v="12"/>
    <x v="4"/>
    <x v="2"/>
    <x v="0"/>
    <x v="0"/>
    <x v="0"/>
    <x v="3"/>
    <x v="3"/>
  </r>
  <r>
    <n v="2013"/>
    <s v="PUNE CITY REGION"/>
    <s v="PUNE CITY"/>
    <s v="Maharashtra"/>
    <n v="8"/>
    <x v="10"/>
    <x v="11"/>
    <x v="0"/>
    <x v="0"/>
    <x v="0"/>
    <x v="0"/>
    <x v="5"/>
    <x v="1"/>
    <x v="1"/>
  </r>
  <r>
    <n v="10"/>
    <s v="MUMBAI REGION"/>
    <s v="MUMBAI"/>
    <s v="Maharashtra"/>
    <n v="8"/>
    <x v="1"/>
    <x v="1"/>
    <x v="6"/>
    <x v="2"/>
    <x v="5"/>
    <x v="7"/>
    <x v="7"/>
    <x v="4"/>
    <x v="1"/>
  </r>
  <r>
    <n v="303"/>
    <s v="DELHI REGION"/>
    <s v="DELHI"/>
    <s v="Delhi"/>
    <n v="3"/>
    <x v="2"/>
    <x v="2"/>
    <x v="0"/>
    <x v="0"/>
    <x v="0"/>
    <x v="0"/>
    <x v="2"/>
    <x v="2"/>
    <x v="2"/>
  </r>
  <r>
    <n v="380"/>
    <s v="DELHI REGION"/>
    <s v="DELHI"/>
    <s v="Delhi"/>
    <n v="3"/>
    <x v="4"/>
    <x v="4"/>
    <x v="0"/>
    <x v="0"/>
    <x v="0"/>
    <x v="0"/>
    <x v="0"/>
    <x v="2"/>
    <x v="2"/>
  </r>
  <r>
    <n v="404"/>
    <s v="DELHI REGION"/>
    <s v="DELHI"/>
    <s v="Delhi"/>
    <n v="3"/>
    <x v="9"/>
    <x v="10"/>
    <x v="0"/>
    <x v="0"/>
    <x v="0"/>
    <x v="0"/>
    <x v="0"/>
    <x v="2"/>
    <x v="2"/>
  </r>
  <r>
    <n v="1110"/>
    <s v="DELHI REGION"/>
    <s v="DELHI"/>
    <s v="Delhi"/>
    <n v="3"/>
    <x v="10"/>
    <x v="11"/>
    <x v="0"/>
    <x v="0"/>
    <x v="0"/>
    <x v="0"/>
    <x v="3"/>
    <x v="1"/>
    <x v="2"/>
  </r>
  <r>
    <n v="1398"/>
    <s v="MUMBAI REGION"/>
    <s v="MUMBAI"/>
    <s v="Maharashtra"/>
    <n v="8"/>
    <x v="10"/>
    <x v="11"/>
    <x v="0"/>
    <x v="0"/>
    <x v="0"/>
    <x v="0"/>
    <x v="0"/>
    <x v="0"/>
    <x v="0"/>
  </r>
  <r>
    <n v="1668"/>
    <s v="MUMBAI REGION"/>
    <s v="MUMBAI"/>
    <s v="Maharashtra"/>
    <n v="8"/>
    <x v="4"/>
    <x v="4"/>
    <x v="0"/>
    <x v="0"/>
    <x v="0"/>
    <x v="0"/>
    <x v="0"/>
    <x v="2"/>
    <x v="2"/>
  </r>
  <r>
    <n v="685"/>
    <s v="DELHI REGION"/>
    <s v="DELHI"/>
    <s v="Delhi"/>
    <n v="3"/>
    <x v="4"/>
    <x v="4"/>
    <x v="0"/>
    <x v="0"/>
    <x v="0"/>
    <x v="0"/>
    <x v="1"/>
    <x v="1"/>
    <x v="0"/>
  </r>
  <r>
    <n v="1556"/>
    <s v="HYDERABAD REGION"/>
    <s v="HYDERABAD"/>
    <s v="Andhra Pradesh"/>
    <n v="1"/>
    <x v="7"/>
    <x v="8"/>
    <x v="0"/>
    <x v="0"/>
    <x v="0"/>
    <x v="0"/>
    <x v="1"/>
    <x v="0"/>
    <x v="0"/>
  </r>
  <r>
    <n v="134"/>
    <s v="PUNE CITY REGION"/>
    <s v="PUNE CITY"/>
    <s v="Maharashtra"/>
    <n v="8"/>
    <x v="4"/>
    <x v="4"/>
    <x v="0"/>
    <x v="0"/>
    <x v="0"/>
    <x v="0"/>
    <x v="3"/>
    <x v="0"/>
    <x v="3"/>
  </r>
  <r>
    <n v="614"/>
    <s v="DELHI REGION"/>
    <s v="DELHI"/>
    <s v="Delhi"/>
    <n v="3"/>
    <x v="12"/>
    <x v="13"/>
    <x v="0"/>
    <x v="0"/>
    <x v="1"/>
    <x v="3"/>
    <x v="3"/>
    <x v="0"/>
    <x v="2"/>
  </r>
  <r>
    <n v="4"/>
    <s v="PUNE CITY REGION"/>
    <s v="PUNE CITY"/>
    <s v="Maharashtra"/>
    <n v="8"/>
    <x v="12"/>
    <x v="13"/>
    <x v="4"/>
    <x v="4"/>
    <x v="4"/>
    <x v="0"/>
    <x v="3"/>
    <x v="2"/>
    <x v="4"/>
  </r>
  <r>
    <n v="1010"/>
    <s v="THANE REGION"/>
    <s v="THANE"/>
    <s v="Maharashtra"/>
    <n v="8"/>
    <x v="6"/>
    <x v="7"/>
    <x v="0"/>
    <x v="0"/>
    <x v="0"/>
    <x v="0"/>
    <x v="2"/>
    <x v="2"/>
    <x v="1"/>
  </r>
  <r>
    <n v="8"/>
    <s v="KOLKATTA REGION"/>
    <s v="KOLKATA"/>
    <s v="West Bengal"/>
    <n v="14"/>
    <x v="6"/>
    <x v="7"/>
    <x v="0"/>
    <x v="3"/>
    <x v="4"/>
    <x v="7"/>
    <x v="0"/>
    <x v="3"/>
    <x v="3"/>
  </r>
  <r>
    <n v="1202"/>
    <s v="HYDERABAD REGION"/>
    <s v="HYDERABAD"/>
    <s v="Andhra Pradesh"/>
    <n v="1"/>
    <x v="1"/>
    <x v="1"/>
    <x v="0"/>
    <x v="0"/>
    <x v="0"/>
    <x v="0"/>
    <x v="3"/>
    <x v="2"/>
    <x v="2"/>
  </r>
  <r>
    <n v="1327"/>
    <s v="HYDERABAD REGION"/>
    <s v="HYDERABAD"/>
    <s v="Andhra Pradesh"/>
    <n v="1"/>
    <x v="1"/>
    <x v="1"/>
    <x v="0"/>
    <x v="0"/>
    <x v="0"/>
    <x v="0"/>
    <x v="0"/>
    <x v="0"/>
    <x v="0"/>
  </r>
  <r>
    <n v="1"/>
    <s v="MUMBAI REGION"/>
    <s v="MUMBAI"/>
    <s v="Maharashtra"/>
    <n v="8"/>
    <x v="7"/>
    <x v="8"/>
    <x v="3"/>
    <x v="5"/>
    <x v="3"/>
    <x v="0"/>
    <x v="0"/>
    <x v="3"/>
    <x v="3"/>
  </r>
  <r>
    <n v="87"/>
    <s v="PUNE CITY REGION"/>
    <s v="PUNE CITY"/>
    <s v="Maharashtra"/>
    <n v="8"/>
    <x v="15"/>
    <x v="16"/>
    <x v="0"/>
    <x v="0"/>
    <x v="1"/>
    <x v="2"/>
    <x v="0"/>
    <x v="3"/>
    <x v="3"/>
  </r>
  <r>
    <n v="3715"/>
    <s v="PUNE CITY REGION"/>
    <s v="PUNE CITY"/>
    <s v="Maharashtra"/>
    <n v="8"/>
    <x v="15"/>
    <x v="16"/>
    <x v="0"/>
    <x v="0"/>
    <x v="0"/>
    <x v="0"/>
    <x v="2"/>
    <x v="2"/>
    <x v="3"/>
  </r>
  <r>
    <n v="5"/>
    <s v="MUMBAI REGION"/>
    <s v="MUMBAI"/>
    <s v="Maharashtra"/>
    <n v="8"/>
    <x v="3"/>
    <x v="3"/>
    <x v="0"/>
    <x v="3"/>
    <x v="1"/>
    <x v="2"/>
    <x v="0"/>
    <x v="2"/>
    <x v="2"/>
  </r>
  <r>
    <n v="20"/>
    <s v="MUMBAI REGION"/>
    <s v="MUMBAI"/>
    <s v="Maharashtra"/>
    <n v="8"/>
    <x v="3"/>
    <x v="3"/>
    <x v="0"/>
    <x v="0"/>
    <x v="0"/>
    <x v="0"/>
    <x v="1"/>
    <x v="0"/>
    <x v="2"/>
  </r>
  <r>
    <n v="16"/>
    <s v="MUMBAI REGION"/>
    <s v="MUMBAI"/>
    <s v="Maharashtra"/>
    <n v="8"/>
    <x v="0"/>
    <x v="5"/>
    <x v="2"/>
    <x v="3"/>
    <x v="1"/>
    <x v="2"/>
    <x v="0"/>
    <x v="3"/>
    <x v="3"/>
  </r>
  <r>
    <n v="3726"/>
    <s v="PUNE CITY REGION"/>
    <s v="PUNE CITY"/>
    <s v="Maharashtra"/>
    <n v="8"/>
    <x v="4"/>
    <x v="4"/>
    <x v="0"/>
    <x v="0"/>
    <x v="0"/>
    <x v="0"/>
    <x v="3"/>
    <x v="1"/>
    <x v="3"/>
  </r>
  <r>
    <n v="378"/>
    <s v="MUMBAI REGION"/>
    <s v="MUMBAI"/>
    <s v="Maharashtra"/>
    <n v="8"/>
    <x v="4"/>
    <x v="4"/>
    <x v="5"/>
    <x v="1"/>
    <x v="1"/>
    <x v="3"/>
    <x v="3"/>
    <x v="3"/>
    <x v="3"/>
  </r>
  <r>
    <n v="184"/>
    <s v="MUMBAI REGION"/>
    <s v="MUMBAI"/>
    <s v="Maharashtra"/>
    <n v="8"/>
    <x v="4"/>
    <x v="4"/>
    <x v="5"/>
    <x v="1"/>
    <x v="2"/>
    <x v="2"/>
    <x v="3"/>
    <x v="1"/>
    <x v="2"/>
  </r>
  <r>
    <n v="475"/>
    <s v="DELHI REGION"/>
    <s v="DELHI"/>
    <s v="Delhi"/>
    <n v="3"/>
    <x v="10"/>
    <x v="11"/>
    <x v="1"/>
    <x v="1"/>
    <x v="1"/>
    <x v="0"/>
    <x v="0"/>
    <x v="3"/>
    <x v="3"/>
  </r>
  <r>
    <n v="20"/>
    <s v="KOLKATTA REGION"/>
    <s v="KOLKATA"/>
    <s v="West Bengal"/>
    <n v="14"/>
    <x v="11"/>
    <x v="12"/>
    <x v="0"/>
    <x v="0"/>
    <x v="0"/>
    <x v="2"/>
    <x v="1"/>
    <x v="2"/>
    <x v="4"/>
  </r>
  <r>
    <n v="852"/>
    <s v="PUNE CITY REGION"/>
    <s v="PUNE CITY"/>
    <s v="Maharashtra"/>
    <n v="8"/>
    <x v="11"/>
    <x v="12"/>
    <x v="0"/>
    <x v="0"/>
    <x v="1"/>
    <x v="3"/>
    <x v="0"/>
    <x v="3"/>
    <x v="3"/>
  </r>
  <r>
    <n v="683"/>
    <s v="MUMBAI REGION"/>
    <s v="MUMBAI"/>
    <s v="Maharashtra"/>
    <n v="8"/>
    <x v="13"/>
    <x v="14"/>
    <x v="0"/>
    <x v="0"/>
    <x v="0"/>
    <x v="0"/>
    <x v="0"/>
    <x v="2"/>
    <x v="2"/>
  </r>
  <r>
    <n v="1442"/>
    <s v="MUMBAI REGION"/>
    <s v="MUMBAI"/>
    <s v="Maharashtra"/>
    <n v="8"/>
    <x v="13"/>
    <x v="14"/>
    <x v="0"/>
    <x v="0"/>
    <x v="0"/>
    <x v="0"/>
    <x v="5"/>
    <x v="0"/>
    <x v="3"/>
  </r>
  <r>
    <n v="6"/>
    <s v="JABALPUR REGION"/>
    <s v="JABALPUR"/>
    <s v="Madhya Pradesh"/>
    <n v="7"/>
    <x v="13"/>
    <x v="14"/>
    <x v="0"/>
    <x v="0"/>
    <x v="0"/>
    <x v="0"/>
    <x v="0"/>
    <x v="0"/>
    <x v="2"/>
  </r>
  <r>
    <n v="1056"/>
    <s v="JABALPUR REGION"/>
    <s v="JABALPUR"/>
    <s v="Madhya Pradesh"/>
    <n v="7"/>
    <x v="13"/>
    <x v="14"/>
    <x v="0"/>
    <x v="0"/>
    <x v="4"/>
    <x v="2"/>
    <x v="3"/>
    <x v="0"/>
    <x v="0"/>
  </r>
  <r>
    <n v="2299"/>
    <s v="PUNE RURAL REGION"/>
    <s v="PUNE RURAL"/>
    <s v="Maharashtra"/>
    <n v="8"/>
    <x v="11"/>
    <x v="12"/>
    <x v="0"/>
    <x v="0"/>
    <x v="0"/>
    <x v="0"/>
    <x v="0"/>
    <x v="1"/>
    <x v="2"/>
  </r>
  <r>
    <n v="1136"/>
    <s v="KOLHAPUR REGION"/>
    <s v="KOLHAPUR"/>
    <s v="Maharashtra"/>
    <n v="8"/>
    <x v="11"/>
    <x v="12"/>
    <x v="0"/>
    <x v="0"/>
    <x v="1"/>
    <x v="2"/>
    <x v="0"/>
    <x v="3"/>
    <x v="3"/>
  </r>
  <r>
    <n v="1963"/>
    <s v="PUNE RURAL REGION"/>
    <s v="PUNE RURAL"/>
    <s v="Maharashtra"/>
    <n v="8"/>
    <x v="14"/>
    <x v="15"/>
    <x v="0"/>
    <x v="0"/>
    <x v="0"/>
    <x v="0"/>
    <x v="3"/>
    <x v="1"/>
    <x v="2"/>
  </r>
  <r>
    <n v="2799"/>
    <s v="AURANGABAD REGION"/>
    <s v="AURANGABAD"/>
    <s v="Maharashtra"/>
    <n v="8"/>
    <x v="14"/>
    <x v="15"/>
    <x v="0"/>
    <x v="0"/>
    <x v="0"/>
    <x v="0"/>
    <x v="3"/>
    <x v="0"/>
    <x v="4"/>
  </r>
  <r>
    <n v="293"/>
    <s v="MUMBAI REGION"/>
    <s v="MUMBAI"/>
    <s v="Maharashtra"/>
    <n v="8"/>
    <x v="16"/>
    <x v="17"/>
    <x v="0"/>
    <x v="1"/>
    <x v="1"/>
    <x v="0"/>
    <x v="0"/>
    <x v="3"/>
    <x v="3"/>
  </r>
  <r>
    <n v="1104"/>
    <s v="HYDERABAD REGION"/>
    <s v="HYDERABAD"/>
    <s v="Andhra Pradesh"/>
    <n v="1"/>
    <x v="16"/>
    <x v="17"/>
    <x v="0"/>
    <x v="0"/>
    <x v="0"/>
    <x v="0"/>
    <x v="0"/>
    <x v="0"/>
    <x v="2"/>
  </r>
  <r>
    <n v="655"/>
    <s v="PUNE CITY REGION"/>
    <s v="PUNE CITY"/>
    <s v="Maharashtra"/>
    <n v="8"/>
    <x v="16"/>
    <x v="17"/>
    <x v="0"/>
    <x v="0"/>
    <x v="2"/>
    <x v="3"/>
    <x v="1"/>
    <x v="1"/>
    <x v="2"/>
  </r>
  <r>
    <n v="337"/>
    <s v="AURANGABAD REGION"/>
    <s v="AURANGABAD"/>
    <s v="Maharashtra"/>
    <n v="8"/>
    <x v="12"/>
    <x v="13"/>
    <x v="0"/>
    <x v="0"/>
    <x v="0"/>
    <x v="7"/>
    <x v="2"/>
    <x v="3"/>
    <x v="3"/>
  </r>
  <r>
    <n v="546"/>
    <s v="DELHI REGION"/>
    <s v="DELHI"/>
    <s v="Delhi"/>
    <n v="3"/>
    <x v="5"/>
    <x v="6"/>
    <x v="0"/>
    <x v="0"/>
    <x v="1"/>
    <x v="2"/>
    <x v="1"/>
    <x v="1"/>
    <x v="2"/>
  </r>
  <r>
    <n v="2504"/>
    <s v="SOLAPUR REGION"/>
    <s v="SOLAPUR"/>
    <s v="Maharashtra"/>
    <n v="8"/>
    <x v="3"/>
    <x v="3"/>
    <x v="0"/>
    <x v="0"/>
    <x v="0"/>
    <x v="0"/>
    <x v="0"/>
    <x v="0"/>
    <x v="2"/>
  </r>
  <r>
    <n v="1179"/>
    <s v="INDORE REGION"/>
    <s v="INDORE"/>
    <s v="Madhya Pradesh"/>
    <n v="7"/>
    <x v="0"/>
    <x v="5"/>
    <x v="0"/>
    <x v="0"/>
    <x v="0"/>
    <x v="3"/>
    <x v="3"/>
    <x v="3"/>
    <x v="3"/>
  </r>
  <r>
    <n v="1020"/>
    <s v="MUMBAI REGION"/>
    <s v="MUMBAI"/>
    <s v="Maharashtra"/>
    <n v="8"/>
    <x v="2"/>
    <x v="2"/>
    <x v="0"/>
    <x v="2"/>
    <x v="3"/>
    <x v="8"/>
    <x v="0"/>
    <x v="3"/>
    <x v="3"/>
  </r>
  <r>
    <n v="34"/>
    <s v="BANGALORE REGION"/>
    <s v="BANGALORE"/>
    <s v="Karnataka"/>
    <n v="6"/>
    <x v="13"/>
    <x v="14"/>
    <x v="0"/>
    <x v="1"/>
    <x v="1"/>
    <x v="0"/>
    <x v="0"/>
    <x v="3"/>
    <x v="3"/>
  </r>
  <r>
    <n v="2881"/>
    <s v="HYDERABAD REGION"/>
    <s v="HYDERABAD"/>
    <s v="Andhra Pradesh"/>
    <n v="1"/>
    <x v="10"/>
    <x v="11"/>
    <x v="0"/>
    <x v="0"/>
    <x v="0"/>
    <x v="5"/>
    <x v="7"/>
    <x v="4"/>
    <x v="1"/>
  </r>
  <r>
    <n v="690"/>
    <s v="JAIPUR REGION"/>
    <s v="JAIPUR"/>
    <s v="Rajasthan"/>
    <n v="11"/>
    <x v="7"/>
    <x v="8"/>
    <x v="0"/>
    <x v="0"/>
    <x v="0"/>
    <x v="2"/>
    <x v="3"/>
    <x v="0"/>
    <x v="2"/>
  </r>
  <r>
    <n v="784"/>
    <s v="DELHI REGION"/>
    <s v="DELHI"/>
    <s v="Delhi"/>
    <n v="3"/>
    <x v="2"/>
    <x v="2"/>
    <x v="0"/>
    <x v="0"/>
    <x v="0"/>
    <x v="0"/>
    <x v="0"/>
    <x v="1"/>
    <x v="1"/>
  </r>
  <r>
    <n v="3911"/>
    <s v="PUNE CITY REGION"/>
    <s v="PUNE CITY"/>
    <s v="Maharashtra"/>
    <n v="8"/>
    <x v="2"/>
    <x v="2"/>
    <x v="0"/>
    <x v="0"/>
    <x v="0"/>
    <x v="0"/>
    <x v="0"/>
    <x v="2"/>
    <x v="2"/>
  </r>
  <r>
    <n v="809"/>
    <s v="THANE REGION"/>
    <s v="THANE"/>
    <s v="Maharashtra"/>
    <n v="8"/>
    <x v="4"/>
    <x v="4"/>
    <x v="0"/>
    <x v="0"/>
    <x v="0"/>
    <x v="2"/>
    <x v="3"/>
    <x v="3"/>
    <x v="3"/>
  </r>
  <r>
    <n v="707"/>
    <s v="MUMBAI REGION"/>
    <s v="MUMBAI"/>
    <s v="Maharashtra"/>
    <n v="8"/>
    <x v="11"/>
    <x v="12"/>
    <x v="0"/>
    <x v="0"/>
    <x v="0"/>
    <x v="0"/>
    <x v="1"/>
    <x v="1"/>
    <x v="4"/>
  </r>
  <r>
    <n v="235"/>
    <s v="MUMBAI REGION"/>
    <s v="MUMBAI"/>
    <s v="Maharashtra"/>
    <n v="8"/>
    <x v="10"/>
    <x v="11"/>
    <x v="0"/>
    <x v="0"/>
    <x v="0"/>
    <x v="7"/>
    <x v="2"/>
    <x v="2"/>
    <x v="1"/>
  </r>
  <r>
    <n v="658"/>
    <s v="MUMBAI REGION"/>
    <s v="MUMBAI"/>
    <s v="Maharashtra"/>
    <n v="8"/>
    <x v="1"/>
    <x v="1"/>
    <x v="0"/>
    <x v="0"/>
    <x v="0"/>
    <x v="0"/>
    <x v="3"/>
    <x v="1"/>
    <x v="4"/>
  </r>
  <r>
    <n v="3128"/>
    <s v="HYDERABAD REGION"/>
    <s v="HYDERABAD"/>
    <s v="Andhra Pradesh"/>
    <n v="1"/>
    <x v="2"/>
    <x v="2"/>
    <x v="0"/>
    <x v="0"/>
    <x v="0"/>
    <x v="0"/>
    <x v="5"/>
    <x v="5"/>
    <x v="4"/>
  </r>
  <r>
    <n v="531"/>
    <s v="DELHI REGION"/>
    <s v="DELHI"/>
    <s v="Delhi"/>
    <n v="3"/>
    <x v="4"/>
    <x v="4"/>
    <x v="0"/>
    <x v="1"/>
    <x v="1"/>
    <x v="0"/>
    <x v="3"/>
    <x v="0"/>
    <x v="3"/>
  </r>
  <r>
    <n v="3929"/>
    <s v="PUNE CITY REGION"/>
    <s v="PUNE CITY"/>
    <s v="Maharashtra"/>
    <n v="8"/>
    <x v="9"/>
    <x v="10"/>
    <x v="0"/>
    <x v="0"/>
    <x v="0"/>
    <x v="2"/>
    <x v="3"/>
    <x v="2"/>
    <x v="1"/>
  </r>
  <r>
    <n v="3836"/>
    <s v="PUNE RURAL REGION"/>
    <s v="PUNE RURAL"/>
    <s v="Maharashtra"/>
    <n v="8"/>
    <x v="10"/>
    <x v="11"/>
    <x v="0"/>
    <x v="0"/>
    <x v="0"/>
    <x v="0"/>
    <x v="0"/>
    <x v="1"/>
    <x v="0"/>
  </r>
  <r>
    <n v="191"/>
    <s v="LUCKNOW REGION"/>
    <s v="LUCKNOW"/>
    <s v="Uttar Pradesh"/>
    <n v="13"/>
    <x v="10"/>
    <x v="11"/>
    <x v="0"/>
    <x v="3"/>
    <x v="1"/>
    <x v="3"/>
    <x v="3"/>
    <x v="1"/>
    <x v="2"/>
  </r>
  <r>
    <n v="2"/>
    <s v="AHMEDABAD  REGION"/>
    <s v="AHMEDABAD"/>
    <s v="Gujarat"/>
    <n v="5"/>
    <x v="4"/>
    <x v="4"/>
    <x v="1"/>
    <x v="4"/>
    <x v="4"/>
    <x v="2"/>
    <x v="3"/>
    <x v="3"/>
    <x v="3"/>
  </r>
  <r>
    <n v="859"/>
    <s v="PUNE CITY REGION"/>
    <s v="PUNE CITY"/>
    <s v="Maharashtra"/>
    <n v="8"/>
    <x v="0"/>
    <x v="5"/>
    <x v="0"/>
    <x v="0"/>
    <x v="0"/>
    <x v="0"/>
    <x v="0"/>
    <x v="0"/>
    <x v="4"/>
  </r>
  <r>
    <n v="596"/>
    <s v="MUMBAI REGION"/>
    <s v="MUMBAI"/>
    <s v="Maharashtra"/>
    <n v="8"/>
    <x v="5"/>
    <x v="6"/>
    <x v="0"/>
    <x v="0"/>
    <x v="0"/>
    <x v="0"/>
    <x v="3"/>
    <x v="1"/>
    <x v="1"/>
  </r>
  <r>
    <n v="1157"/>
    <s v="MUMBAI REGION"/>
    <s v="MUMBAI"/>
    <s v="Maharashtra"/>
    <n v="8"/>
    <x v="6"/>
    <x v="7"/>
    <x v="0"/>
    <x v="3"/>
    <x v="1"/>
    <x v="2"/>
    <x v="3"/>
    <x v="0"/>
    <x v="3"/>
  </r>
  <r>
    <n v="1134"/>
    <s v="AHMEDABAD  REGION"/>
    <s v="AHMEDABAD"/>
    <s v="Gujarat"/>
    <n v="5"/>
    <x v="7"/>
    <x v="8"/>
    <x v="0"/>
    <x v="0"/>
    <x v="0"/>
    <x v="0"/>
    <x v="1"/>
    <x v="2"/>
    <x v="4"/>
  </r>
  <r>
    <n v="654"/>
    <s v="CHENNAI REGION"/>
    <s v="CHENNAI"/>
    <s v="Tamil Nadu"/>
    <n v="12"/>
    <x v="1"/>
    <x v="1"/>
    <x v="0"/>
    <x v="0"/>
    <x v="0"/>
    <x v="0"/>
    <x v="3"/>
    <x v="1"/>
    <x v="2"/>
  </r>
  <r>
    <n v="692"/>
    <s v="JAIPUR REGION"/>
    <s v="JAIPUR"/>
    <s v="Rajasthan"/>
    <n v="11"/>
    <x v="1"/>
    <x v="1"/>
    <x v="0"/>
    <x v="0"/>
    <x v="0"/>
    <x v="2"/>
    <x v="3"/>
    <x v="1"/>
    <x v="2"/>
  </r>
  <r>
    <n v="10"/>
    <s v="MUMBAI REGION"/>
    <s v="MUMBAI"/>
    <s v="Maharashtra"/>
    <n v="8"/>
    <x v="7"/>
    <x v="8"/>
    <x v="0"/>
    <x v="0"/>
    <x v="0"/>
    <x v="1"/>
    <x v="2"/>
    <x v="1"/>
    <x v="2"/>
  </r>
  <r>
    <n v="67"/>
    <s v="MUMBAI REGION"/>
    <s v="MUMBAI"/>
    <s v="Maharashtra"/>
    <n v="8"/>
    <x v="1"/>
    <x v="1"/>
    <x v="1"/>
    <x v="4"/>
    <x v="4"/>
    <x v="7"/>
    <x v="5"/>
    <x v="4"/>
    <x v="0"/>
  </r>
  <r>
    <n v="1176"/>
    <s v="AHMEDABAD  REGION"/>
    <s v="AHMEDABAD"/>
    <s v="Gujarat"/>
    <n v="5"/>
    <x v="7"/>
    <x v="8"/>
    <x v="0"/>
    <x v="0"/>
    <x v="0"/>
    <x v="0"/>
    <x v="1"/>
    <x v="1"/>
    <x v="2"/>
  </r>
  <r>
    <n v="160"/>
    <s v="DELHI REGION"/>
    <s v="DELHI"/>
    <s v="Delhi"/>
    <n v="3"/>
    <x v="1"/>
    <x v="1"/>
    <x v="6"/>
    <x v="7"/>
    <x v="2"/>
    <x v="5"/>
    <x v="7"/>
    <x v="5"/>
    <x v="4"/>
  </r>
  <r>
    <n v="1143"/>
    <s v="MUMBAI REGION"/>
    <s v="MUMBAI"/>
    <s v="Maharashtra"/>
    <n v="8"/>
    <x v="1"/>
    <x v="1"/>
    <x v="0"/>
    <x v="0"/>
    <x v="0"/>
    <x v="2"/>
    <x v="3"/>
    <x v="1"/>
    <x v="0"/>
  </r>
  <r>
    <n v="1"/>
    <s v="AHMEDABAD  REGION"/>
    <s v="AHMEDABAD"/>
    <s v="Gujarat"/>
    <n v="5"/>
    <x v="1"/>
    <x v="1"/>
    <x v="7"/>
    <x v="7"/>
    <x v="7"/>
    <x v="5"/>
    <x v="2"/>
    <x v="2"/>
    <x v="1"/>
  </r>
  <r>
    <n v="2"/>
    <s v="NASIK REGION"/>
    <s v="NASIK"/>
    <s v="Maharashtra"/>
    <n v="8"/>
    <x v="8"/>
    <x v="9"/>
    <x v="0"/>
    <x v="0"/>
    <x v="4"/>
    <x v="7"/>
    <x v="7"/>
    <x v="6"/>
    <x v="6"/>
  </r>
  <r>
    <n v="151"/>
    <s v="MUMBAI REGION"/>
    <s v="MUMBAI"/>
    <s v="Maharashtra"/>
    <n v="8"/>
    <x v="8"/>
    <x v="9"/>
    <x v="1"/>
    <x v="1"/>
    <x v="2"/>
    <x v="2"/>
    <x v="1"/>
    <x v="1"/>
    <x v="0"/>
  </r>
  <r>
    <n v="45"/>
    <s v="DELHI REGION"/>
    <s v="DELHI"/>
    <s v="Delhi"/>
    <n v="3"/>
    <x v="8"/>
    <x v="9"/>
    <x v="0"/>
    <x v="0"/>
    <x v="0"/>
    <x v="0"/>
    <x v="0"/>
    <x v="1"/>
    <x v="0"/>
  </r>
  <r>
    <n v="166"/>
    <s v="KOLKATTA REGION"/>
    <s v="KOLKATA"/>
    <s v="West Bengal"/>
    <n v="14"/>
    <x v="2"/>
    <x v="2"/>
    <x v="0"/>
    <x v="0"/>
    <x v="0"/>
    <x v="0"/>
    <x v="1"/>
    <x v="5"/>
    <x v="6"/>
  </r>
  <r>
    <n v="186"/>
    <s v="MUMBAI REGION"/>
    <s v="MUMBAI"/>
    <s v="Maharashtra"/>
    <n v="8"/>
    <x v="1"/>
    <x v="1"/>
    <x v="5"/>
    <x v="1"/>
    <x v="4"/>
    <x v="3"/>
    <x v="2"/>
    <x v="4"/>
    <x v="1"/>
  </r>
  <r>
    <n v="25"/>
    <s v="BANGALORE REGION"/>
    <s v="BANGALORE"/>
    <s v="Karnataka"/>
    <n v="6"/>
    <x v="0"/>
    <x v="5"/>
    <x v="2"/>
    <x v="3"/>
    <x v="1"/>
    <x v="2"/>
    <x v="2"/>
    <x v="0"/>
    <x v="4"/>
  </r>
  <r>
    <n v="218"/>
    <s v="HYDERABAD REGION"/>
    <s v="HYDERABAD"/>
    <s v="Andhra Pradesh"/>
    <n v="1"/>
    <x v="2"/>
    <x v="2"/>
    <x v="0"/>
    <x v="0"/>
    <x v="0"/>
    <x v="0"/>
    <x v="3"/>
    <x v="0"/>
    <x v="0"/>
  </r>
  <r>
    <n v="58"/>
    <s v="MUMBAI REGION"/>
    <s v="MUMBAI"/>
    <s v="Maharashtra"/>
    <n v="8"/>
    <x v="13"/>
    <x v="14"/>
    <x v="0"/>
    <x v="0"/>
    <x v="1"/>
    <x v="1"/>
    <x v="2"/>
    <x v="3"/>
    <x v="3"/>
  </r>
  <r>
    <n v="1257"/>
    <s v="MUMBAI REGION"/>
    <s v="MUMBAI"/>
    <s v="Maharashtra"/>
    <n v="8"/>
    <x v="10"/>
    <x v="11"/>
    <x v="0"/>
    <x v="0"/>
    <x v="0"/>
    <x v="0"/>
    <x v="3"/>
    <x v="1"/>
    <x v="3"/>
  </r>
  <r>
    <n v="1591"/>
    <s v="PUNE CITY REGION"/>
    <s v="PUNE CITY"/>
    <s v="Maharashtra"/>
    <n v="8"/>
    <x v="7"/>
    <x v="8"/>
    <x v="0"/>
    <x v="0"/>
    <x v="2"/>
    <x v="3"/>
    <x v="3"/>
    <x v="1"/>
    <x v="0"/>
  </r>
  <r>
    <n v="626"/>
    <s v="LATUR REGION"/>
    <s v="LATUR"/>
    <s v="Maharashtra"/>
    <n v="8"/>
    <x v="2"/>
    <x v="2"/>
    <x v="2"/>
    <x v="3"/>
    <x v="1"/>
    <x v="2"/>
    <x v="2"/>
    <x v="0"/>
    <x v="0"/>
  </r>
  <r>
    <n v="1456"/>
    <s v="LATUR REGION"/>
    <s v="LATUR"/>
    <s v="Maharashtra"/>
    <n v="8"/>
    <x v="2"/>
    <x v="2"/>
    <x v="2"/>
    <x v="3"/>
    <x v="1"/>
    <x v="2"/>
    <x v="0"/>
    <x v="3"/>
    <x v="3"/>
  </r>
  <r>
    <n v="106"/>
    <s v="DELHI REGION"/>
    <s v="DELHI"/>
    <s v="Delhi"/>
    <n v="3"/>
    <x v="4"/>
    <x v="4"/>
    <x v="6"/>
    <x v="5"/>
    <x v="8"/>
    <x v="0"/>
    <x v="0"/>
    <x v="3"/>
    <x v="3"/>
  </r>
  <r>
    <n v="1333"/>
    <s v="NASIK REGION"/>
    <s v="NASIK"/>
    <s v="Maharashtra"/>
    <n v="8"/>
    <x v="11"/>
    <x v="12"/>
    <x v="0"/>
    <x v="0"/>
    <x v="0"/>
    <x v="0"/>
    <x v="0"/>
    <x v="1"/>
    <x v="0"/>
  </r>
  <r>
    <n v="414"/>
    <s v="PUNE CITY REGION"/>
    <s v="PUNE CITY"/>
    <s v="Maharashtra"/>
    <n v="8"/>
    <x v="10"/>
    <x v="11"/>
    <x v="1"/>
    <x v="1"/>
    <x v="2"/>
    <x v="0"/>
    <x v="2"/>
    <x v="2"/>
    <x v="3"/>
  </r>
  <r>
    <n v="20"/>
    <s v="MUMBAI REGION"/>
    <s v="MUMBAI"/>
    <s v="Maharashtra"/>
    <n v="8"/>
    <x v="1"/>
    <x v="1"/>
    <x v="0"/>
    <x v="3"/>
    <x v="1"/>
    <x v="0"/>
    <x v="0"/>
    <x v="3"/>
    <x v="3"/>
  </r>
  <r>
    <n v="5"/>
    <s v="PUNE CITY REGION"/>
    <s v="PUNE CITY"/>
    <s v="Maharashtra"/>
    <n v="8"/>
    <x v="2"/>
    <x v="2"/>
    <x v="2"/>
    <x v="3"/>
    <x v="1"/>
    <x v="2"/>
    <x v="3"/>
    <x v="0"/>
    <x v="4"/>
  </r>
  <r>
    <n v="1504"/>
    <s v="PUNE CITY REGION"/>
    <s v="PUNE CITY"/>
    <s v="Maharashtra"/>
    <n v="8"/>
    <x v="4"/>
    <x v="4"/>
    <x v="0"/>
    <x v="0"/>
    <x v="0"/>
    <x v="0"/>
    <x v="0"/>
    <x v="2"/>
    <x v="0"/>
  </r>
  <r>
    <n v="490"/>
    <s v="HYDERABAD REGION"/>
    <s v="HYDERABAD"/>
    <s v="Andhra Pradesh"/>
    <n v="1"/>
    <x v="9"/>
    <x v="10"/>
    <x v="0"/>
    <x v="0"/>
    <x v="0"/>
    <x v="0"/>
    <x v="0"/>
    <x v="2"/>
    <x v="4"/>
  </r>
  <r>
    <n v="1"/>
    <s v="HYDERABAD REGION"/>
    <s v="HYDERABAD"/>
    <s v="Andhra Pradesh"/>
    <n v="1"/>
    <x v="10"/>
    <x v="11"/>
    <x v="0"/>
    <x v="0"/>
    <x v="0"/>
    <x v="0"/>
    <x v="0"/>
    <x v="0"/>
    <x v="0"/>
  </r>
  <r>
    <n v="951"/>
    <s v="SOLAPUR REGION"/>
    <s v="SOLAPUR"/>
    <s v="Maharashtra"/>
    <n v="8"/>
    <x v="10"/>
    <x v="11"/>
    <x v="2"/>
    <x v="3"/>
    <x v="1"/>
    <x v="0"/>
    <x v="0"/>
    <x v="3"/>
    <x v="3"/>
  </r>
  <r>
    <n v="449"/>
    <s v="BANGALORE REGION"/>
    <s v="BANGALORE"/>
    <s v="Karnataka"/>
    <n v="6"/>
    <x v="15"/>
    <x v="16"/>
    <x v="0"/>
    <x v="0"/>
    <x v="0"/>
    <x v="0"/>
    <x v="0"/>
    <x v="0"/>
    <x v="0"/>
  </r>
  <r>
    <n v="1109"/>
    <s v="AHMEDABAD  REGION"/>
    <s v="AHMEDABAD"/>
    <s v="Gujarat"/>
    <n v="5"/>
    <x v="15"/>
    <x v="16"/>
    <x v="0"/>
    <x v="0"/>
    <x v="0"/>
    <x v="0"/>
    <x v="0"/>
    <x v="4"/>
    <x v="2"/>
  </r>
  <r>
    <n v="8"/>
    <s v="JALGAON  REGION"/>
    <s v="JALGAON"/>
    <s v="Maharashtra"/>
    <n v="8"/>
    <x v="6"/>
    <x v="7"/>
    <x v="2"/>
    <x v="4"/>
    <x v="2"/>
    <x v="3"/>
    <x v="2"/>
    <x v="1"/>
    <x v="3"/>
  </r>
  <r>
    <n v="774"/>
    <s v="JAIPUR REGION"/>
    <s v="JAIPUR"/>
    <s v="Rajasthan"/>
    <n v="11"/>
    <x v="14"/>
    <x v="15"/>
    <x v="0"/>
    <x v="0"/>
    <x v="0"/>
    <x v="0"/>
    <x v="2"/>
    <x v="2"/>
    <x v="5"/>
  </r>
  <r>
    <n v="2"/>
    <s v="KOLKATTA REGION"/>
    <s v="KOLKATA"/>
    <s v="West Bengal"/>
    <n v="14"/>
    <x v="4"/>
    <x v="4"/>
    <x v="0"/>
    <x v="0"/>
    <x v="0"/>
    <x v="3"/>
    <x v="2"/>
    <x v="2"/>
    <x v="4"/>
  </r>
  <r>
    <n v="161"/>
    <s v="PUNE CITY REGION"/>
    <s v="PUNE CITY"/>
    <s v="Maharashtra"/>
    <n v="8"/>
    <x v="13"/>
    <x v="14"/>
    <x v="0"/>
    <x v="0"/>
    <x v="0"/>
    <x v="0"/>
    <x v="0"/>
    <x v="0"/>
    <x v="0"/>
  </r>
  <r>
    <n v="3229"/>
    <s v="PUNE CITY REGION"/>
    <s v="PUNE CITY"/>
    <s v="Maharashtra"/>
    <n v="8"/>
    <x v="13"/>
    <x v="14"/>
    <x v="0"/>
    <x v="0"/>
    <x v="0"/>
    <x v="0"/>
    <x v="1"/>
    <x v="1"/>
    <x v="3"/>
  </r>
  <r>
    <n v="3849"/>
    <s v="PUNE CITY REGION"/>
    <s v="PUNE CITY"/>
    <s v="Maharashtra"/>
    <n v="8"/>
    <x v="13"/>
    <x v="14"/>
    <x v="0"/>
    <x v="0"/>
    <x v="0"/>
    <x v="0"/>
    <x v="3"/>
    <x v="1"/>
    <x v="3"/>
  </r>
  <r>
    <n v="5"/>
    <s v="PUNE CITY REGION"/>
    <s v="PUNE CITY"/>
    <s v="Maharashtra"/>
    <n v="8"/>
    <x v="11"/>
    <x v="12"/>
    <x v="0"/>
    <x v="0"/>
    <x v="0"/>
    <x v="0"/>
    <x v="0"/>
    <x v="0"/>
    <x v="0"/>
  </r>
  <r>
    <n v="997"/>
    <s v="AHMEDABAD  REGION"/>
    <s v="AHMEDABAD"/>
    <s v="Gujarat"/>
    <n v="5"/>
    <x v="11"/>
    <x v="12"/>
    <x v="0"/>
    <x v="0"/>
    <x v="0"/>
    <x v="0"/>
    <x v="3"/>
    <x v="0"/>
    <x v="3"/>
  </r>
  <r>
    <n v="16"/>
    <s v="BANGALORE REGION"/>
    <s v="BANGALORE"/>
    <s v="Karnataka"/>
    <n v="6"/>
    <x v="8"/>
    <x v="9"/>
    <x v="5"/>
    <x v="3"/>
    <x v="1"/>
    <x v="2"/>
    <x v="3"/>
    <x v="2"/>
    <x v="2"/>
  </r>
  <r>
    <n v="43"/>
    <s v="MUMBAI REGION"/>
    <s v="MUMBAI"/>
    <s v="Maharashtra"/>
    <n v="8"/>
    <x v="8"/>
    <x v="9"/>
    <x v="3"/>
    <x v="5"/>
    <x v="8"/>
    <x v="0"/>
    <x v="0"/>
    <x v="3"/>
    <x v="3"/>
  </r>
  <r>
    <n v="13"/>
    <s v="DELHI REGION"/>
    <s v="DELHI"/>
    <s v="Delhi"/>
    <n v="3"/>
    <x v="1"/>
    <x v="1"/>
    <x v="0"/>
    <x v="0"/>
    <x v="0"/>
    <x v="0"/>
    <x v="0"/>
    <x v="2"/>
    <x v="2"/>
  </r>
  <r>
    <n v="491"/>
    <s v="PUNE CITY REGION"/>
    <s v="PUNE CITY"/>
    <s v="Maharashtra"/>
    <n v="8"/>
    <x v="1"/>
    <x v="1"/>
    <x v="4"/>
    <x v="6"/>
    <x v="3"/>
    <x v="6"/>
    <x v="0"/>
    <x v="3"/>
    <x v="3"/>
  </r>
  <r>
    <n v="50"/>
    <s v="BANGALORE REGION"/>
    <s v="BANGALORE"/>
    <s v="Karnataka"/>
    <n v="6"/>
    <x v="12"/>
    <x v="13"/>
    <x v="0"/>
    <x v="3"/>
    <x v="1"/>
    <x v="0"/>
    <x v="0"/>
    <x v="3"/>
    <x v="3"/>
  </r>
  <r>
    <n v="398"/>
    <s v="KOLHAPUR REGION"/>
    <s v="KOLHAPUR"/>
    <s v="Maharashtra"/>
    <n v="8"/>
    <x v="5"/>
    <x v="6"/>
    <x v="0"/>
    <x v="0"/>
    <x v="0"/>
    <x v="0"/>
    <x v="0"/>
    <x v="1"/>
    <x v="2"/>
  </r>
  <r>
    <n v="537"/>
    <s v="NASIK REGION"/>
    <s v="NASIK"/>
    <s v="Maharashtra"/>
    <n v="8"/>
    <x v="3"/>
    <x v="3"/>
    <x v="0"/>
    <x v="0"/>
    <x v="0"/>
    <x v="0"/>
    <x v="0"/>
    <x v="2"/>
    <x v="1"/>
  </r>
  <r>
    <n v="1165"/>
    <s v="RATNAGIRI REGION"/>
    <s v="RATNAGIRI"/>
    <s v="Maharashtra"/>
    <n v="8"/>
    <x v="0"/>
    <x v="5"/>
    <x v="0"/>
    <x v="0"/>
    <x v="0"/>
    <x v="3"/>
    <x v="2"/>
    <x v="4"/>
    <x v="3"/>
  </r>
  <r>
    <n v="343"/>
    <s v="PUNE CITY REGION"/>
    <s v="PUNE CITY"/>
    <s v="Maharashtra"/>
    <n v="8"/>
    <x v="2"/>
    <x v="2"/>
    <x v="5"/>
    <x v="1"/>
    <x v="2"/>
    <x v="3"/>
    <x v="1"/>
    <x v="2"/>
    <x v="3"/>
  </r>
  <r>
    <n v="1755"/>
    <s v="PUNE CITY REGION"/>
    <s v="PUNE CITY"/>
    <s v="Maharashtra"/>
    <n v="8"/>
    <x v="13"/>
    <x v="14"/>
    <x v="0"/>
    <x v="0"/>
    <x v="0"/>
    <x v="0"/>
    <x v="0"/>
    <x v="0"/>
    <x v="0"/>
  </r>
  <r>
    <n v="1490"/>
    <s v="PUNE CITY REGION"/>
    <s v="PUNE CITY"/>
    <s v="Maharashtra"/>
    <n v="8"/>
    <x v="10"/>
    <x v="11"/>
    <x v="0"/>
    <x v="0"/>
    <x v="0"/>
    <x v="0"/>
    <x v="2"/>
    <x v="0"/>
    <x v="2"/>
  </r>
  <r>
    <n v="80"/>
    <s v="PUNE CITY REGION"/>
    <s v="PUNE CITY"/>
    <s v="Maharashtra"/>
    <n v="8"/>
    <x v="7"/>
    <x v="8"/>
    <x v="1"/>
    <x v="4"/>
    <x v="4"/>
    <x v="3"/>
    <x v="1"/>
    <x v="2"/>
    <x v="2"/>
  </r>
  <r>
    <n v="71"/>
    <s v="MUMBAI REGION"/>
    <s v="MUMBAI"/>
    <s v="Maharashtra"/>
    <n v="8"/>
    <x v="2"/>
    <x v="2"/>
    <x v="0"/>
    <x v="4"/>
    <x v="1"/>
    <x v="2"/>
    <x v="3"/>
    <x v="3"/>
    <x v="3"/>
  </r>
  <r>
    <n v="694"/>
    <s v="MUMBAI REGION"/>
    <s v="MUMBAI"/>
    <s v="Maharashtra"/>
    <n v="8"/>
    <x v="2"/>
    <x v="2"/>
    <x v="0"/>
    <x v="0"/>
    <x v="0"/>
    <x v="0"/>
    <x v="0"/>
    <x v="1"/>
    <x v="4"/>
  </r>
  <r>
    <n v="265"/>
    <s v="MUMBAI REGION"/>
    <s v="MUMBAI"/>
    <s v="Maharashtra"/>
    <n v="8"/>
    <x v="4"/>
    <x v="4"/>
    <x v="0"/>
    <x v="0"/>
    <x v="0"/>
    <x v="0"/>
    <x v="2"/>
    <x v="4"/>
    <x v="1"/>
  </r>
  <r>
    <n v="413"/>
    <s v="MUMBAI REGION"/>
    <s v="MUMBAI"/>
    <s v="Maharashtra"/>
    <n v="8"/>
    <x v="11"/>
    <x v="12"/>
    <x v="0"/>
    <x v="0"/>
    <x v="4"/>
    <x v="2"/>
    <x v="3"/>
    <x v="1"/>
    <x v="0"/>
  </r>
  <r>
    <n v="103"/>
    <s v="PUNE CITY REGION"/>
    <s v="PUNE CITY"/>
    <s v="Maharashtra"/>
    <n v="8"/>
    <x v="10"/>
    <x v="11"/>
    <x v="2"/>
    <x v="3"/>
    <x v="0"/>
    <x v="0"/>
    <x v="0"/>
    <x v="3"/>
    <x v="3"/>
  </r>
  <r>
    <n v="1125"/>
    <s v="PUNE CITY REGION"/>
    <s v="PUNE CITY"/>
    <s v="Maharashtra"/>
    <n v="8"/>
    <x v="1"/>
    <x v="1"/>
    <x v="0"/>
    <x v="1"/>
    <x v="1"/>
    <x v="7"/>
    <x v="1"/>
    <x v="2"/>
    <x v="3"/>
  </r>
  <r>
    <n v="181"/>
    <s v="PUNE CITY REGION"/>
    <s v="PUNE CITY"/>
    <s v="Maharashtra"/>
    <n v="8"/>
    <x v="2"/>
    <x v="2"/>
    <x v="0"/>
    <x v="0"/>
    <x v="0"/>
    <x v="2"/>
    <x v="3"/>
    <x v="0"/>
    <x v="2"/>
  </r>
  <r>
    <n v="788"/>
    <s v="MUMBAI REGION"/>
    <s v="MUMBAI"/>
    <s v="Maharashtra"/>
    <n v="8"/>
    <x v="4"/>
    <x v="4"/>
    <x v="0"/>
    <x v="0"/>
    <x v="0"/>
    <x v="3"/>
    <x v="8"/>
    <x v="6"/>
    <x v="3"/>
  </r>
  <r>
    <n v="1009"/>
    <s v="MUMBAI REGION"/>
    <s v="MUMBAI"/>
    <s v="Maharashtra"/>
    <n v="8"/>
    <x v="9"/>
    <x v="10"/>
    <x v="0"/>
    <x v="0"/>
    <x v="0"/>
    <x v="0"/>
    <x v="0"/>
    <x v="2"/>
    <x v="0"/>
  </r>
  <r>
    <n v="13"/>
    <s v="PUNE CITY REGION"/>
    <s v="PUNE CITY"/>
    <s v="Maharashtra"/>
    <n v="8"/>
    <x v="10"/>
    <x v="11"/>
    <x v="1"/>
    <x v="4"/>
    <x v="2"/>
    <x v="3"/>
    <x v="3"/>
    <x v="1"/>
    <x v="4"/>
  </r>
  <r>
    <n v="384"/>
    <s v="NASIK REGION"/>
    <s v="NASIK"/>
    <s v="Maharashtra"/>
    <n v="8"/>
    <x v="10"/>
    <x v="11"/>
    <x v="2"/>
    <x v="3"/>
    <x v="1"/>
    <x v="2"/>
    <x v="3"/>
    <x v="0"/>
    <x v="0"/>
  </r>
  <r>
    <n v="10"/>
    <s v="PUNE CITY REGION"/>
    <s v="PUNE CITY"/>
    <s v="Maharashtra"/>
    <n v="8"/>
    <x v="3"/>
    <x v="3"/>
    <x v="2"/>
    <x v="3"/>
    <x v="1"/>
    <x v="2"/>
    <x v="3"/>
    <x v="1"/>
    <x v="2"/>
  </r>
  <r>
    <n v="11"/>
    <s v="PUNE CITY REGION"/>
    <s v="PUNE CITY"/>
    <s v="Maharashtra"/>
    <n v="8"/>
    <x v="1"/>
    <x v="1"/>
    <x v="4"/>
    <x v="2"/>
    <x v="0"/>
    <x v="2"/>
    <x v="3"/>
    <x v="1"/>
    <x v="2"/>
  </r>
  <r>
    <n v="308"/>
    <s v="CHANDIGARH REGION"/>
    <s v="CHANDIGARH"/>
    <s v="Punjab&amp;Haryana"/>
    <n v="10"/>
    <x v="4"/>
    <x v="4"/>
    <x v="2"/>
    <x v="1"/>
    <x v="0"/>
    <x v="0"/>
    <x v="0"/>
    <x v="3"/>
    <x v="3"/>
  </r>
  <r>
    <n v="23"/>
    <s v="NAGPUR REGION"/>
    <s v="NAGPUR"/>
    <s v="Maharashtra"/>
    <n v="8"/>
    <x v="0"/>
    <x v="5"/>
    <x v="3"/>
    <x v="5"/>
    <x v="0"/>
    <x v="0"/>
    <x v="0"/>
    <x v="3"/>
    <x v="3"/>
  </r>
  <r>
    <n v="398"/>
    <s v="MUMBAI REGION"/>
    <s v="MUMBAI"/>
    <s v="Maharashtra"/>
    <n v="8"/>
    <x v="5"/>
    <x v="6"/>
    <x v="5"/>
    <x v="1"/>
    <x v="0"/>
    <x v="0"/>
    <x v="0"/>
    <x v="3"/>
    <x v="3"/>
  </r>
  <r>
    <n v="1"/>
    <s v="KOLKATTA REGION"/>
    <s v="KOLKATA"/>
    <s v="West Bengal"/>
    <n v="14"/>
    <x v="6"/>
    <x v="7"/>
    <x v="3"/>
    <x v="5"/>
    <x v="7"/>
    <x v="5"/>
    <x v="6"/>
    <x v="3"/>
    <x v="3"/>
  </r>
  <r>
    <n v="338"/>
    <s v="PUNE CITY REGION"/>
    <s v="PUNE CITY"/>
    <s v="Maharashtra"/>
    <n v="8"/>
    <x v="7"/>
    <x v="8"/>
    <x v="0"/>
    <x v="0"/>
    <x v="0"/>
    <x v="0"/>
    <x v="0"/>
    <x v="2"/>
    <x v="2"/>
  </r>
  <r>
    <n v="86"/>
    <s v="MUMBAI REGION"/>
    <s v="MUMBAI"/>
    <s v="Maharashtra"/>
    <n v="8"/>
    <x v="1"/>
    <x v="1"/>
    <x v="4"/>
    <x v="2"/>
    <x v="4"/>
    <x v="3"/>
    <x v="0"/>
    <x v="8"/>
    <x v="2"/>
  </r>
  <r>
    <n v="1461"/>
    <s v="PUNE CITY REGION"/>
    <s v="PUNE CITY"/>
    <s v="Maharashtra"/>
    <n v="8"/>
    <x v="1"/>
    <x v="1"/>
    <x v="0"/>
    <x v="0"/>
    <x v="0"/>
    <x v="0"/>
    <x v="5"/>
    <x v="4"/>
    <x v="1"/>
  </r>
  <r>
    <n v="1362"/>
    <s v="INDORE REGION"/>
    <s v="INDORE"/>
    <s v="Madhya Pradesh"/>
    <n v="7"/>
    <x v="7"/>
    <x v="8"/>
    <x v="0"/>
    <x v="0"/>
    <x v="0"/>
    <x v="0"/>
    <x v="1"/>
    <x v="4"/>
    <x v="4"/>
  </r>
  <r>
    <n v="1519"/>
    <s v="RATNAGIRI REGION"/>
    <s v="RATNAGIRI"/>
    <s v="Maharashtra"/>
    <n v="8"/>
    <x v="1"/>
    <x v="1"/>
    <x v="0"/>
    <x v="0"/>
    <x v="0"/>
    <x v="2"/>
    <x v="3"/>
    <x v="0"/>
    <x v="3"/>
  </r>
  <r>
    <n v="1585"/>
    <s v="SATARA REGION"/>
    <s v="SATARA"/>
    <s v="Maharashtra"/>
    <n v="8"/>
    <x v="7"/>
    <x v="8"/>
    <x v="0"/>
    <x v="0"/>
    <x v="1"/>
    <x v="3"/>
    <x v="3"/>
    <x v="3"/>
    <x v="3"/>
  </r>
  <r>
    <n v="938"/>
    <s v="KOLHAPUR REGION"/>
    <s v="KOLHAPUR"/>
    <s v="Maharashtra"/>
    <n v="8"/>
    <x v="1"/>
    <x v="1"/>
    <x v="0"/>
    <x v="0"/>
    <x v="0"/>
    <x v="3"/>
    <x v="1"/>
    <x v="0"/>
    <x v="0"/>
  </r>
  <r>
    <n v="63"/>
    <s v="KOLKATTA REGION"/>
    <s v="KOLKATA"/>
    <s v="West Bengal"/>
    <n v="14"/>
    <x v="1"/>
    <x v="1"/>
    <x v="7"/>
    <x v="2"/>
    <x v="1"/>
    <x v="3"/>
    <x v="0"/>
    <x v="3"/>
    <x v="3"/>
  </r>
  <r>
    <n v="61"/>
    <s v="KOLKATTA REGION"/>
    <s v="KOLKATA"/>
    <s v="West Bengal"/>
    <n v="14"/>
    <x v="1"/>
    <x v="1"/>
    <x v="0"/>
    <x v="0"/>
    <x v="0"/>
    <x v="0"/>
    <x v="0"/>
    <x v="0"/>
    <x v="2"/>
  </r>
  <r>
    <n v="3"/>
    <s v="PUNE CITY REGION"/>
    <s v="PUNE CITY"/>
    <s v="Maharashtra"/>
    <n v="8"/>
    <x v="8"/>
    <x v="9"/>
    <x v="5"/>
    <x v="3"/>
    <x v="2"/>
    <x v="2"/>
    <x v="3"/>
    <x v="1"/>
    <x v="0"/>
  </r>
  <r>
    <n v="2774"/>
    <s v="SATARA REGION"/>
    <s v="SATARA"/>
    <s v="Maharashtra"/>
    <n v="8"/>
    <x v="8"/>
    <x v="9"/>
    <x v="0"/>
    <x v="0"/>
    <x v="0"/>
    <x v="3"/>
    <x v="5"/>
    <x v="5"/>
    <x v="6"/>
  </r>
  <r>
    <n v="621"/>
    <s v="SATARA REGION"/>
    <s v="SATARA"/>
    <s v="Maharashtra"/>
    <n v="8"/>
    <x v="8"/>
    <x v="9"/>
    <x v="0"/>
    <x v="0"/>
    <x v="0"/>
    <x v="0"/>
    <x v="3"/>
    <x v="0"/>
    <x v="0"/>
  </r>
  <r>
    <n v="2885"/>
    <s v="SATARA REGION"/>
    <s v="SATARA"/>
    <s v="Maharashtra"/>
    <n v="8"/>
    <x v="2"/>
    <x v="2"/>
    <x v="0"/>
    <x v="0"/>
    <x v="0"/>
    <x v="0"/>
    <x v="0"/>
    <x v="4"/>
    <x v="1"/>
  </r>
  <r>
    <n v="2753"/>
    <s v="SATARA REGION"/>
    <s v="SATARA"/>
    <s v="Maharashtra"/>
    <n v="8"/>
    <x v="1"/>
    <x v="1"/>
    <x v="0"/>
    <x v="0"/>
    <x v="0"/>
    <x v="0"/>
    <x v="0"/>
    <x v="2"/>
    <x v="1"/>
  </r>
  <r>
    <n v="150"/>
    <s v="DELHI REGION"/>
    <s v="DELHI"/>
    <s v="Delhi"/>
    <n v="3"/>
    <x v="2"/>
    <x v="2"/>
    <x v="0"/>
    <x v="0"/>
    <x v="0"/>
    <x v="0"/>
    <x v="3"/>
    <x v="0"/>
    <x v="2"/>
  </r>
  <r>
    <n v="2220"/>
    <s v="LATUR REGION"/>
    <s v="LATUR"/>
    <s v="Maharashtra"/>
    <n v="8"/>
    <x v="0"/>
    <x v="5"/>
    <x v="0"/>
    <x v="0"/>
    <x v="0"/>
    <x v="2"/>
    <x v="3"/>
    <x v="0"/>
    <x v="0"/>
  </r>
  <r>
    <n v="3358"/>
    <s v="AURANGABAD REGION"/>
    <s v="AURANGABAD"/>
    <s v="Maharashtra"/>
    <n v="8"/>
    <x v="8"/>
    <x v="9"/>
    <x v="0"/>
    <x v="0"/>
    <x v="0"/>
    <x v="0"/>
    <x v="1"/>
    <x v="0"/>
    <x v="0"/>
  </r>
  <r>
    <n v="186"/>
    <s v="MUMBAI REGION"/>
    <s v="MUMBAI"/>
    <s v="Maharashtra"/>
    <n v="8"/>
    <x v="9"/>
    <x v="10"/>
    <x v="0"/>
    <x v="0"/>
    <x v="4"/>
    <x v="1"/>
    <x v="2"/>
    <x v="2"/>
    <x v="4"/>
  </r>
  <r>
    <n v="1514"/>
    <s v="JABALPUR REGION"/>
    <s v="JABALPUR"/>
    <s v="Madhya Pradesh"/>
    <n v="7"/>
    <x v="7"/>
    <x v="8"/>
    <x v="0"/>
    <x v="0"/>
    <x v="0"/>
    <x v="3"/>
    <x v="1"/>
    <x v="0"/>
    <x v="0"/>
  </r>
  <r>
    <n v="1875"/>
    <s v="PUNE CITY REGION"/>
    <s v="PUNE CITY"/>
    <s v="Maharashtra"/>
    <n v="8"/>
    <x v="1"/>
    <x v="1"/>
    <x v="0"/>
    <x v="0"/>
    <x v="0"/>
    <x v="0"/>
    <x v="3"/>
    <x v="0"/>
    <x v="4"/>
  </r>
  <r>
    <n v="47"/>
    <s v="PUNE CITY REGION"/>
    <s v="PUNE CITY"/>
    <s v="Maharashtra"/>
    <n v="8"/>
    <x v="2"/>
    <x v="2"/>
    <x v="2"/>
    <x v="3"/>
    <x v="1"/>
    <x v="2"/>
    <x v="3"/>
    <x v="2"/>
    <x v="3"/>
  </r>
  <r>
    <n v="724"/>
    <s v="NASIK REGION"/>
    <s v="NASIK"/>
    <s v="Maharashtra"/>
    <n v="8"/>
    <x v="2"/>
    <x v="2"/>
    <x v="0"/>
    <x v="0"/>
    <x v="0"/>
    <x v="0"/>
    <x v="1"/>
    <x v="0"/>
    <x v="2"/>
  </r>
  <r>
    <n v="7"/>
    <s v="PUNE CITY REGION"/>
    <s v="PUNE CITY"/>
    <s v="Maharashtra"/>
    <n v="8"/>
    <x v="3"/>
    <x v="3"/>
    <x v="0"/>
    <x v="0"/>
    <x v="0"/>
    <x v="0"/>
    <x v="0"/>
    <x v="2"/>
    <x v="0"/>
  </r>
  <r>
    <n v="719"/>
    <s v="CHANDIGARH REGION"/>
    <s v="CHANDIGARH"/>
    <s v="Punjab&amp;Haryana"/>
    <n v="10"/>
    <x v="1"/>
    <x v="1"/>
    <x v="0"/>
    <x v="0"/>
    <x v="0"/>
    <x v="2"/>
    <x v="3"/>
    <x v="3"/>
    <x v="3"/>
  </r>
  <r>
    <n v="262"/>
    <s v="KOLHAPUR REGION"/>
    <s v="KOLHAPUR"/>
    <s v="Maharashtra"/>
    <n v="8"/>
    <x v="10"/>
    <x v="11"/>
    <x v="1"/>
    <x v="1"/>
    <x v="2"/>
    <x v="2"/>
    <x v="3"/>
    <x v="2"/>
    <x v="4"/>
  </r>
  <r>
    <n v="2319"/>
    <s v="NASIK REGION"/>
    <s v="NASIK"/>
    <s v="Maharashtra"/>
    <n v="8"/>
    <x v="11"/>
    <x v="12"/>
    <x v="0"/>
    <x v="0"/>
    <x v="0"/>
    <x v="0"/>
    <x v="0"/>
    <x v="0"/>
    <x v="0"/>
  </r>
  <r>
    <n v="1717"/>
    <s v="KOLHAPUR REGION"/>
    <s v="KOLHAPUR"/>
    <s v="Maharashtra"/>
    <n v="8"/>
    <x v="12"/>
    <x v="13"/>
    <x v="0"/>
    <x v="0"/>
    <x v="0"/>
    <x v="0"/>
    <x v="0"/>
    <x v="0"/>
    <x v="0"/>
  </r>
  <r>
    <n v="1214"/>
    <s v="PUNE CITY REGION"/>
    <s v="PUNE CITY"/>
    <s v="Maharashtra"/>
    <n v="8"/>
    <x v="0"/>
    <x v="5"/>
    <x v="0"/>
    <x v="0"/>
    <x v="0"/>
    <x v="1"/>
    <x v="2"/>
    <x v="3"/>
    <x v="3"/>
  </r>
  <r>
    <n v="4964"/>
    <s v="PUNE CITY REGION"/>
    <s v="PUNE CITY"/>
    <s v="Maharashtra"/>
    <n v="8"/>
    <x v="13"/>
    <x v="14"/>
    <x v="0"/>
    <x v="0"/>
    <x v="0"/>
    <x v="0"/>
    <x v="3"/>
    <x v="0"/>
    <x v="0"/>
  </r>
  <r>
    <n v="448"/>
    <s v="BANGALORE REGION"/>
    <s v="BANGALORE"/>
    <s v="Karnataka"/>
    <n v="6"/>
    <x v="3"/>
    <x v="3"/>
    <x v="0"/>
    <x v="0"/>
    <x v="0"/>
    <x v="0"/>
    <x v="0"/>
    <x v="0"/>
    <x v="0"/>
  </r>
  <r>
    <n v="16"/>
    <s v="PUNE CITY REGION"/>
    <s v="PUNE CITY"/>
    <s v="Maharashtra"/>
    <n v="8"/>
    <x v="11"/>
    <x v="12"/>
    <x v="0"/>
    <x v="0"/>
    <x v="0"/>
    <x v="1"/>
    <x v="2"/>
    <x v="1"/>
    <x v="4"/>
  </r>
  <r>
    <n v="1250"/>
    <s v="INDORE REGION"/>
    <s v="INDORE"/>
    <s v="Madhya Pradesh"/>
    <n v="7"/>
    <x v="8"/>
    <x v="9"/>
    <x v="0"/>
    <x v="0"/>
    <x v="0"/>
    <x v="3"/>
    <x v="3"/>
    <x v="3"/>
    <x v="3"/>
  </r>
  <r>
    <n v="2339"/>
    <s v="LATUR REGION"/>
    <s v="LATUR"/>
    <s v="Maharashtra"/>
    <n v="8"/>
    <x v="0"/>
    <x v="5"/>
    <x v="0"/>
    <x v="0"/>
    <x v="0"/>
    <x v="0"/>
    <x v="3"/>
    <x v="1"/>
    <x v="0"/>
  </r>
  <r>
    <n v="791"/>
    <s v="MUMBAI REGION"/>
    <s v="MUMBAI"/>
    <s v="Maharashtra"/>
    <n v="8"/>
    <x v="10"/>
    <x v="11"/>
    <x v="0"/>
    <x v="0"/>
    <x v="0"/>
    <x v="2"/>
    <x v="1"/>
    <x v="2"/>
    <x v="0"/>
  </r>
  <r>
    <n v="3"/>
    <s v="MUMBAI REGION"/>
    <s v="MUMBAI"/>
    <s v="Maharashtra"/>
    <n v="8"/>
    <x v="10"/>
    <x v="11"/>
    <x v="6"/>
    <x v="6"/>
    <x v="0"/>
    <x v="0"/>
    <x v="0"/>
    <x v="3"/>
    <x v="3"/>
  </r>
  <r>
    <n v="19"/>
    <s v="BANGALORE REGION"/>
    <s v="BANGALORE"/>
    <s v="Karnataka"/>
    <n v="6"/>
    <x v="2"/>
    <x v="2"/>
    <x v="0"/>
    <x v="0"/>
    <x v="0"/>
    <x v="0"/>
    <x v="3"/>
    <x v="2"/>
    <x v="0"/>
  </r>
  <r>
    <n v="1698"/>
    <s v="HYDERABAD REGION"/>
    <s v="HYDERABAD"/>
    <s v="Andhra Pradesh"/>
    <n v="1"/>
    <x v="2"/>
    <x v="2"/>
    <x v="0"/>
    <x v="0"/>
    <x v="0"/>
    <x v="0"/>
    <x v="0"/>
    <x v="0"/>
    <x v="4"/>
  </r>
  <r>
    <n v="560"/>
    <s v="NAGPUR REGION"/>
    <s v="NAGPUR"/>
    <s v="Maharashtra"/>
    <n v="8"/>
    <x v="2"/>
    <x v="2"/>
    <x v="4"/>
    <x v="2"/>
    <x v="5"/>
    <x v="1"/>
    <x v="2"/>
    <x v="1"/>
    <x v="2"/>
  </r>
  <r>
    <n v="2440"/>
    <s v="LATUR REGION"/>
    <s v="LATUR"/>
    <s v="Maharashtra"/>
    <n v="8"/>
    <x v="11"/>
    <x v="12"/>
    <x v="0"/>
    <x v="0"/>
    <x v="0"/>
    <x v="0"/>
    <x v="0"/>
    <x v="4"/>
    <x v="1"/>
  </r>
  <r>
    <n v="173"/>
    <s v="KOLHAPUR REGION"/>
    <s v="KOLHAPUR"/>
    <s v="Maharashtra"/>
    <n v="8"/>
    <x v="0"/>
    <x v="5"/>
    <x v="0"/>
    <x v="3"/>
    <x v="1"/>
    <x v="7"/>
    <x v="3"/>
    <x v="4"/>
    <x v="0"/>
  </r>
  <r>
    <n v="146"/>
    <s v="KOLHAPUR REGION"/>
    <s v="KOLHAPUR"/>
    <s v="Maharashtra"/>
    <n v="8"/>
    <x v="8"/>
    <x v="9"/>
    <x v="0"/>
    <x v="0"/>
    <x v="0"/>
    <x v="0"/>
    <x v="0"/>
    <x v="0"/>
    <x v="0"/>
  </r>
  <r>
    <n v="141"/>
    <s v="THANE REGION"/>
    <s v="THANE"/>
    <s v="Maharashtra"/>
    <n v="8"/>
    <x v="15"/>
    <x v="16"/>
    <x v="0"/>
    <x v="0"/>
    <x v="4"/>
    <x v="2"/>
    <x v="3"/>
    <x v="2"/>
    <x v="2"/>
  </r>
  <r>
    <n v="630"/>
    <s v="MUMBAI REGION"/>
    <s v="MUMBAI"/>
    <s v="Maharashtra"/>
    <n v="8"/>
    <x v="15"/>
    <x v="16"/>
    <x v="0"/>
    <x v="1"/>
    <x v="2"/>
    <x v="3"/>
    <x v="3"/>
    <x v="0"/>
    <x v="4"/>
  </r>
  <r>
    <n v="1337"/>
    <s v="MUMBAI REGION"/>
    <s v="MUMBAI"/>
    <s v="Maharashtra"/>
    <n v="8"/>
    <x v="2"/>
    <x v="2"/>
    <x v="0"/>
    <x v="0"/>
    <x v="0"/>
    <x v="2"/>
    <x v="3"/>
    <x v="3"/>
    <x v="3"/>
  </r>
  <r>
    <n v="2"/>
    <s v="MUMBAI REGION"/>
    <s v="MUMBAI"/>
    <s v="Maharashtra"/>
    <n v="8"/>
    <x v="1"/>
    <x v="1"/>
    <x v="5"/>
    <x v="1"/>
    <x v="7"/>
    <x v="5"/>
    <x v="0"/>
    <x v="3"/>
    <x v="3"/>
  </r>
  <r>
    <n v="625"/>
    <s v="LATUR REGION"/>
    <s v="LATUR"/>
    <s v="Maharashtra"/>
    <n v="8"/>
    <x v="0"/>
    <x v="5"/>
    <x v="0"/>
    <x v="3"/>
    <x v="1"/>
    <x v="2"/>
    <x v="0"/>
    <x v="3"/>
    <x v="3"/>
  </r>
  <r>
    <n v="1942"/>
    <s v="PUNE CITY REGION"/>
    <s v="PUNE CITY"/>
    <s v="Maharashtra"/>
    <n v="8"/>
    <x v="2"/>
    <x v="2"/>
    <x v="0"/>
    <x v="0"/>
    <x v="0"/>
    <x v="0"/>
    <x v="3"/>
    <x v="4"/>
    <x v="3"/>
  </r>
  <r>
    <n v="1012"/>
    <s v="PUNE CITY REGION"/>
    <s v="PUNE CITY"/>
    <s v="Maharashtra"/>
    <n v="8"/>
    <x v="6"/>
    <x v="7"/>
    <x v="0"/>
    <x v="4"/>
    <x v="5"/>
    <x v="7"/>
    <x v="0"/>
    <x v="3"/>
    <x v="3"/>
  </r>
  <r>
    <n v="968"/>
    <s v="PUNE CITY REGION"/>
    <s v="PUNE CITY"/>
    <s v="Maharashtra"/>
    <n v="8"/>
    <x v="16"/>
    <x v="17"/>
    <x v="1"/>
    <x v="4"/>
    <x v="5"/>
    <x v="7"/>
    <x v="0"/>
    <x v="3"/>
    <x v="3"/>
  </r>
  <r>
    <n v="6"/>
    <s v="DELHI REGION"/>
    <s v="DELHI"/>
    <s v="Delhi"/>
    <n v="3"/>
    <x v="16"/>
    <x v="17"/>
    <x v="0"/>
    <x v="0"/>
    <x v="0"/>
    <x v="0"/>
    <x v="2"/>
    <x v="0"/>
    <x v="4"/>
  </r>
  <r>
    <n v="956"/>
    <s v="CHANDIGARH REGION"/>
    <s v="CHANDIGARH"/>
    <s v="Punjab&amp;Haryana"/>
    <n v="10"/>
    <x v="6"/>
    <x v="7"/>
    <x v="0"/>
    <x v="0"/>
    <x v="2"/>
    <x v="7"/>
    <x v="8"/>
    <x v="7"/>
    <x v="3"/>
  </r>
  <r>
    <n v="46"/>
    <s v="PUNE CITY REGION"/>
    <s v="PUNE CITY"/>
    <s v="Maharashtra"/>
    <n v="8"/>
    <x v="6"/>
    <x v="7"/>
    <x v="0"/>
    <x v="0"/>
    <x v="0"/>
    <x v="0"/>
    <x v="1"/>
    <x v="2"/>
    <x v="2"/>
  </r>
  <r>
    <n v="22"/>
    <s v="MUMBAI REGION"/>
    <s v="MUMBAI"/>
    <s v="Maharashtra"/>
    <n v="8"/>
    <x v="11"/>
    <x v="12"/>
    <x v="0"/>
    <x v="4"/>
    <x v="2"/>
    <x v="3"/>
    <x v="3"/>
    <x v="1"/>
    <x v="0"/>
  </r>
  <r>
    <n v="253"/>
    <s v="CHANDIGARH REGION"/>
    <s v="CHANDIGARH"/>
    <s v="Punjab&amp;Haryana"/>
    <n v="10"/>
    <x v="2"/>
    <x v="2"/>
    <x v="0"/>
    <x v="0"/>
    <x v="0"/>
    <x v="0"/>
    <x v="0"/>
    <x v="2"/>
    <x v="2"/>
  </r>
  <r>
    <n v="1598"/>
    <s v="SOLAPUR REGION"/>
    <s v="SOLAPUR"/>
    <s v="Maharashtra"/>
    <n v="8"/>
    <x v="10"/>
    <x v="11"/>
    <x v="0"/>
    <x v="0"/>
    <x v="0"/>
    <x v="0"/>
    <x v="5"/>
    <x v="4"/>
    <x v="2"/>
  </r>
  <r>
    <n v="1893"/>
    <s v="SOLAPUR REGION"/>
    <s v="SOLAPUR"/>
    <s v="Maharashtra"/>
    <n v="8"/>
    <x v="1"/>
    <x v="1"/>
    <x v="0"/>
    <x v="0"/>
    <x v="0"/>
    <x v="0"/>
    <x v="0"/>
    <x v="4"/>
    <x v="0"/>
  </r>
  <r>
    <n v="287"/>
    <s v="BANGALORE REGION"/>
    <s v="BANGALORE"/>
    <s v="Karnataka"/>
    <n v="6"/>
    <x v="7"/>
    <x v="8"/>
    <x v="5"/>
    <x v="4"/>
    <x v="2"/>
    <x v="3"/>
    <x v="3"/>
    <x v="2"/>
    <x v="4"/>
  </r>
  <r>
    <n v="1133"/>
    <s v="RAIPUR REGION"/>
    <s v="RAIPUR"/>
    <s v="Chhattisgarh"/>
    <n v="2"/>
    <x v="14"/>
    <x v="15"/>
    <x v="0"/>
    <x v="0"/>
    <x v="4"/>
    <x v="1"/>
    <x v="1"/>
    <x v="0"/>
    <x v="0"/>
  </r>
  <r>
    <n v="1126"/>
    <s v="BHOPAL REGION"/>
    <s v="BHOPAL"/>
    <s v="Madhya Pradesh"/>
    <n v="7"/>
    <x v="1"/>
    <x v="1"/>
    <x v="0"/>
    <x v="0"/>
    <x v="3"/>
    <x v="8"/>
    <x v="8"/>
    <x v="3"/>
    <x v="3"/>
  </r>
  <r>
    <n v="791"/>
    <s v="JALGAON  REGION"/>
    <s v="JALGAON"/>
    <s v="Maharashtra"/>
    <n v="8"/>
    <x v="12"/>
    <x v="13"/>
    <x v="0"/>
    <x v="0"/>
    <x v="0"/>
    <x v="3"/>
    <x v="1"/>
    <x v="1"/>
    <x v="0"/>
  </r>
  <r>
    <n v="539"/>
    <s v="MUMBAI REGION"/>
    <s v="MUMBAI"/>
    <s v="Maharashtra"/>
    <n v="8"/>
    <x v="5"/>
    <x v="6"/>
    <x v="0"/>
    <x v="0"/>
    <x v="1"/>
    <x v="3"/>
    <x v="3"/>
    <x v="0"/>
    <x v="2"/>
  </r>
  <r>
    <n v="3097"/>
    <s v="HYDERABAD REGION"/>
    <s v="HYDERABAD"/>
    <s v="Andhra Pradesh"/>
    <n v="1"/>
    <x v="3"/>
    <x v="3"/>
    <x v="0"/>
    <x v="0"/>
    <x v="0"/>
    <x v="0"/>
    <x v="2"/>
    <x v="2"/>
    <x v="4"/>
  </r>
  <r>
    <n v="1"/>
    <s v="SOLAPUR REGION"/>
    <s v="SOLAPUR"/>
    <s v="Maharashtra"/>
    <n v="8"/>
    <x v="0"/>
    <x v="5"/>
    <x v="2"/>
    <x v="3"/>
    <x v="1"/>
    <x v="3"/>
    <x v="2"/>
    <x v="5"/>
    <x v="2"/>
  </r>
  <r>
    <n v="271"/>
    <s v="RAIPUR REGION"/>
    <s v="RAIPUR"/>
    <s v="Chhattisgarh"/>
    <n v="2"/>
    <x v="2"/>
    <x v="2"/>
    <x v="0"/>
    <x v="0"/>
    <x v="4"/>
    <x v="3"/>
    <x v="1"/>
    <x v="2"/>
    <x v="4"/>
  </r>
  <r>
    <n v="6"/>
    <s v="PUNE CITY REGION"/>
    <s v="PUNE CITY"/>
    <s v="Maharashtra"/>
    <n v="8"/>
    <x v="13"/>
    <x v="14"/>
    <x v="0"/>
    <x v="0"/>
    <x v="0"/>
    <x v="2"/>
    <x v="1"/>
    <x v="2"/>
    <x v="1"/>
  </r>
  <r>
    <n v="722"/>
    <s v="CHENNAI REGION"/>
    <s v="CHENNAI"/>
    <s v="Tamil Nadu"/>
    <n v="12"/>
    <x v="10"/>
    <x v="11"/>
    <x v="4"/>
    <x v="6"/>
    <x v="5"/>
    <x v="7"/>
    <x v="5"/>
    <x v="3"/>
    <x v="3"/>
  </r>
  <r>
    <n v="487"/>
    <s v="AHMEDABAD  REGION"/>
    <s v="AHMEDABAD"/>
    <s v="Gujarat"/>
    <n v="5"/>
    <x v="7"/>
    <x v="8"/>
    <x v="0"/>
    <x v="0"/>
    <x v="0"/>
    <x v="0"/>
    <x v="2"/>
    <x v="5"/>
    <x v="5"/>
  </r>
  <r>
    <n v="971"/>
    <s v="MUMBAI REGION"/>
    <s v="MUMBAI"/>
    <s v="Maharashtra"/>
    <n v="8"/>
    <x v="2"/>
    <x v="2"/>
    <x v="0"/>
    <x v="0"/>
    <x v="0"/>
    <x v="2"/>
    <x v="3"/>
    <x v="1"/>
    <x v="1"/>
  </r>
  <r>
    <n v="2846"/>
    <s v="CHANDRAPUR REGION"/>
    <s v="CHANDIGARH"/>
    <s v="Punjab"/>
    <n v="9"/>
    <x v="2"/>
    <x v="2"/>
    <x v="0"/>
    <x v="0"/>
    <x v="0"/>
    <x v="3"/>
    <x v="5"/>
    <x v="1"/>
    <x v="6"/>
  </r>
  <r>
    <n v="1015"/>
    <s v="AHMEDNAGAR REGION"/>
    <s v="AHMEDNAGAR"/>
    <s v="Maharashtra"/>
    <n v="8"/>
    <x v="4"/>
    <x v="4"/>
    <x v="0"/>
    <x v="0"/>
    <x v="0"/>
    <x v="0"/>
    <x v="5"/>
    <x v="6"/>
    <x v="8"/>
  </r>
  <r>
    <n v="2104"/>
    <s v="AHMEDNAGAR REGION"/>
    <s v="AHMEDNAGAR"/>
    <s v="Maharashtra"/>
    <n v="8"/>
    <x v="11"/>
    <x v="12"/>
    <x v="0"/>
    <x v="0"/>
    <x v="0"/>
    <x v="0"/>
    <x v="3"/>
    <x v="2"/>
    <x v="4"/>
  </r>
  <r>
    <n v="2396"/>
    <s v="AHMEDNAGAR REGION"/>
    <s v="AHMEDNAGAR"/>
    <s v="Maharashtra"/>
    <n v="8"/>
    <x v="10"/>
    <x v="11"/>
    <x v="0"/>
    <x v="0"/>
    <x v="0"/>
    <x v="0"/>
    <x v="0"/>
    <x v="1"/>
    <x v="2"/>
  </r>
  <r>
    <n v="1520"/>
    <s v="HYDERABAD REGION"/>
    <s v="HYDERABAD"/>
    <s v="Andhra Pradesh"/>
    <n v="1"/>
    <x v="1"/>
    <x v="1"/>
    <x v="0"/>
    <x v="0"/>
    <x v="0"/>
    <x v="2"/>
    <x v="3"/>
    <x v="1"/>
    <x v="0"/>
  </r>
  <r>
    <n v="2061"/>
    <s v="PUNE CITY REGION"/>
    <s v="PUNE CITY"/>
    <s v="Maharashtra"/>
    <n v="8"/>
    <x v="2"/>
    <x v="2"/>
    <x v="0"/>
    <x v="0"/>
    <x v="0"/>
    <x v="2"/>
    <x v="3"/>
    <x v="1"/>
    <x v="4"/>
  </r>
  <r>
    <n v="2433"/>
    <s v="AURANGABAD REGION"/>
    <s v="AURANGABAD"/>
    <s v="Maharashtra"/>
    <n v="8"/>
    <x v="4"/>
    <x v="4"/>
    <x v="0"/>
    <x v="0"/>
    <x v="0"/>
    <x v="5"/>
    <x v="5"/>
    <x v="5"/>
    <x v="5"/>
  </r>
  <r>
    <n v="3121"/>
    <s v="PUNE RURAL REGION"/>
    <s v="PUNE RURAL"/>
    <s v="Maharashtra"/>
    <n v="8"/>
    <x v="9"/>
    <x v="10"/>
    <x v="0"/>
    <x v="0"/>
    <x v="0"/>
    <x v="0"/>
    <x v="1"/>
    <x v="2"/>
    <x v="6"/>
  </r>
  <r>
    <n v="2651"/>
    <s v="PUNE CITY REGION"/>
    <s v="PUNE CITY"/>
    <s v="Maharashtra"/>
    <n v="8"/>
    <x v="10"/>
    <x v="11"/>
    <x v="0"/>
    <x v="0"/>
    <x v="0"/>
    <x v="0"/>
    <x v="0"/>
    <x v="1"/>
    <x v="4"/>
  </r>
  <r>
    <n v="667"/>
    <s v="DELHI REGION"/>
    <s v="DELHI"/>
    <s v="Delhi"/>
    <n v="3"/>
    <x v="10"/>
    <x v="11"/>
    <x v="0"/>
    <x v="0"/>
    <x v="2"/>
    <x v="2"/>
    <x v="1"/>
    <x v="1"/>
    <x v="3"/>
  </r>
  <r>
    <n v="2646"/>
    <s v="BANGALORE REGION"/>
    <s v="BANGALORE"/>
    <s v="Karnataka"/>
    <n v="6"/>
    <x v="4"/>
    <x v="4"/>
    <x v="0"/>
    <x v="0"/>
    <x v="0"/>
    <x v="0"/>
    <x v="0"/>
    <x v="0"/>
    <x v="0"/>
  </r>
  <r>
    <n v="978"/>
    <s v="MUMBAI REGION"/>
    <s v="MUMBAI"/>
    <s v="Maharashtra"/>
    <n v="8"/>
    <x v="4"/>
    <x v="4"/>
    <x v="0"/>
    <x v="0"/>
    <x v="0"/>
    <x v="0"/>
    <x v="0"/>
    <x v="2"/>
    <x v="4"/>
  </r>
  <r>
    <n v="3127"/>
    <s v="PUNE CITY REGION"/>
    <s v="PUNE CITY"/>
    <s v="Maharashtra"/>
    <n v="8"/>
    <x v="7"/>
    <x v="8"/>
    <x v="0"/>
    <x v="0"/>
    <x v="0"/>
    <x v="2"/>
    <x v="3"/>
    <x v="0"/>
    <x v="3"/>
  </r>
  <r>
    <n v="679"/>
    <s v="JAIPUR REGION"/>
    <s v="JAIPUR"/>
    <s v="Rajasthan"/>
    <n v="11"/>
    <x v="4"/>
    <x v="4"/>
    <x v="0"/>
    <x v="0"/>
    <x v="0"/>
    <x v="3"/>
    <x v="3"/>
    <x v="3"/>
    <x v="3"/>
  </r>
  <r>
    <n v="362"/>
    <s v="DELHI REGION"/>
    <s v="DELHI"/>
    <s v="Delhi"/>
    <n v="3"/>
    <x v="12"/>
    <x v="13"/>
    <x v="0"/>
    <x v="0"/>
    <x v="0"/>
    <x v="2"/>
    <x v="5"/>
    <x v="2"/>
    <x v="3"/>
  </r>
  <r>
    <n v="896"/>
    <s v="BANGALORE REGION"/>
    <s v="BANGALORE"/>
    <s v="Karnataka"/>
    <n v="6"/>
    <x v="12"/>
    <x v="13"/>
    <x v="0"/>
    <x v="0"/>
    <x v="0"/>
    <x v="2"/>
    <x v="3"/>
    <x v="1"/>
    <x v="4"/>
  </r>
  <r>
    <n v="700"/>
    <s v="AHMEDABAD  REGION"/>
    <s v="AHMEDABAD"/>
    <s v="Gujarat"/>
    <n v="5"/>
    <x v="6"/>
    <x v="7"/>
    <x v="0"/>
    <x v="0"/>
    <x v="0"/>
    <x v="3"/>
    <x v="1"/>
    <x v="1"/>
    <x v="3"/>
  </r>
  <r>
    <n v="429"/>
    <s v="AHMEDABAD  REGION"/>
    <s v="AHMEDABAD"/>
    <s v="Gujarat"/>
    <n v="5"/>
    <x v="6"/>
    <x v="7"/>
    <x v="0"/>
    <x v="0"/>
    <x v="0"/>
    <x v="0"/>
    <x v="3"/>
    <x v="1"/>
    <x v="0"/>
  </r>
  <r>
    <n v="468"/>
    <s v="MUMBAI REGION"/>
    <s v="MUMBAI"/>
    <s v="Maharashtra"/>
    <n v="8"/>
    <x v="1"/>
    <x v="1"/>
    <x v="0"/>
    <x v="0"/>
    <x v="0"/>
    <x v="0"/>
    <x v="1"/>
    <x v="2"/>
    <x v="3"/>
  </r>
  <r>
    <n v="486"/>
    <s v="BANGALORE REGION"/>
    <s v="BANGALORE"/>
    <s v="Karnataka"/>
    <n v="6"/>
    <x v="1"/>
    <x v="1"/>
    <x v="0"/>
    <x v="0"/>
    <x v="0"/>
    <x v="0"/>
    <x v="0"/>
    <x v="1"/>
    <x v="2"/>
  </r>
  <r>
    <n v="51"/>
    <s v="MUMBAI REGION"/>
    <s v="MUMBAI"/>
    <s v="Maharashtra"/>
    <n v="8"/>
    <x v="7"/>
    <x v="8"/>
    <x v="0"/>
    <x v="0"/>
    <x v="2"/>
    <x v="8"/>
    <x v="4"/>
    <x v="3"/>
    <x v="3"/>
  </r>
  <r>
    <n v="444"/>
    <s v="CHANDIGARH REGION"/>
    <s v="CHANDIGARH"/>
    <s v="Punjab&amp;Haryana"/>
    <n v="10"/>
    <x v="15"/>
    <x v="16"/>
    <x v="0"/>
    <x v="0"/>
    <x v="0"/>
    <x v="1"/>
    <x v="2"/>
    <x v="2"/>
    <x v="4"/>
  </r>
  <r>
    <n v="363"/>
    <s v="CHANDIGARH REGION"/>
    <s v="CHANDIGARH"/>
    <s v="Punjab&amp;Haryana"/>
    <n v="10"/>
    <x v="15"/>
    <x v="16"/>
    <x v="0"/>
    <x v="0"/>
    <x v="0"/>
    <x v="1"/>
    <x v="5"/>
    <x v="3"/>
    <x v="3"/>
  </r>
  <r>
    <n v="577"/>
    <s v="MUMBAI REGION"/>
    <s v="MUMBAI"/>
    <s v="Maharashtra"/>
    <n v="8"/>
    <x v="3"/>
    <x v="3"/>
    <x v="0"/>
    <x v="0"/>
    <x v="0"/>
    <x v="0"/>
    <x v="0"/>
    <x v="1"/>
    <x v="2"/>
  </r>
  <r>
    <n v="1008"/>
    <s v="MUMBAI REGION"/>
    <s v="MUMBAI"/>
    <s v="Maharashtra"/>
    <n v="8"/>
    <x v="3"/>
    <x v="3"/>
    <x v="0"/>
    <x v="0"/>
    <x v="0"/>
    <x v="2"/>
    <x v="2"/>
    <x v="2"/>
    <x v="3"/>
  </r>
  <r>
    <n v="1497"/>
    <s v="HYDERABAD REGION"/>
    <s v="HYDERABAD"/>
    <s v="Andhra Pradesh"/>
    <n v="1"/>
    <x v="0"/>
    <x v="5"/>
    <x v="0"/>
    <x v="0"/>
    <x v="0"/>
    <x v="0"/>
    <x v="1"/>
    <x v="1"/>
    <x v="0"/>
  </r>
  <r>
    <n v="1116"/>
    <s v="THANE REGION"/>
    <s v="THANE"/>
    <s v="Maharashtra"/>
    <n v="8"/>
    <x v="4"/>
    <x v="4"/>
    <x v="0"/>
    <x v="0"/>
    <x v="0"/>
    <x v="3"/>
    <x v="2"/>
    <x v="2"/>
    <x v="2"/>
  </r>
  <r>
    <n v="533"/>
    <s v="NAGPUR REGION"/>
    <s v="NAGPUR"/>
    <s v="Maharashtra"/>
    <n v="8"/>
    <x v="4"/>
    <x v="4"/>
    <x v="2"/>
    <x v="3"/>
    <x v="0"/>
    <x v="2"/>
    <x v="3"/>
    <x v="3"/>
    <x v="3"/>
  </r>
  <r>
    <n v="1192"/>
    <s v="KOLHAPUR REGION"/>
    <s v="KOLHAPUR"/>
    <s v="Maharashtra"/>
    <n v="8"/>
    <x v="4"/>
    <x v="4"/>
    <x v="0"/>
    <x v="0"/>
    <x v="1"/>
    <x v="3"/>
    <x v="2"/>
    <x v="0"/>
    <x v="2"/>
  </r>
  <r>
    <n v="1525"/>
    <s v="JABALPUR REGION"/>
    <s v="JABALPUR"/>
    <s v="Madhya Pradesh"/>
    <n v="7"/>
    <x v="10"/>
    <x v="11"/>
    <x v="0"/>
    <x v="0"/>
    <x v="0"/>
    <x v="0"/>
    <x v="0"/>
    <x v="0"/>
    <x v="0"/>
  </r>
  <r>
    <n v="1382"/>
    <s v="THANE REGION"/>
    <s v="THANE"/>
    <s v="Maharashtra"/>
    <n v="8"/>
    <x v="11"/>
    <x v="12"/>
    <x v="0"/>
    <x v="0"/>
    <x v="0"/>
    <x v="0"/>
    <x v="3"/>
    <x v="4"/>
    <x v="1"/>
  </r>
  <r>
    <n v="2910"/>
    <s v="PUNE CITY REGION"/>
    <s v="PUNE CITY"/>
    <s v="Maharashtra"/>
    <n v="8"/>
    <x v="11"/>
    <x v="12"/>
    <x v="0"/>
    <x v="0"/>
    <x v="0"/>
    <x v="1"/>
    <x v="1"/>
    <x v="1"/>
    <x v="3"/>
  </r>
  <r>
    <n v="2381"/>
    <s v="PUNE CITY REGION"/>
    <s v="PUNE CITY"/>
    <s v="Maharashtra"/>
    <n v="8"/>
    <x v="13"/>
    <x v="14"/>
    <x v="0"/>
    <x v="0"/>
    <x v="0"/>
    <x v="0"/>
    <x v="0"/>
    <x v="1"/>
    <x v="2"/>
  </r>
  <r>
    <n v="3566"/>
    <s v="KOLHAPUR REGION"/>
    <s v="KOLHAPUR"/>
    <s v="Maharashtra"/>
    <n v="8"/>
    <x v="13"/>
    <x v="14"/>
    <x v="0"/>
    <x v="0"/>
    <x v="0"/>
    <x v="0"/>
    <x v="0"/>
    <x v="0"/>
    <x v="0"/>
  </r>
  <r>
    <n v="1503"/>
    <s v="SATARA REGION"/>
    <s v="SATARA"/>
    <s v="Maharashtra"/>
    <n v="8"/>
    <x v="13"/>
    <x v="14"/>
    <x v="0"/>
    <x v="0"/>
    <x v="0"/>
    <x v="0"/>
    <x v="0"/>
    <x v="1"/>
    <x v="0"/>
  </r>
  <r>
    <n v="2326"/>
    <s v="LATUR REGION"/>
    <s v="LATUR"/>
    <s v="Maharashtra"/>
    <n v="8"/>
    <x v="13"/>
    <x v="14"/>
    <x v="0"/>
    <x v="0"/>
    <x v="0"/>
    <x v="0"/>
    <x v="0"/>
    <x v="2"/>
    <x v="0"/>
  </r>
  <r>
    <n v="1278"/>
    <s v="CHANDIGARH REGION"/>
    <s v="CHANDIGARH"/>
    <s v="Punjab&amp;Haryana"/>
    <n v="10"/>
    <x v="11"/>
    <x v="12"/>
    <x v="0"/>
    <x v="0"/>
    <x v="0"/>
    <x v="0"/>
    <x v="0"/>
    <x v="4"/>
    <x v="5"/>
  </r>
  <r>
    <n v="340"/>
    <s v="DELHI REGION"/>
    <s v="DELHI"/>
    <s v="Delhi"/>
    <n v="3"/>
    <x v="11"/>
    <x v="12"/>
    <x v="0"/>
    <x v="0"/>
    <x v="0"/>
    <x v="0"/>
    <x v="0"/>
    <x v="0"/>
    <x v="0"/>
  </r>
  <r>
    <n v="202"/>
    <s v="LUCKNOW REGION"/>
    <s v="LUCKNOW"/>
    <s v="Uttar Pradesh"/>
    <n v="13"/>
    <x v="14"/>
    <x v="15"/>
    <x v="0"/>
    <x v="1"/>
    <x v="2"/>
    <x v="3"/>
    <x v="0"/>
    <x v="3"/>
    <x v="3"/>
  </r>
  <r>
    <n v="1453"/>
    <s v="NASIK REGION"/>
    <s v="NASIK"/>
    <s v="Maharashtra"/>
    <n v="8"/>
    <x v="14"/>
    <x v="15"/>
    <x v="0"/>
    <x v="0"/>
    <x v="0"/>
    <x v="0"/>
    <x v="0"/>
    <x v="2"/>
    <x v="0"/>
  </r>
  <r>
    <n v="1856"/>
    <s v="JALGAON  REGION"/>
    <s v="JALGAON"/>
    <s v="Maharashtra"/>
    <n v="8"/>
    <x v="16"/>
    <x v="17"/>
    <x v="0"/>
    <x v="0"/>
    <x v="0"/>
    <x v="0"/>
    <x v="0"/>
    <x v="1"/>
    <x v="2"/>
  </r>
  <r>
    <n v="706"/>
    <s v="AURANGABAD REGION"/>
    <s v="AURANGABAD"/>
    <s v="Maharashtra"/>
    <n v="8"/>
    <x v="16"/>
    <x v="17"/>
    <x v="0"/>
    <x v="0"/>
    <x v="0"/>
    <x v="7"/>
    <x v="5"/>
    <x v="2"/>
    <x v="3"/>
  </r>
  <r>
    <n v="435"/>
    <s v="NASIK REGION"/>
    <s v="NASIK"/>
    <s v="Maharashtra"/>
    <n v="8"/>
    <x v="16"/>
    <x v="17"/>
    <x v="0"/>
    <x v="0"/>
    <x v="0"/>
    <x v="0"/>
    <x v="5"/>
    <x v="4"/>
    <x v="4"/>
  </r>
  <r>
    <n v="324"/>
    <s v="AHMEDABAD  REGION"/>
    <s v="AHMEDABAD"/>
    <s v="Gujarat"/>
    <n v="5"/>
    <x v="1"/>
    <x v="1"/>
    <x v="0"/>
    <x v="0"/>
    <x v="0"/>
    <x v="0"/>
    <x v="2"/>
    <x v="2"/>
    <x v="2"/>
  </r>
  <r>
    <n v="2773"/>
    <s v="SOLAPUR REGION"/>
    <s v="SOLAPUR"/>
    <s v="Maharashtra"/>
    <n v="8"/>
    <x v="7"/>
    <x v="8"/>
    <x v="0"/>
    <x v="7"/>
    <x v="3"/>
    <x v="1"/>
    <x v="1"/>
    <x v="1"/>
    <x v="2"/>
  </r>
  <r>
    <n v="60"/>
    <s v="AURANGABAD REGION"/>
    <s v="AURANGABAD"/>
    <s v="Maharashtra"/>
    <n v="8"/>
    <x v="1"/>
    <x v="1"/>
    <x v="0"/>
    <x v="0"/>
    <x v="0"/>
    <x v="0"/>
    <x v="3"/>
    <x v="0"/>
    <x v="0"/>
  </r>
  <r>
    <n v="529"/>
    <s v="DELHI REGION"/>
    <s v="DELHI"/>
    <s v="Delhi"/>
    <n v="3"/>
    <x v="7"/>
    <x v="8"/>
    <x v="0"/>
    <x v="7"/>
    <x v="5"/>
    <x v="8"/>
    <x v="5"/>
    <x v="4"/>
    <x v="4"/>
  </r>
  <r>
    <n v="748"/>
    <s v="NASIK REGION"/>
    <s v="NASIK"/>
    <s v="Maharashtra"/>
    <n v="8"/>
    <x v="1"/>
    <x v="1"/>
    <x v="5"/>
    <x v="3"/>
    <x v="1"/>
    <x v="3"/>
    <x v="5"/>
    <x v="2"/>
    <x v="3"/>
  </r>
  <r>
    <n v="1146"/>
    <s v="BHOPAL REGION"/>
    <s v="BHOPAL"/>
    <s v="Madhya Pradesh"/>
    <n v="7"/>
    <x v="1"/>
    <x v="1"/>
    <x v="0"/>
    <x v="0"/>
    <x v="0"/>
    <x v="1"/>
    <x v="5"/>
    <x v="4"/>
    <x v="5"/>
  </r>
  <r>
    <n v="856"/>
    <s v="LUCKNOW REGION"/>
    <s v="LUCKNOW"/>
    <s v="Uttar Pradesh"/>
    <n v="13"/>
    <x v="1"/>
    <x v="1"/>
    <x v="0"/>
    <x v="0"/>
    <x v="4"/>
    <x v="4"/>
    <x v="5"/>
    <x v="5"/>
    <x v="3"/>
  </r>
  <r>
    <n v="61"/>
    <s v="GOA REGION"/>
    <s v="GOA"/>
    <s v="Goa"/>
    <n v="4"/>
    <x v="8"/>
    <x v="9"/>
    <x v="2"/>
    <x v="4"/>
    <x v="4"/>
    <x v="2"/>
    <x v="0"/>
    <x v="3"/>
    <x v="3"/>
  </r>
  <r>
    <n v="46"/>
    <s v="DELHI REGION"/>
    <s v="DELHI"/>
    <s v="Delhi"/>
    <n v="3"/>
    <x v="8"/>
    <x v="9"/>
    <x v="0"/>
    <x v="0"/>
    <x v="0"/>
    <x v="0"/>
    <x v="5"/>
    <x v="4"/>
    <x v="1"/>
  </r>
  <r>
    <n v="8"/>
    <s v="DELHI REGION"/>
    <s v="DELHI"/>
    <s v="Delhi"/>
    <n v="3"/>
    <x v="8"/>
    <x v="9"/>
    <x v="5"/>
    <x v="1"/>
    <x v="2"/>
    <x v="3"/>
    <x v="0"/>
    <x v="3"/>
    <x v="3"/>
  </r>
  <r>
    <n v="5"/>
    <s v="MUMBAI REGION"/>
    <s v="MUMBAI"/>
    <s v="Maharashtra"/>
    <n v="8"/>
    <x v="2"/>
    <x v="2"/>
    <x v="5"/>
    <x v="4"/>
    <x v="1"/>
    <x v="1"/>
    <x v="3"/>
    <x v="0"/>
    <x v="2"/>
  </r>
  <r>
    <n v="2"/>
    <s v="MUMBAI REGION"/>
    <s v="MUMBAI"/>
    <s v="Maharashtra"/>
    <n v="8"/>
    <x v="1"/>
    <x v="1"/>
    <x v="4"/>
    <x v="2"/>
    <x v="4"/>
    <x v="1"/>
    <x v="2"/>
    <x v="3"/>
    <x v="3"/>
  </r>
  <r>
    <n v="153"/>
    <s v="PUNE CITY REGION"/>
    <s v="PUNE CITY"/>
    <s v="Maharashtra"/>
    <n v="8"/>
    <x v="3"/>
    <x v="3"/>
    <x v="5"/>
    <x v="1"/>
    <x v="1"/>
    <x v="3"/>
    <x v="0"/>
    <x v="3"/>
    <x v="3"/>
  </r>
  <r>
    <n v="1799"/>
    <s v="LATUR REGION"/>
    <s v="LATUR"/>
    <s v="Maharashtra"/>
    <n v="8"/>
    <x v="17"/>
    <x v="18"/>
    <x v="0"/>
    <x v="0"/>
    <x v="1"/>
    <x v="2"/>
    <x v="2"/>
    <x v="1"/>
    <x v="0"/>
  </r>
  <r>
    <n v="220"/>
    <s v="RATNAGIRI REGION"/>
    <s v="RATNAGIRI"/>
    <s v="Maharashtra"/>
    <n v="8"/>
    <x v="2"/>
    <x v="2"/>
    <x v="0"/>
    <x v="0"/>
    <x v="0"/>
    <x v="0"/>
    <x v="3"/>
    <x v="0"/>
    <x v="2"/>
  </r>
  <r>
    <n v="1630"/>
    <s v="MUMBAI REGION"/>
    <s v="MUMBAI"/>
    <s v="Maharashtra"/>
    <n v="8"/>
    <x v="2"/>
    <x v="2"/>
    <x v="0"/>
    <x v="0"/>
    <x v="0"/>
    <x v="0"/>
    <x v="2"/>
    <x v="2"/>
    <x v="1"/>
  </r>
  <r>
    <n v="212"/>
    <s v="MUMBAI REGION"/>
    <s v="MUMBAI"/>
    <s v="Maharashtra"/>
    <n v="8"/>
    <x v="4"/>
    <x v="4"/>
    <x v="0"/>
    <x v="0"/>
    <x v="0"/>
    <x v="1"/>
    <x v="1"/>
    <x v="3"/>
    <x v="3"/>
  </r>
  <r>
    <n v="3317"/>
    <s v="PUNE CITY REGION"/>
    <s v="PUNE CITY"/>
    <s v="Maharashtra"/>
    <n v="8"/>
    <x v="4"/>
    <x v="4"/>
    <x v="0"/>
    <x v="0"/>
    <x v="0"/>
    <x v="0"/>
    <x v="0"/>
    <x v="1"/>
    <x v="2"/>
  </r>
  <r>
    <n v="103"/>
    <s v="PUNE CITY REGION"/>
    <s v="PUNE CITY"/>
    <s v="Maharashtra"/>
    <n v="8"/>
    <x v="13"/>
    <x v="14"/>
    <x v="0"/>
    <x v="0"/>
    <x v="0"/>
    <x v="2"/>
    <x v="3"/>
    <x v="1"/>
    <x v="0"/>
  </r>
  <r>
    <n v="313"/>
    <s v="MUMBAI REGION"/>
    <s v="MUMBAI"/>
    <s v="Maharashtra"/>
    <n v="8"/>
    <x v="13"/>
    <x v="14"/>
    <x v="1"/>
    <x v="4"/>
    <x v="2"/>
    <x v="2"/>
    <x v="3"/>
    <x v="1"/>
    <x v="4"/>
  </r>
  <r>
    <n v="1264"/>
    <s v="PUNE CITY REGION"/>
    <s v="PUNE CITY"/>
    <s v="Maharashtra"/>
    <n v="8"/>
    <x v="13"/>
    <x v="14"/>
    <x v="0"/>
    <x v="3"/>
    <x v="2"/>
    <x v="2"/>
    <x v="1"/>
    <x v="0"/>
    <x v="2"/>
  </r>
  <r>
    <n v="1629"/>
    <s v="MUMBAI REGION"/>
    <s v="MUMBAI"/>
    <s v="Maharashtra"/>
    <n v="8"/>
    <x v="0"/>
    <x v="5"/>
    <x v="0"/>
    <x v="0"/>
    <x v="0"/>
    <x v="0"/>
    <x v="0"/>
    <x v="1"/>
    <x v="4"/>
  </r>
  <r>
    <n v="790"/>
    <s v="PUNE CITY REGION"/>
    <s v="PUNE CITY"/>
    <s v="Maharashtra"/>
    <n v="8"/>
    <x v="16"/>
    <x v="17"/>
    <x v="0"/>
    <x v="3"/>
    <x v="1"/>
    <x v="2"/>
    <x v="3"/>
    <x v="1"/>
    <x v="0"/>
  </r>
  <r>
    <n v="99"/>
    <s v="MUMBAI REGION"/>
    <s v="MUMBAI"/>
    <s v="Maharashtra"/>
    <n v="8"/>
    <x v="16"/>
    <x v="17"/>
    <x v="0"/>
    <x v="0"/>
    <x v="0"/>
    <x v="2"/>
    <x v="3"/>
    <x v="3"/>
    <x v="3"/>
  </r>
  <r>
    <n v="1860"/>
    <s v="NASIK REGION"/>
    <s v="NASIK"/>
    <s v="Maharashtra"/>
    <n v="8"/>
    <x v="4"/>
    <x v="4"/>
    <x v="0"/>
    <x v="0"/>
    <x v="0"/>
    <x v="0"/>
    <x v="0"/>
    <x v="1"/>
    <x v="2"/>
  </r>
  <r>
    <n v="55"/>
    <s v="NASIK REGION"/>
    <s v="NASIK"/>
    <s v="Maharashtra"/>
    <n v="8"/>
    <x v="4"/>
    <x v="4"/>
    <x v="0"/>
    <x v="0"/>
    <x v="0"/>
    <x v="1"/>
    <x v="1"/>
    <x v="1"/>
    <x v="2"/>
  </r>
  <r>
    <n v="1768"/>
    <s v="AURANGABAD REGION"/>
    <s v="AURANGABAD"/>
    <s v="Maharashtra"/>
    <n v="8"/>
    <x v="10"/>
    <x v="11"/>
    <x v="2"/>
    <x v="3"/>
    <x v="1"/>
    <x v="0"/>
    <x v="0"/>
    <x v="3"/>
    <x v="3"/>
  </r>
  <r>
    <n v="805"/>
    <s v="AURANGABAD REGION"/>
    <s v="AURANGABAD"/>
    <s v="Maharashtra"/>
    <n v="8"/>
    <x v="13"/>
    <x v="14"/>
    <x v="2"/>
    <x v="3"/>
    <x v="0"/>
    <x v="2"/>
    <x v="3"/>
    <x v="3"/>
    <x v="3"/>
  </r>
  <r>
    <n v="2725"/>
    <s v="AURANGABAD REGION"/>
    <s v="AURANGABAD"/>
    <s v="Maharashtra"/>
    <n v="8"/>
    <x v="11"/>
    <x v="12"/>
    <x v="0"/>
    <x v="0"/>
    <x v="0"/>
    <x v="0"/>
    <x v="1"/>
    <x v="0"/>
    <x v="0"/>
  </r>
  <r>
    <n v="1676"/>
    <s v="AURANGABAD REGION"/>
    <s v="AURANGABAD"/>
    <s v="Maharashtra"/>
    <n v="8"/>
    <x v="11"/>
    <x v="12"/>
    <x v="0"/>
    <x v="3"/>
    <x v="1"/>
    <x v="0"/>
    <x v="0"/>
    <x v="3"/>
    <x v="3"/>
  </r>
  <r>
    <n v="1551"/>
    <s v="BHOPAL REGION"/>
    <s v="BHOPAL"/>
    <s v="Madhya Pradesh"/>
    <n v="7"/>
    <x v="11"/>
    <x v="12"/>
    <x v="5"/>
    <x v="3"/>
    <x v="0"/>
    <x v="0"/>
    <x v="0"/>
    <x v="3"/>
    <x v="3"/>
  </r>
  <r>
    <n v="1286"/>
    <s v="MUMBAI REGION"/>
    <s v="MUMBAI"/>
    <s v="Maharashtra"/>
    <n v="8"/>
    <x v="7"/>
    <x v="8"/>
    <x v="0"/>
    <x v="0"/>
    <x v="0"/>
    <x v="0"/>
    <x v="2"/>
    <x v="2"/>
    <x v="4"/>
  </r>
  <r>
    <n v="12"/>
    <s v="MUMBAI REGION"/>
    <s v="MUMBAI"/>
    <s v="Maharashtra"/>
    <n v="8"/>
    <x v="7"/>
    <x v="8"/>
    <x v="5"/>
    <x v="1"/>
    <x v="1"/>
    <x v="0"/>
    <x v="0"/>
    <x v="3"/>
    <x v="3"/>
  </r>
  <r>
    <n v="708"/>
    <s v="CHENNAI REGION"/>
    <s v="CHENNAI"/>
    <s v="Tamil Nadu"/>
    <n v="12"/>
    <x v="3"/>
    <x v="3"/>
    <x v="0"/>
    <x v="0"/>
    <x v="0"/>
    <x v="3"/>
    <x v="3"/>
    <x v="1"/>
    <x v="1"/>
  </r>
  <r>
    <n v="2410"/>
    <s v="AHMEDNAGAR REGION"/>
    <s v="AHMEDNAGAR"/>
    <s v="Maharashtra"/>
    <n v="8"/>
    <x v="11"/>
    <x v="12"/>
    <x v="0"/>
    <x v="0"/>
    <x v="0"/>
    <x v="0"/>
    <x v="0"/>
    <x v="0"/>
    <x v="1"/>
  </r>
  <r>
    <n v="3162"/>
    <s v="HYDERABAD REGION"/>
    <s v="HYDERABAD"/>
    <s v="Andhra Pradesh"/>
    <n v="1"/>
    <x v="8"/>
    <x v="9"/>
    <x v="0"/>
    <x v="0"/>
    <x v="0"/>
    <x v="0"/>
    <x v="7"/>
    <x v="5"/>
    <x v="1"/>
  </r>
  <r>
    <n v="1163"/>
    <s v="PUNE CITY REGION"/>
    <s v="PUNE CITY"/>
    <s v="Maharashtra"/>
    <n v="8"/>
    <x v="0"/>
    <x v="5"/>
    <x v="0"/>
    <x v="0"/>
    <x v="0"/>
    <x v="0"/>
    <x v="1"/>
    <x v="4"/>
    <x v="1"/>
  </r>
  <r>
    <n v="645"/>
    <s v="MUMBAI REGION"/>
    <s v="MUMBAI"/>
    <s v="Maharashtra"/>
    <n v="8"/>
    <x v="10"/>
    <x v="11"/>
    <x v="0"/>
    <x v="0"/>
    <x v="0"/>
    <x v="0"/>
    <x v="1"/>
    <x v="2"/>
    <x v="1"/>
  </r>
  <r>
    <n v="21"/>
    <s v="PUNE CITY REGION"/>
    <s v="PUNE CITY"/>
    <s v="Maharashtra"/>
    <n v="8"/>
    <x v="10"/>
    <x v="11"/>
    <x v="0"/>
    <x v="0"/>
    <x v="2"/>
    <x v="1"/>
    <x v="1"/>
    <x v="1"/>
    <x v="4"/>
  </r>
  <r>
    <n v="1160"/>
    <s v="AHMEDABAD  REGION"/>
    <s v="AHMEDABAD"/>
    <s v="Gujarat"/>
    <n v="5"/>
    <x v="2"/>
    <x v="2"/>
    <x v="0"/>
    <x v="0"/>
    <x v="0"/>
    <x v="0"/>
    <x v="0"/>
    <x v="4"/>
    <x v="2"/>
  </r>
  <r>
    <n v="324"/>
    <s v="MUMBAI REGION"/>
    <s v="MUMBAI"/>
    <s v="Maharashtra"/>
    <n v="8"/>
    <x v="2"/>
    <x v="2"/>
    <x v="5"/>
    <x v="2"/>
    <x v="5"/>
    <x v="2"/>
    <x v="3"/>
    <x v="2"/>
    <x v="0"/>
  </r>
  <r>
    <n v="3165"/>
    <s v="HYDERABAD REGION"/>
    <s v="HYDERABAD"/>
    <s v="Andhra Pradesh"/>
    <n v="1"/>
    <x v="2"/>
    <x v="2"/>
    <x v="0"/>
    <x v="0"/>
    <x v="0"/>
    <x v="0"/>
    <x v="0"/>
    <x v="1"/>
    <x v="0"/>
  </r>
  <r>
    <n v="1713"/>
    <s v="PUNE CITY REGION"/>
    <s v="PUNE CITY"/>
    <s v="Maharashtra"/>
    <n v="8"/>
    <x v="11"/>
    <x v="12"/>
    <x v="0"/>
    <x v="0"/>
    <x v="0"/>
    <x v="2"/>
    <x v="1"/>
    <x v="3"/>
    <x v="3"/>
  </r>
  <r>
    <n v="101"/>
    <s v="MUMBAI REGION"/>
    <s v="MUMBAI"/>
    <s v="Maharashtra"/>
    <n v="8"/>
    <x v="0"/>
    <x v="5"/>
    <x v="0"/>
    <x v="0"/>
    <x v="0"/>
    <x v="0"/>
    <x v="5"/>
    <x v="1"/>
    <x v="4"/>
  </r>
  <r>
    <n v="2428"/>
    <s v="LATUR REGION"/>
    <s v="LATUR"/>
    <s v="Maharashtra"/>
    <n v="8"/>
    <x v="8"/>
    <x v="9"/>
    <x v="0"/>
    <x v="0"/>
    <x v="0"/>
    <x v="0"/>
    <x v="0"/>
    <x v="0"/>
    <x v="2"/>
  </r>
  <r>
    <n v="394"/>
    <s v="KOLHAPUR REGION"/>
    <s v="KOLHAPUR"/>
    <s v="Maharashtra"/>
    <n v="8"/>
    <x v="15"/>
    <x v="16"/>
    <x v="0"/>
    <x v="0"/>
    <x v="2"/>
    <x v="2"/>
    <x v="3"/>
    <x v="0"/>
    <x v="3"/>
  </r>
  <r>
    <n v="2166"/>
    <s v="PUNE CITY REGION"/>
    <s v="PUNE CITY"/>
    <s v="Maharashtra"/>
    <n v="8"/>
    <x v="15"/>
    <x v="16"/>
    <x v="0"/>
    <x v="0"/>
    <x v="0"/>
    <x v="2"/>
    <x v="3"/>
    <x v="0"/>
    <x v="3"/>
  </r>
  <r>
    <n v="98"/>
    <s v="GOA REGION"/>
    <s v="GOA"/>
    <s v="Goa"/>
    <n v="4"/>
    <x v="2"/>
    <x v="2"/>
    <x v="4"/>
    <x v="4"/>
    <x v="4"/>
    <x v="3"/>
    <x v="2"/>
    <x v="4"/>
    <x v="4"/>
  </r>
  <r>
    <n v="282"/>
    <s v="MUMBAI REGION"/>
    <s v="MUMBAI"/>
    <s v="Maharashtra"/>
    <n v="8"/>
    <x v="1"/>
    <x v="1"/>
    <x v="0"/>
    <x v="7"/>
    <x v="4"/>
    <x v="3"/>
    <x v="0"/>
    <x v="3"/>
    <x v="3"/>
  </r>
  <r>
    <n v="74"/>
    <s v="DELHI REGION"/>
    <s v="DELHI"/>
    <s v="Delhi"/>
    <n v="3"/>
    <x v="0"/>
    <x v="5"/>
    <x v="2"/>
    <x v="1"/>
    <x v="0"/>
    <x v="0"/>
    <x v="0"/>
    <x v="3"/>
    <x v="3"/>
  </r>
  <r>
    <n v="1020"/>
    <s v="NASIK REGION"/>
    <s v="NASIK"/>
    <s v="Maharashtra"/>
    <n v="8"/>
    <x v="2"/>
    <x v="2"/>
    <x v="0"/>
    <x v="0"/>
    <x v="1"/>
    <x v="2"/>
    <x v="3"/>
    <x v="0"/>
    <x v="0"/>
  </r>
  <r>
    <n v="832"/>
    <s v="MUMBAI REGION"/>
    <s v="MUMBAI"/>
    <s v="Maharashtra"/>
    <n v="8"/>
    <x v="6"/>
    <x v="7"/>
    <x v="0"/>
    <x v="0"/>
    <x v="0"/>
    <x v="0"/>
    <x v="1"/>
    <x v="0"/>
    <x v="0"/>
  </r>
  <r>
    <n v="225"/>
    <s v="PUNE CITY REGION"/>
    <s v="PUNE CITY"/>
    <s v="Maharashtra"/>
    <n v="8"/>
    <x v="16"/>
    <x v="17"/>
    <x v="0"/>
    <x v="0"/>
    <x v="7"/>
    <x v="7"/>
    <x v="5"/>
    <x v="3"/>
    <x v="3"/>
  </r>
  <r>
    <n v="1"/>
    <s v="KOLHAPUR REGION"/>
    <s v="KOLHAPUR"/>
    <s v="Maharashtra"/>
    <n v="8"/>
    <x v="16"/>
    <x v="17"/>
    <x v="0"/>
    <x v="0"/>
    <x v="0"/>
    <x v="2"/>
    <x v="3"/>
    <x v="2"/>
    <x v="4"/>
  </r>
  <r>
    <n v="1719"/>
    <s v="KOLHAPUR REGION"/>
    <s v="KOLHAPUR"/>
    <s v="Maharashtra"/>
    <n v="8"/>
    <x v="6"/>
    <x v="7"/>
    <x v="0"/>
    <x v="0"/>
    <x v="0"/>
    <x v="0"/>
    <x v="0"/>
    <x v="2"/>
    <x v="0"/>
  </r>
  <r>
    <n v="405"/>
    <s v="PUNE CITY REGION"/>
    <s v="PUNE CITY"/>
    <s v="Maharashtra"/>
    <n v="8"/>
    <x v="6"/>
    <x v="7"/>
    <x v="0"/>
    <x v="0"/>
    <x v="0"/>
    <x v="0"/>
    <x v="0"/>
    <x v="2"/>
    <x v="4"/>
  </r>
  <r>
    <n v="386"/>
    <s v="PUNE CITY REGION"/>
    <s v="PUNE CITY"/>
    <s v="Maharashtra"/>
    <n v="8"/>
    <x v="11"/>
    <x v="12"/>
    <x v="1"/>
    <x v="3"/>
    <x v="1"/>
    <x v="2"/>
    <x v="1"/>
    <x v="2"/>
    <x v="0"/>
  </r>
  <r>
    <n v="2"/>
    <s v="BANGALORE REGION"/>
    <s v="BANGALORE"/>
    <s v="Karnataka"/>
    <n v="6"/>
    <x v="2"/>
    <x v="2"/>
    <x v="0"/>
    <x v="0"/>
    <x v="0"/>
    <x v="0"/>
    <x v="3"/>
    <x v="0"/>
    <x v="1"/>
  </r>
  <r>
    <n v="803"/>
    <s v="MUMBAI REGION"/>
    <s v="MUMBAI"/>
    <s v="Maharashtra"/>
    <n v="8"/>
    <x v="10"/>
    <x v="11"/>
    <x v="6"/>
    <x v="7"/>
    <x v="0"/>
    <x v="0"/>
    <x v="0"/>
    <x v="3"/>
    <x v="3"/>
  </r>
  <r>
    <n v="823"/>
    <s v="GOA REGION"/>
    <s v="GOA"/>
    <s v="Goa"/>
    <n v="4"/>
    <x v="1"/>
    <x v="1"/>
    <x v="0"/>
    <x v="0"/>
    <x v="0"/>
    <x v="2"/>
    <x v="1"/>
    <x v="3"/>
    <x v="3"/>
  </r>
  <r>
    <n v="24"/>
    <s v="HYDERABAD REGION"/>
    <s v="HYDERABAD"/>
    <s v="Andhra Pradesh"/>
    <n v="1"/>
    <x v="7"/>
    <x v="8"/>
    <x v="0"/>
    <x v="0"/>
    <x v="0"/>
    <x v="0"/>
    <x v="0"/>
    <x v="4"/>
    <x v="2"/>
  </r>
  <r>
    <n v="1867"/>
    <s v="AHMEDNAGAR REGION"/>
    <s v="AHMEDNAGAR"/>
    <s v="Maharashtra"/>
    <n v="8"/>
    <x v="14"/>
    <x v="15"/>
    <x v="0"/>
    <x v="0"/>
    <x v="0"/>
    <x v="0"/>
    <x v="7"/>
    <x v="4"/>
    <x v="1"/>
  </r>
  <r>
    <n v="152"/>
    <s v="AHMEDNAGAR REGION"/>
    <s v="AHMEDNAGAR"/>
    <s v="Maharashtra"/>
    <n v="8"/>
    <x v="1"/>
    <x v="1"/>
    <x v="0"/>
    <x v="4"/>
    <x v="3"/>
    <x v="7"/>
    <x v="0"/>
    <x v="3"/>
    <x v="3"/>
  </r>
  <r>
    <n v="1299"/>
    <s v="MUMBAI REGION"/>
    <s v="MUMBAI"/>
    <s v="Maharashtra"/>
    <n v="8"/>
    <x v="12"/>
    <x v="13"/>
    <x v="0"/>
    <x v="0"/>
    <x v="0"/>
    <x v="0"/>
    <x v="2"/>
    <x v="5"/>
    <x v="1"/>
  </r>
  <r>
    <n v="500"/>
    <s v="BANGALORE REGION"/>
    <s v="BANGALORE"/>
    <s v="Karnataka"/>
    <n v="6"/>
    <x v="5"/>
    <x v="6"/>
    <x v="0"/>
    <x v="0"/>
    <x v="0"/>
    <x v="2"/>
    <x v="1"/>
    <x v="3"/>
    <x v="3"/>
  </r>
  <r>
    <n v="659"/>
    <s v="INDORE REGION"/>
    <s v="INDORE"/>
    <s v="Madhya Pradesh"/>
    <n v="7"/>
    <x v="3"/>
    <x v="3"/>
    <x v="0"/>
    <x v="0"/>
    <x v="0"/>
    <x v="0"/>
    <x v="0"/>
    <x v="1"/>
    <x v="0"/>
  </r>
  <r>
    <n v="1554"/>
    <s v="HYDERABAD REGION"/>
    <s v="HYDERABAD"/>
    <s v="Andhra Pradesh"/>
    <n v="1"/>
    <x v="0"/>
    <x v="5"/>
    <x v="0"/>
    <x v="0"/>
    <x v="0"/>
    <x v="0"/>
    <x v="1"/>
    <x v="0"/>
    <x v="8"/>
  </r>
  <r>
    <n v="5"/>
    <s v="MUMBAI REGION"/>
    <s v="MUMBAI"/>
    <s v="Maharashtra"/>
    <n v="8"/>
    <x v="2"/>
    <x v="2"/>
    <x v="2"/>
    <x v="3"/>
    <x v="1"/>
    <x v="2"/>
    <x v="3"/>
    <x v="1"/>
    <x v="2"/>
  </r>
  <r>
    <n v="970"/>
    <s v="MUMBAI REGION"/>
    <s v="MUMBAI"/>
    <s v="Maharashtra"/>
    <n v="8"/>
    <x v="13"/>
    <x v="14"/>
    <x v="0"/>
    <x v="0"/>
    <x v="0"/>
    <x v="3"/>
    <x v="3"/>
    <x v="0"/>
    <x v="2"/>
  </r>
  <r>
    <n v="14"/>
    <s v="MUMBAI REGION"/>
    <s v="MUMBAI"/>
    <s v="Maharashtra"/>
    <n v="8"/>
    <x v="10"/>
    <x v="11"/>
    <x v="6"/>
    <x v="2"/>
    <x v="5"/>
    <x v="7"/>
    <x v="5"/>
    <x v="4"/>
    <x v="4"/>
  </r>
  <r>
    <n v="2463"/>
    <s v="PUNE CITY REGION"/>
    <s v="PUNE CITY"/>
    <s v="Maharashtra"/>
    <n v="8"/>
    <x v="7"/>
    <x v="8"/>
    <x v="0"/>
    <x v="0"/>
    <x v="0"/>
    <x v="0"/>
    <x v="2"/>
    <x v="1"/>
    <x v="3"/>
  </r>
  <r>
    <n v="15"/>
    <s v="MUMBAI REGION"/>
    <s v="MUMBAI"/>
    <s v="Maharashtra"/>
    <n v="8"/>
    <x v="2"/>
    <x v="2"/>
    <x v="1"/>
    <x v="2"/>
    <x v="4"/>
    <x v="7"/>
    <x v="3"/>
    <x v="1"/>
    <x v="4"/>
  </r>
  <r>
    <n v="735"/>
    <s v="AURANGABAD REGION"/>
    <s v="AURANGABAD"/>
    <s v="Maharashtra"/>
    <n v="8"/>
    <x v="2"/>
    <x v="2"/>
    <x v="0"/>
    <x v="0"/>
    <x v="0"/>
    <x v="0"/>
    <x v="0"/>
    <x v="4"/>
    <x v="2"/>
  </r>
  <r>
    <n v="110"/>
    <s v="THANE REGION"/>
    <s v="THANE"/>
    <s v="Maharashtra"/>
    <n v="8"/>
    <x v="4"/>
    <x v="4"/>
    <x v="2"/>
    <x v="3"/>
    <x v="1"/>
    <x v="2"/>
    <x v="1"/>
    <x v="1"/>
    <x v="1"/>
  </r>
  <r>
    <n v="2674"/>
    <s v="SATARA REGION"/>
    <s v="SATARA"/>
    <s v="Maharashtra"/>
    <n v="8"/>
    <x v="11"/>
    <x v="12"/>
    <x v="0"/>
    <x v="0"/>
    <x v="4"/>
    <x v="1"/>
    <x v="0"/>
    <x v="3"/>
    <x v="3"/>
  </r>
  <r>
    <n v="220"/>
    <s v="NAGPUR REGION"/>
    <s v="NAGPUR"/>
    <s v="Maharashtra"/>
    <n v="8"/>
    <x v="10"/>
    <x v="11"/>
    <x v="0"/>
    <x v="0"/>
    <x v="0"/>
    <x v="0"/>
    <x v="0"/>
    <x v="1"/>
    <x v="4"/>
  </r>
  <r>
    <n v="187"/>
    <s v="MUMBAI REGION"/>
    <s v="MUMBAI"/>
    <s v="Maharashtra"/>
    <n v="8"/>
    <x v="1"/>
    <x v="1"/>
    <x v="0"/>
    <x v="0"/>
    <x v="2"/>
    <x v="3"/>
    <x v="1"/>
    <x v="2"/>
    <x v="4"/>
  </r>
  <r>
    <n v="29"/>
    <s v="MUMBAI REGION"/>
    <s v="MUMBAI"/>
    <s v="Maharashtra"/>
    <n v="8"/>
    <x v="2"/>
    <x v="2"/>
    <x v="2"/>
    <x v="3"/>
    <x v="1"/>
    <x v="3"/>
    <x v="2"/>
    <x v="5"/>
    <x v="5"/>
  </r>
  <r>
    <n v="55"/>
    <s v="AHMEDABAD  REGION"/>
    <s v="AHMEDABAD"/>
    <s v="Gujarat"/>
    <n v="5"/>
    <x v="4"/>
    <x v="4"/>
    <x v="1"/>
    <x v="4"/>
    <x v="8"/>
    <x v="6"/>
    <x v="0"/>
    <x v="3"/>
    <x v="3"/>
  </r>
  <r>
    <n v="5188"/>
    <s v="PUNE CITY REGION"/>
    <s v="PUNE CITY"/>
    <s v="Maharashtra"/>
    <n v="8"/>
    <x v="9"/>
    <x v="10"/>
    <x v="0"/>
    <x v="0"/>
    <x v="0"/>
    <x v="0"/>
    <x v="0"/>
    <x v="1"/>
    <x v="0"/>
  </r>
  <r>
    <n v="185"/>
    <s v="MUMBAI REGION"/>
    <s v="MUMBAI"/>
    <s v="Maharashtra"/>
    <n v="8"/>
    <x v="10"/>
    <x v="11"/>
    <x v="0"/>
    <x v="0"/>
    <x v="1"/>
    <x v="2"/>
    <x v="2"/>
    <x v="4"/>
    <x v="4"/>
  </r>
  <r>
    <n v="652"/>
    <s v="PUNE CITY REGION"/>
    <s v="PUNE CITY"/>
    <s v="Maharashtra"/>
    <n v="8"/>
    <x v="10"/>
    <x v="11"/>
    <x v="4"/>
    <x v="1"/>
    <x v="1"/>
    <x v="3"/>
    <x v="1"/>
    <x v="0"/>
    <x v="2"/>
  </r>
  <r>
    <n v="2364"/>
    <s v="PUNE CITY REGION"/>
    <s v="PUNE CITY"/>
    <s v="Maharashtra"/>
    <n v="8"/>
    <x v="4"/>
    <x v="4"/>
    <x v="0"/>
    <x v="0"/>
    <x v="0"/>
    <x v="0"/>
    <x v="1"/>
    <x v="2"/>
    <x v="1"/>
  </r>
  <r>
    <n v="119"/>
    <s v="MUMBAI REGION"/>
    <s v="MUMBAI"/>
    <s v="Maharashtra"/>
    <n v="8"/>
    <x v="4"/>
    <x v="4"/>
    <x v="0"/>
    <x v="1"/>
    <x v="2"/>
    <x v="0"/>
    <x v="0"/>
    <x v="3"/>
    <x v="3"/>
  </r>
  <r>
    <n v="23"/>
    <s v="PUNE CITY REGION"/>
    <s v="PUNE CITY"/>
    <s v="Maharashtra"/>
    <n v="8"/>
    <x v="7"/>
    <x v="8"/>
    <x v="0"/>
    <x v="0"/>
    <x v="0"/>
    <x v="0"/>
    <x v="1"/>
    <x v="1"/>
    <x v="3"/>
  </r>
  <r>
    <n v="638"/>
    <s v="MUMBAI REGION"/>
    <s v="MUMBAI"/>
    <s v="Maharashtra"/>
    <n v="8"/>
    <x v="4"/>
    <x v="4"/>
    <x v="0"/>
    <x v="0"/>
    <x v="0"/>
    <x v="0"/>
    <x v="2"/>
    <x v="5"/>
    <x v="3"/>
  </r>
  <r>
    <n v="129"/>
    <s v="RAIPUR REGION"/>
    <s v="RAIPUR"/>
    <s v="Chhattisgarh"/>
    <n v="2"/>
    <x v="16"/>
    <x v="17"/>
    <x v="1"/>
    <x v="4"/>
    <x v="7"/>
    <x v="1"/>
    <x v="2"/>
    <x v="3"/>
    <x v="3"/>
  </r>
  <r>
    <n v="697"/>
    <s v="PUNE CITY REGION"/>
    <s v="PUNE CITY"/>
    <s v="Maharashtra"/>
    <n v="8"/>
    <x v="16"/>
    <x v="17"/>
    <x v="0"/>
    <x v="0"/>
    <x v="0"/>
    <x v="0"/>
    <x v="0"/>
    <x v="2"/>
    <x v="2"/>
  </r>
  <r>
    <n v="190"/>
    <s v="MUMBAI REGION"/>
    <s v="MUMBAI"/>
    <s v="Maharashtra"/>
    <n v="8"/>
    <x v="12"/>
    <x v="13"/>
    <x v="0"/>
    <x v="0"/>
    <x v="1"/>
    <x v="1"/>
    <x v="2"/>
    <x v="4"/>
    <x v="3"/>
  </r>
  <r>
    <n v="328"/>
    <s v="DELHI REGION"/>
    <s v="DELHI"/>
    <s v="Delhi"/>
    <n v="3"/>
    <x v="3"/>
    <x v="3"/>
    <x v="2"/>
    <x v="3"/>
    <x v="1"/>
    <x v="2"/>
    <x v="0"/>
    <x v="3"/>
    <x v="3"/>
  </r>
  <r>
    <n v="40"/>
    <s v="MUMBAI REGION"/>
    <s v="MUMBAI"/>
    <s v="Maharashtra"/>
    <n v="8"/>
    <x v="17"/>
    <x v="18"/>
    <x v="0"/>
    <x v="0"/>
    <x v="0"/>
    <x v="0"/>
    <x v="5"/>
    <x v="5"/>
    <x v="8"/>
  </r>
  <r>
    <n v="68"/>
    <s v="DELHI REGION"/>
    <s v="DELHI"/>
    <s v="Delhi"/>
    <n v="3"/>
    <x v="2"/>
    <x v="2"/>
    <x v="2"/>
    <x v="4"/>
    <x v="0"/>
    <x v="1"/>
    <x v="5"/>
    <x v="4"/>
    <x v="5"/>
  </r>
  <r>
    <n v="2064"/>
    <s v="KOLHAPUR REGION"/>
    <s v="KOLHAPUR"/>
    <s v="Maharashtra"/>
    <n v="8"/>
    <x v="2"/>
    <x v="2"/>
    <x v="0"/>
    <x v="0"/>
    <x v="0"/>
    <x v="0"/>
    <x v="1"/>
    <x v="2"/>
    <x v="3"/>
  </r>
  <r>
    <n v="2059"/>
    <s v="KOLHAPUR REGION"/>
    <s v="KOLHAPUR"/>
    <s v="Maharashtra"/>
    <n v="8"/>
    <x v="4"/>
    <x v="4"/>
    <x v="0"/>
    <x v="0"/>
    <x v="0"/>
    <x v="0"/>
    <x v="1"/>
    <x v="1"/>
    <x v="3"/>
  </r>
  <r>
    <n v="2062"/>
    <s v="KOLHAPUR REGION"/>
    <s v="KOLHAPUR"/>
    <s v="Maharashtra"/>
    <n v="8"/>
    <x v="4"/>
    <x v="4"/>
    <x v="0"/>
    <x v="0"/>
    <x v="0"/>
    <x v="0"/>
    <x v="1"/>
    <x v="4"/>
    <x v="3"/>
  </r>
  <r>
    <n v="2058"/>
    <s v="KOLHAPUR REGION"/>
    <s v="KOLHAPUR"/>
    <s v="Maharashtra"/>
    <n v="8"/>
    <x v="13"/>
    <x v="14"/>
    <x v="0"/>
    <x v="0"/>
    <x v="0"/>
    <x v="0"/>
    <x v="1"/>
    <x v="1"/>
    <x v="3"/>
  </r>
  <r>
    <n v="2060"/>
    <s v="KOLHAPUR REGION"/>
    <s v="KOLHAPUR"/>
    <s v="Maharashtra"/>
    <n v="8"/>
    <x v="13"/>
    <x v="14"/>
    <x v="0"/>
    <x v="0"/>
    <x v="0"/>
    <x v="0"/>
    <x v="1"/>
    <x v="4"/>
    <x v="3"/>
  </r>
  <r>
    <n v="2063"/>
    <s v="KOLHAPUR REGION"/>
    <s v="KOLHAPUR"/>
    <s v="Maharashtra"/>
    <n v="8"/>
    <x v="13"/>
    <x v="14"/>
    <x v="0"/>
    <x v="0"/>
    <x v="0"/>
    <x v="0"/>
    <x v="1"/>
    <x v="4"/>
    <x v="3"/>
  </r>
  <r>
    <n v="2061"/>
    <s v="KOLHAPUR REGION"/>
    <s v="KOLHAPUR"/>
    <s v="Maharashtra"/>
    <n v="8"/>
    <x v="0"/>
    <x v="5"/>
    <x v="0"/>
    <x v="0"/>
    <x v="0"/>
    <x v="0"/>
    <x v="1"/>
    <x v="4"/>
    <x v="3"/>
  </r>
  <r>
    <n v="2057"/>
    <s v="KOLHAPUR REGION"/>
    <s v="KOLHAPUR"/>
    <s v="Maharashtra"/>
    <n v="8"/>
    <x v="16"/>
    <x v="17"/>
    <x v="0"/>
    <x v="0"/>
    <x v="0"/>
    <x v="0"/>
    <x v="2"/>
    <x v="2"/>
    <x v="3"/>
  </r>
  <r>
    <n v="294"/>
    <s v="PUNE CITY REGION"/>
    <s v="PUNE CITY"/>
    <s v="Maharashtra"/>
    <n v="8"/>
    <x v="16"/>
    <x v="17"/>
    <x v="2"/>
    <x v="3"/>
    <x v="4"/>
    <x v="3"/>
    <x v="1"/>
    <x v="4"/>
    <x v="4"/>
  </r>
  <r>
    <n v="228"/>
    <s v="MUMBAI REGION"/>
    <s v="MUMBAI"/>
    <s v="Maharashtra"/>
    <n v="8"/>
    <x v="4"/>
    <x v="4"/>
    <x v="4"/>
    <x v="2"/>
    <x v="2"/>
    <x v="7"/>
    <x v="7"/>
    <x v="7"/>
    <x v="3"/>
  </r>
  <r>
    <n v="3157"/>
    <s v="PUNE CITY REGION"/>
    <s v="PUNE CITY"/>
    <s v="Maharashtra"/>
    <n v="8"/>
    <x v="4"/>
    <x v="4"/>
    <x v="0"/>
    <x v="0"/>
    <x v="0"/>
    <x v="0"/>
    <x v="0"/>
    <x v="2"/>
    <x v="4"/>
  </r>
  <r>
    <n v="2191"/>
    <s v="DELHI REGION"/>
    <s v="DELHI"/>
    <s v="Delhi"/>
    <n v="3"/>
    <x v="10"/>
    <x v="11"/>
    <x v="0"/>
    <x v="0"/>
    <x v="0"/>
    <x v="0"/>
    <x v="3"/>
    <x v="2"/>
    <x v="1"/>
  </r>
  <r>
    <n v="1279"/>
    <s v="AMRAVATI REGION"/>
    <s v="AMRAVATI"/>
    <s v="Maharashtra"/>
    <n v="8"/>
    <x v="13"/>
    <x v="14"/>
    <x v="0"/>
    <x v="0"/>
    <x v="0"/>
    <x v="3"/>
    <x v="7"/>
    <x v="1"/>
    <x v="4"/>
  </r>
  <r>
    <n v="593"/>
    <s v="BANGALORE REGION"/>
    <s v="BANGALORE"/>
    <s v="Karnataka"/>
    <n v="6"/>
    <x v="11"/>
    <x v="12"/>
    <x v="0"/>
    <x v="0"/>
    <x v="0"/>
    <x v="0"/>
    <x v="7"/>
    <x v="5"/>
    <x v="1"/>
  </r>
  <r>
    <n v="1190"/>
    <s v="PUNE CITY REGION"/>
    <s v="PUNE CITY"/>
    <s v="Maharashtra"/>
    <n v="8"/>
    <x v="11"/>
    <x v="12"/>
    <x v="0"/>
    <x v="0"/>
    <x v="0"/>
    <x v="2"/>
    <x v="1"/>
    <x v="2"/>
    <x v="2"/>
  </r>
  <r>
    <n v="460"/>
    <s v="DELHI REGION"/>
    <s v="DELHI"/>
    <s v="Delhi"/>
    <n v="3"/>
    <x v="11"/>
    <x v="12"/>
    <x v="0"/>
    <x v="0"/>
    <x v="0"/>
    <x v="0"/>
    <x v="0"/>
    <x v="1"/>
    <x v="0"/>
  </r>
  <r>
    <n v="2368"/>
    <s v="KOLHAPUR REGION"/>
    <s v="KOLHAPUR"/>
    <s v="Maharashtra"/>
    <n v="8"/>
    <x v="7"/>
    <x v="8"/>
    <x v="0"/>
    <x v="0"/>
    <x v="0"/>
    <x v="0"/>
    <x v="0"/>
    <x v="1"/>
    <x v="1"/>
  </r>
  <r>
    <n v="516"/>
    <s v="AKOLA REGION"/>
    <s v="AKOLA"/>
    <s v="Maharashtra"/>
    <n v="8"/>
    <x v="7"/>
    <x v="8"/>
    <x v="0"/>
    <x v="0"/>
    <x v="1"/>
    <x v="3"/>
    <x v="2"/>
    <x v="0"/>
    <x v="2"/>
  </r>
  <r>
    <n v="278"/>
    <s v="PUNE CITY REGION"/>
    <s v="PUNE CITY"/>
    <s v="Maharashtra"/>
    <n v="8"/>
    <x v="3"/>
    <x v="3"/>
    <x v="0"/>
    <x v="0"/>
    <x v="0"/>
    <x v="0"/>
    <x v="1"/>
    <x v="1"/>
    <x v="3"/>
  </r>
  <r>
    <n v="215"/>
    <s v="PUNE CITY REGION"/>
    <s v="PUNE CITY"/>
    <s v="Maharashtra"/>
    <n v="8"/>
    <x v="11"/>
    <x v="12"/>
    <x v="2"/>
    <x v="3"/>
    <x v="1"/>
    <x v="2"/>
    <x v="1"/>
    <x v="4"/>
    <x v="2"/>
  </r>
  <r>
    <n v="8"/>
    <s v="NAGPUR REGION"/>
    <s v="NAGPUR"/>
    <s v="Maharashtra"/>
    <n v="8"/>
    <x v="8"/>
    <x v="9"/>
    <x v="0"/>
    <x v="4"/>
    <x v="2"/>
    <x v="2"/>
    <x v="1"/>
    <x v="0"/>
    <x v="0"/>
  </r>
  <r>
    <n v="241"/>
    <s v="MUMBAI REGION"/>
    <s v="MUMBAI"/>
    <s v="Maharashtra"/>
    <n v="8"/>
    <x v="0"/>
    <x v="5"/>
    <x v="2"/>
    <x v="1"/>
    <x v="2"/>
    <x v="1"/>
    <x v="3"/>
    <x v="0"/>
    <x v="2"/>
  </r>
  <r>
    <n v="780"/>
    <s v="BANGALORE REGION"/>
    <s v="BANGALORE"/>
    <s v="Karnataka"/>
    <n v="6"/>
    <x v="10"/>
    <x v="11"/>
    <x v="0"/>
    <x v="0"/>
    <x v="0"/>
    <x v="3"/>
    <x v="3"/>
    <x v="0"/>
    <x v="0"/>
  </r>
  <r>
    <n v="159"/>
    <s v="MUMBAI REGION"/>
    <s v="MUMBAI"/>
    <s v="Maharashtra"/>
    <n v="8"/>
    <x v="10"/>
    <x v="11"/>
    <x v="4"/>
    <x v="4"/>
    <x v="2"/>
    <x v="0"/>
    <x v="0"/>
    <x v="3"/>
    <x v="3"/>
  </r>
  <r>
    <n v="1102"/>
    <s v="BANGALORE REGION"/>
    <s v="BANGALORE"/>
    <s v="Karnataka"/>
    <n v="6"/>
    <x v="2"/>
    <x v="2"/>
    <x v="0"/>
    <x v="0"/>
    <x v="0"/>
    <x v="0"/>
    <x v="3"/>
    <x v="1"/>
    <x v="0"/>
  </r>
  <r>
    <n v="218"/>
    <s v="MUMBAI REGION"/>
    <s v="MUMBAI"/>
    <s v="Maharashtra"/>
    <n v="8"/>
    <x v="2"/>
    <x v="2"/>
    <x v="0"/>
    <x v="0"/>
    <x v="0"/>
    <x v="0"/>
    <x v="3"/>
    <x v="1"/>
    <x v="4"/>
  </r>
  <r>
    <n v="36"/>
    <s v="CHANDIGARH REGION"/>
    <s v="CHANDIGARH"/>
    <s v="Punjab&amp;Haryana"/>
    <n v="10"/>
    <x v="2"/>
    <x v="2"/>
    <x v="0"/>
    <x v="0"/>
    <x v="0"/>
    <x v="0"/>
    <x v="3"/>
    <x v="0"/>
    <x v="3"/>
  </r>
  <r>
    <n v="161"/>
    <s v="CHANDIGARH REGION"/>
    <s v="CHANDIGARH"/>
    <s v="Punjab&amp;Haryana"/>
    <n v="10"/>
    <x v="11"/>
    <x v="12"/>
    <x v="0"/>
    <x v="0"/>
    <x v="0"/>
    <x v="7"/>
    <x v="5"/>
    <x v="5"/>
    <x v="5"/>
  </r>
  <r>
    <n v="2392"/>
    <s v="NAGPUR REGION"/>
    <s v="NAGPUR"/>
    <s v="Maharashtra"/>
    <n v="8"/>
    <x v="0"/>
    <x v="5"/>
    <x v="0"/>
    <x v="0"/>
    <x v="0"/>
    <x v="0"/>
    <x v="0"/>
    <x v="2"/>
    <x v="4"/>
  </r>
  <r>
    <n v="1864"/>
    <s v="PUNE CITY REGION"/>
    <s v="PUNE CITY"/>
    <s v="Maharashtra"/>
    <n v="8"/>
    <x v="8"/>
    <x v="9"/>
    <x v="0"/>
    <x v="0"/>
    <x v="1"/>
    <x v="2"/>
    <x v="1"/>
    <x v="4"/>
    <x v="1"/>
  </r>
  <r>
    <n v="7"/>
    <s v="MUMBAI REGION"/>
    <s v="MUMBAI"/>
    <s v="Maharashtra"/>
    <n v="8"/>
    <x v="15"/>
    <x v="16"/>
    <x v="0"/>
    <x v="4"/>
    <x v="2"/>
    <x v="2"/>
    <x v="1"/>
    <x v="1"/>
    <x v="4"/>
  </r>
  <r>
    <n v="2870"/>
    <s v="HYDERABAD REGION"/>
    <s v="HYDERABAD"/>
    <s v="Andhra Pradesh"/>
    <n v="1"/>
    <x v="15"/>
    <x v="16"/>
    <x v="0"/>
    <x v="0"/>
    <x v="0"/>
    <x v="2"/>
    <x v="2"/>
    <x v="2"/>
    <x v="3"/>
  </r>
  <r>
    <n v="747"/>
    <s v="BANGALORE REGION"/>
    <s v="BANGALORE"/>
    <s v="Karnataka"/>
    <n v="6"/>
    <x v="2"/>
    <x v="2"/>
    <x v="0"/>
    <x v="0"/>
    <x v="0"/>
    <x v="0"/>
    <x v="0"/>
    <x v="2"/>
    <x v="0"/>
  </r>
  <r>
    <n v="1159"/>
    <s v="HYDERABAD REGION"/>
    <s v="HYDERABAD"/>
    <s v="Andhra Pradesh"/>
    <n v="1"/>
    <x v="1"/>
    <x v="1"/>
    <x v="5"/>
    <x v="1"/>
    <x v="1"/>
    <x v="0"/>
    <x v="0"/>
    <x v="3"/>
    <x v="3"/>
  </r>
  <r>
    <n v="855"/>
    <s v="RAIPUR REGION"/>
    <s v="RAIPUR"/>
    <s v="Chhattisgarh"/>
    <n v="2"/>
    <x v="0"/>
    <x v="5"/>
    <x v="0"/>
    <x v="0"/>
    <x v="0"/>
    <x v="2"/>
    <x v="3"/>
    <x v="2"/>
    <x v="0"/>
  </r>
  <r>
    <n v="362"/>
    <s v="DELHI REGION"/>
    <s v="DELHI"/>
    <s v="Delhi"/>
    <n v="3"/>
    <x v="2"/>
    <x v="2"/>
    <x v="2"/>
    <x v="3"/>
    <x v="1"/>
    <x v="3"/>
    <x v="0"/>
    <x v="3"/>
    <x v="3"/>
  </r>
  <r>
    <n v="1160"/>
    <s v="SOLAPUR REGION"/>
    <s v="SOLAPUR"/>
    <s v="Maharashtra"/>
    <n v="8"/>
    <x v="6"/>
    <x v="7"/>
    <x v="2"/>
    <x v="3"/>
    <x v="1"/>
    <x v="0"/>
    <x v="0"/>
    <x v="3"/>
    <x v="3"/>
  </r>
  <r>
    <n v="2220"/>
    <s v="HYDERABAD REGION"/>
    <s v="HYDERABAD"/>
    <s v="Andhra Pradesh"/>
    <n v="1"/>
    <x v="16"/>
    <x v="17"/>
    <x v="0"/>
    <x v="0"/>
    <x v="0"/>
    <x v="0"/>
    <x v="1"/>
    <x v="0"/>
    <x v="3"/>
  </r>
  <r>
    <n v="1053"/>
    <s v="RAIPUR REGION"/>
    <s v="RAIPUR"/>
    <s v="Chhattisgarh"/>
    <n v="2"/>
    <x v="16"/>
    <x v="17"/>
    <x v="0"/>
    <x v="0"/>
    <x v="0"/>
    <x v="0"/>
    <x v="7"/>
    <x v="1"/>
    <x v="2"/>
  </r>
  <r>
    <n v="2106"/>
    <s v="NAGPUR REGION"/>
    <s v="NAGPUR"/>
    <s v="Maharashtra"/>
    <n v="8"/>
    <x v="6"/>
    <x v="7"/>
    <x v="0"/>
    <x v="4"/>
    <x v="4"/>
    <x v="1"/>
    <x v="2"/>
    <x v="2"/>
    <x v="0"/>
  </r>
  <r>
    <n v="782"/>
    <s v="CHENNAI REGION"/>
    <s v="CHENNAI"/>
    <s v="Tamil Nadu"/>
    <n v="12"/>
    <x v="6"/>
    <x v="7"/>
    <x v="0"/>
    <x v="0"/>
    <x v="0"/>
    <x v="2"/>
    <x v="1"/>
    <x v="0"/>
    <x v="2"/>
  </r>
  <r>
    <n v="3"/>
    <s v="PUNE CITY REGION"/>
    <s v="PUNE CITY"/>
    <s v="Maharashtra"/>
    <n v="8"/>
    <x v="11"/>
    <x v="12"/>
    <x v="4"/>
    <x v="6"/>
    <x v="0"/>
    <x v="0"/>
    <x v="0"/>
    <x v="3"/>
    <x v="3"/>
  </r>
  <r>
    <n v="61"/>
    <s v="DELHI REGION"/>
    <s v="DELHI"/>
    <s v="Delhi"/>
    <n v="3"/>
    <x v="2"/>
    <x v="2"/>
    <x v="2"/>
    <x v="3"/>
    <x v="0"/>
    <x v="0"/>
    <x v="0"/>
    <x v="3"/>
    <x v="3"/>
  </r>
  <r>
    <n v="506"/>
    <s v="DELHI REGION"/>
    <s v="DELHI"/>
    <s v="Delhi"/>
    <n v="3"/>
    <x v="10"/>
    <x v="11"/>
    <x v="2"/>
    <x v="3"/>
    <x v="1"/>
    <x v="2"/>
    <x v="3"/>
    <x v="0"/>
    <x v="0"/>
  </r>
  <r>
    <n v="1085"/>
    <s v="PUNE CITY REGION"/>
    <s v="PUNE CITY"/>
    <s v="Maharashtra"/>
    <n v="8"/>
    <x v="1"/>
    <x v="1"/>
    <x v="0"/>
    <x v="0"/>
    <x v="0"/>
    <x v="0"/>
    <x v="7"/>
    <x v="5"/>
    <x v="5"/>
  </r>
  <r>
    <n v="1418"/>
    <s v="PUNE CITY REGION"/>
    <s v="PUNE CITY"/>
    <s v="Maharashtra"/>
    <n v="8"/>
    <x v="7"/>
    <x v="8"/>
    <x v="0"/>
    <x v="0"/>
    <x v="7"/>
    <x v="7"/>
    <x v="8"/>
    <x v="6"/>
    <x v="6"/>
  </r>
  <r>
    <n v="26"/>
    <s v="DELHI REGION"/>
    <s v="DELHI"/>
    <s v="Delhi"/>
    <n v="3"/>
    <x v="14"/>
    <x v="15"/>
    <x v="2"/>
    <x v="3"/>
    <x v="1"/>
    <x v="2"/>
    <x v="1"/>
    <x v="2"/>
    <x v="1"/>
  </r>
  <r>
    <n v="962"/>
    <s v="HYDERABAD REGION"/>
    <s v="HYDERABAD"/>
    <s v="Andhra Pradesh"/>
    <n v="1"/>
    <x v="1"/>
    <x v="1"/>
    <x v="0"/>
    <x v="0"/>
    <x v="0"/>
    <x v="0"/>
    <x v="1"/>
    <x v="0"/>
    <x v="0"/>
  </r>
  <r>
    <n v="189"/>
    <s v="CHANDRAPUR REGION"/>
    <s v="CHANDIGARH"/>
    <s v="Punjab"/>
    <n v="9"/>
    <x v="12"/>
    <x v="13"/>
    <x v="0"/>
    <x v="0"/>
    <x v="0"/>
    <x v="1"/>
    <x v="3"/>
    <x v="1"/>
    <x v="4"/>
  </r>
  <r>
    <n v="63"/>
    <s v="SOLAPUR REGION"/>
    <s v="SOLAPUR"/>
    <s v="Maharashtra"/>
    <n v="8"/>
    <x v="5"/>
    <x v="6"/>
    <x v="0"/>
    <x v="0"/>
    <x v="0"/>
    <x v="0"/>
    <x v="5"/>
    <x v="4"/>
    <x v="5"/>
  </r>
  <r>
    <n v="202"/>
    <s v="NAGPUR REGION"/>
    <s v="NAGPUR"/>
    <s v="Maharashtra"/>
    <n v="8"/>
    <x v="3"/>
    <x v="3"/>
    <x v="2"/>
    <x v="3"/>
    <x v="1"/>
    <x v="2"/>
    <x v="3"/>
    <x v="4"/>
    <x v="0"/>
  </r>
  <r>
    <n v="156"/>
    <s v="DELHI REGION"/>
    <s v="DELHI"/>
    <s v="Delhi"/>
    <n v="3"/>
    <x v="0"/>
    <x v="5"/>
    <x v="0"/>
    <x v="0"/>
    <x v="1"/>
    <x v="7"/>
    <x v="3"/>
    <x v="4"/>
    <x v="4"/>
  </r>
  <r>
    <n v="2533"/>
    <s v="PUNE CITY REGION"/>
    <s v="PUNE CITY"/>
    <s v="Maharashtra"/>
    <n v="8"/>
    <x v="2"/>
    <x v="2"/>
    <x v="0"/>
    <x v="0"/>
    <x v="0"/>
    <x v="0"/>
    <x v="0"/>
    <x v="0"/>
    <x v="0"/>
  </r>
  <r>
    <n v="2023"/>
    <s v="PUNE CITY REGION"/>
    <s v="PUNE CITY"/>
    <s v="Maharashtra"/>
    <n v="8"/>
    <x v="13"/>
    <x v="14"/>
    <x v="0"/>
    <x v="0"/>
    <x v="0"/>
    <x v="2"/>
    <x v="1"/>
    <x v="0"/>
    <x v="3"/>
  </r>
  <r>
    <n v="1161"/>
    <s v="AHMEDABAD  REGION"/>
    <s v="AHMEDABAD"/>
    <s v="Gujarat"/>
    <n v="5"/>
    <x v="10"/>
    <x v="11"/>
    <x v="0"/>
    <x v="0"/>
    <x v="0"/>
    <x v="0"/>
    <x v="3"/>
    <x v="4"/>
    <x v="4"/>
  </r>
  <r>
    <n v="927"/>
    <s v="HYDERABAD REGION"/>
    <s v="HYDERABAD"/>
    <s v="Andhra Pradesh"/>
    <n v="1"/>
    <x v="7"/>
    <x v="8"/>
    <x v="0"/>
    <x v="0"/>
    <x v="0"/>
    <x v="0"/>
    <x v="1"/>
    <x v="4"/>
    <x v="1"/>
  </r>
  <r>
    <n v="254"/>
    <s v="HYDERABAD REGION"/>
    <s v="HYDERABAD"/>
    <s v="Andhra Pradesh"/>
    <n v="1"/>
    <x v="2"/>
    <x v="2"/>
    <x v="0"/>
    <x v="0"/>
    <x v="0"/>
    <x v="0"/>
    <x v="0"/>
    <x v="2"/>
    <x v="0"/>
  </r>
  <r>
    <n v="872"/>
    <s v="NAGPUR REGION"/>
    <s v="NAGPUR"/>
    <s v="Maharashtra"/>
    <n v="8"/>
    <x v="2"/>
    <x v="2"/>
    <x v="0"/>
    <x v="0"/>
    <x v="4"/>
    <x v="1"/>
    <x v="5"/>
    <x v="5"/>
    <x v="2"/>
  </r>
  <r>
    <n v="26"/>
    <s v="NASIK REGION"/>
    <s v="NASIK"/>
    <s v="Maharashtra"/>
    <n v="8"/>
    <x v="4"/>
    <x v="4"/>
    <x v="0"/>
    <x v="1"/>
    <x v="1"/>
    <x v="2"/>
    <x v="1"/>
    <x v="2"/>
    <x v="1"/>
  </r>
  <r>
    <n v="734"/>
    <s v="NASIK REGION"/>
    <s v="NASIK"/>
    <s v="Maharashtra"/>
    <n v="8"/>
    <x v="11"/>
    <x v="12"/>
    <x v="0"/>
    <x v="0"/>
    <x v="0"/>
    <x v="0"/>
    <x v="5"/>
    <x v="4"/>
    <x v="5"/>
  </r>
  <r>
    <n v="998"/>
    <s v="NASIK REGION"/>
    <s v="NASIK"/>
    <s v="Maharashtra"/>
    <n v="8"/>
    <x v="10"/>
    <x v="11"/>
    <x v="5"/>
    <x v="3"/>
    <x v="1"/>
    <x v="2"/>
    <x v="1"/>
    <x v="0"/>
    <x v="0"/>
  </r>
  <r>
    <n v="552"/>
    <s v="RAIGAD REGION"/>
    <s v="RAIGAD"/>
    <s v="Maharashtra"/>
    <n v="8"/>
    <x v="1"/>
    <x v="1"/>
    <x v="0"/>
    <x v="3"/>
    <x v="1"/>
    <x v="2"/>
    <x v="3"/>
    <x v="3"/>
    <x v="3"/>
  </r>
  <r>
    <n v="17"/>
    <s v="BANGALORE REGION"/>
    <s v="BANGALORE"/>
    <s v="Karnataka"/>
    <n v="6"/>
    <x v="2"/>
    <x v="2"/>
    <x v="0"/>
    <x v="0"/>
    <x v="0"/>
    <x v="0"/>
    <x v="0"/>
    <x v="0"/>
    <x v="0"/>
  </r>
  <r>
    <n v="1525"/>
    <s v="DELHI REGION"/>
    <s v="DELHI"/>
    <s v="Delhi"/>
    <n v="3"/>
    <x v="4"/>
    <x v="4"/>
    <x v="0"/>
    <x v="0"/>
    <x v="0"/>
    <x v="0"/>
    <x v="0"/>
    <x v="1"/>
    <x v="2"/>
  </r>
  <r>
    <n v="167"/>
    <s v="INDORE REGION"/>
    <s v="INDORE"/>
    <s v="Madhya Pradesh"/>
    <n v="7"/>
    <x v="9"/>
    <x v="10"/>
    <x v="2"/>
    <x v="3"/>
    <x v="1"/>
    <x v="2"/>
    <x v="1"/>
    <x v="1"/>
    <x v="4"/>
  </r>
  <r>
    <n v="1444"/>
    <s v="CHENNAI REGION"/>
    <s v="CHENNAI"/>
    <s v="Tamil Nadu"/>
    <n v="12"/>
    <x v="10"/>
    <x v="11"/>
    <x v="1"/>
    <x v="1"/>
    <x v="2"/>
    <x v="0"/>
    <x v="0"/>
    <x v="3"/>
    <x v="3"/>
  </r>
  <r>
    <n v="409"/>
    <s v="PUNE CITY REGION"/>
    <s v="PUNE CITY"/>
    <s v="Maharashtra"/>
    <n v="8"/>
    <x v="10"/>
    <x v="11"/>
    <x v="0"/>
    <x v="0"/>
    <x v="0"/>
    <x v="0"/>
    <x v="0"/>
    <x v="1"/>
    <x v="4"/>
  </r>
  <r>
    <n v="668"/>
    <s v="PUNE CITY REGION"/>
    <s v="PUNE CITY"/>
    <s v="Maharashtra"/>
    <n v="8"/>
    <x v="4"/>
    <x v="4"/>
    <x v="0"/>
    <x v="0"/>
    <x v="0"/>
    <x v="0"/>
    <x v="2"/>
    <x v="2"/>
    <x v="2"/>
  </r>
  <r>
    <n v="2603"/>
    <s v="AURANGABAD REGION"/>
    <s v="AURANGABAD"/>
    <s v="Maharashtra"/>
    <n v="8"/>
    <x v="4"/>
    <x v="4"/>
    <x v="0"/>
    <x v="0"/>
    <x v="0"/>
    <x v="0"/>
    <x v="2"/>
    <x v="4"/>
    <x v="5"/>
  </r>
  <r>
    <n v="670"/>
    <s v="BHOPAL REGION"/>
    <s v="BHOPAL"/>
    <s v="Madhya Pradesh"/>
    <n v="7"/>
    <x v="7"/>
    <x v="8"/>
    <x v="4"/>
    <x v="2"/>
    <x v="5"/>
    <x v="4"/>
    <x v="0"/>
    <x v="3"/>
    <x v="3"/>
  </r>
  <r>
    <n v="284"/>
    <s v="BANGALORE REGION"/>
    <s v="BANGALORE"/>
    <s v="Karnataka"/>
    <n v="6"/>
    <x v="4"/>
    <x v="4"/>
    <x v="0"/>
    <x v="0"/>
    <x v="0"/>
    <x v="0"/>
    <x v="3"/>
    <x v="2"/>
    <x v="4"/>
  </r>
  <r>
    <n v="93"/>
    <s v="NAGPUR REGION"/>
    <s v="NAGPUR"/>
    <s v="Maharashtra"/>
    <n v="8"/>
    <x v="12"/>
    <x v="13"/>
    <x v="5"/>
    <x v="4"/>
    <x v="2"/>
    <x v="7"/>
    <x v="1"/>
    <x v="2"/>
    <x v="4"/>
  </r>
  <r>
    <n v="92"/>
    <s v="NAGPUR REGION"/>
    <s v="NAGPUR"/>
    <s v="Maharashtra"/>
    <n v="8"/>
    <x v="12"/>
    <x v="13"/>
    <x v="5"/>
    <x v="4"/>
    <x v="4"/>
    <x v="7"/>
    <x v="5"/>
    <x v="1"/>
    <x v="2"/>
  </r>
  <r>
    <n v="2178"/>
    <s v="RATNAGIRI REGION"/>
    <s v="RATNAGIRI"/>
    <s v="Maharashtra"/>
    <n v="8"/>
    <x v="6"/>
    <x v="7"/>
    <x v="0"/>
    <x v="0"/>
    <x v="0"/>
    <x v="0"/>
    <x v="1"/>
    <x v="4"/>
    <x v="3"/>
  </r>
  <r>
    <n v="51"/>
    <s v="NASIK REGION"/>
    <s v="NASIK"/>
    <s v="Maharashtra"/>
    <n v="8"/>
    <x v="6"/>
    <x v="7"/>
    <x v="0"/>
    <x v="0"/>
    <x v="3"/>
    <x v="4"/>
    <x v="6"/>
    <x v="5"/>
    <x v="5"/>
  </r>
  <r>
    <n v="681"/>
    <s v="DELHI REGION"/>
    <s v="DELHI"/>
    <s v="Delhi"/>
    <n v="3"/>
    <x v="1"/>
    <x v="1"/>
    <x v="0"/>
    <x v="0"/>
    <x v="1"/>
    <x v="2"/>
    <x v="0"/>
    <x v="3"/>
    <x v="3"/>
  </r>
  <r>
    <n v="866"/>
    <s v="DELHI REGION"/>
    <s v="DELHI"/>
    <s v="Delhi"/>
    <n v="3"/>
    <x v="1"/>
    <x v="1"/>
    <x v="0"/>
    <x v="0"/>
    <x v="0"/>
    <x v="0"/>
    <x v="3"/>
    <x v="0"/>
    <x v="0"/>
  </r>
  <r>
    <n v="1750"/>
    <s v="NASIK REGION"/>
    <s v="NASIK"/>
    <s v="Maharashtra"/>
    <n v="8"/>
    <x v="7"/>
    <x v="8"/>
    <x v="0"/>
    <x v="0"/>
    <x v="0"/>
    <x v="0"/>
    <x v="0"/>
    <x v="0"/>
    <x v="0"/>
  </r>
  <r>
    <n v="2035"/>
    <s v="NASIK REGION"/>
    <s v="NASIK"/>
    <s v="Maharashtra"/>
    <n v="8"/>
    <x v="15"/>
    <x v="16"/>
    <x v="0"/>
    <x v="0"/>
    <x v="0"/>
    <x v="3"/>
    <x v="1"/>
    <x v="0"/>
    <x v="3"/>
  </r>
  <r>
    <n v="756"/>
    <s v="DELHI REGION"/>
    <s v="DELHI"/>
    <s v="Delhi"/>
    <n v="3"/>
    <x v="15"/>
    <x v="16"/>
    <x v="0"/>
    <x v="0"/>
    <x v="0"/>
    <x v="0"/>
    <x v="0"/>
    <x v="2"/>
    <x v="2"/>
  </r>
  <r>
    <n v="211"/>
    <s v="MUMBAI REGION"/>
    <s v="MUMBAI"/>
    <s v="Maharashtra"/>
    <n v="8"/>
    <x v="3"/>
    <x v="3"/>
    <x v="0"/>
    <x v="0"/>
    <x v="0"/>
    <x v="2"/>
    <x v="2"/>
    <x v="0"/>
    <x v="4"/>
  </r>
  <r>
    <n v="273"/>
    <s v="MUMBAI REGION"/>
    <s v="MUMBAI"/>
    <s v="Maharashtra"/>
    <n v="8"/>
    <x v="3"/>
    <x v="3"/>
    <x v="2"/>
    <x v="1"/>
    <x v="2"/>
    <x v="3"/>
    <x v="0"/>
    <x v="1"/>
    <x v="4"/>
  </r>
  <r>
    <n v="10"/>
    <s v="PUNE CITY REGION"/>
    <s v="PUNE CITY"/>
    <s v="Maharashtra"/>
    <n v="8"/>
    <x v="0"/>
    <x v="5"/>
    <x v="5"/>
    <x v="4"/>
    <x v="2"/>
    <x v="3"/>
    <x v="3"/>
    <x v="1"/>
    <x v="3"/>
  </r>
  <r>
    <n v="304"/>
    <s v="MUMBAI REGION"/>
    <s v="MUMBAI"/>
    <s v="Maharashtra"/>
    <n v="8"/>
    <x v="4"/>
    <x v="4"/>
    <x v="0"/>
    <x v="0"/>
    <x v="0"/>
    <x v="0"/>
    <x v="1"/>
    <x v="1"/>
    <x v="3"/>
  </r>
  <r>
    <n v="546"/>
    <s v="MUMBAI REGION"/>
    <s v="MUMBAI"/>
    <s v="Maharashtra"/>
    <n v="8"/>
    <x v="4"/>
    <x v="4"/>
    <x v="0"/>
    <x v="0"/>
    <x v="0"/>
    <x v="2"/>
    <x v="3"/>
    <x v="3"/>
    <x v="3"/>
  </r>
  <r>
    <n v="2582"/>
    <s v="PUNE CITY REGION"/>
    <s v="PUNE CITY"/>
    <s v="Maharashtra"/>
    <n v="8"/>
    <x v="4"/>
    <x v="4"/>
    <x v="0"/>
    <x v="0"/>
    <x v="0"/>
    <x v="0"/>
    <x v="0"/>
    <x v="1"/>
    <x v="2"/>
  </r>
  <r>
    <n v="1031"/>
    <s v="PUNE CITY REGION"/>
    <s v="PUNE CITY"/>
    <s v="Maharashtra"/>
    <n v="8"/>
    <x v="10"/>
    <x v="11"/>
    <x v="0"/>
    <x v="0"/>
    <x v="4"/>
    <x v="2"/>
    <x v="1"/>
    <x v="2"/>
    <x v="2"/>
  </r>
  <r>
    <n v="2012"/>
    <s v="PUNE CITY REGION"/>
    <s v="PUNE CITY"/>
    <s v="Maharashtra"/>
    <n v="8"/>
    <x v="11"/>
    <x v="12"/>
    <x v="0"/>
    <x v="0"/>
    <x v="0"/>
    <x v="2"/>
    <x v="3"/>
    <x v="3"/>
    <x v="3"/>
  </r>
  <r>
    <n v="2513"/>
    <s v="PUNE CITY REGION"/>
    <s v="PUNE CITY"/>
    <s v="Maharashtra"/>
    <n v="8"/>
    <x v="11"/>
    <x v="12"/>
    <x v="0"/>
    <x v="0"/>
    <x v="0"/>
    <x v="0"/>
    <x v="0"/>
    <x v="1"/>
    <x v="2"/>
  </r>
  <r>
    <n v="1415"/>
    <s v="HYDERABAD REGION"/>
    <s v="HYDERABAD"/>
    <s v="Andhra Pradesh"/>
    <n v="1"/>
    <x v="13"/>
    <x v="14"/>
    <x v="0"/>
    <x v="0"/>
    <x v="0"/>
    <x v="0"/>
    <x v="0"/>
    <x v="1"/>
    <x v="2"/>
  </r>
  <r>
    <n v="334"/>
    <s v="MUMBAI REGION"/>
    <s v="MUMBAI"/>
    <s v="Maharashtra"/>
    <n v="8"/>
    <x v="13"/>
    <x v="14"/>
    <x v="0"/>
    <x v="0"/>
    <x v="0"/>
    <x v="3"/>
    <x v="7"/>
    <x v="5"/>
    <x v="3"/>
  </r>
  <r>
    <n v="330"/>
    <s v="MUMBAI REGION"/>
    <s v="MUMBAI"/>
    <s v="Maharashtra"/>
    <n v="8"/>
    <x v="13"/>
    <x v="14"/>
    <x v="0"/>
    <x v="0"/>
    <x v="0"/>
    <x v="0"/>
    <x v="3"/>
    <x v="2"/>
    <x v="3"/>
  </r>
  <r>
    <n v="1375"/>
    <s v="PUNE CITY REGION"/>
    <s v="PUNE CITY"/>
    <s v="Maharashtra"/>
    <n v="8"/>
    <x v="13"/>
    <x v="14"/>
    <x v="0"/>
    <x v="0"/>
    <x v="0"/>
    <x v="0"/>
    <x v="0"/>
    <x v="2"/>
    <x v="2"/>
  </r>
  <r>
    <n v="1211"/>
    <s v="MUMBAI REGION"/>
    <s v="MUMBAI"/>
    <s v="Maharashtra"/>
    <n v="8"/>
    <x v="11"/>
    <x v="12"/>
    <x v="0"/>
    <x v="1"/>
    <x v="2"/>
    <x v="3"/>
    <x v="0"/>
    <x v="3"/>
    <x v="3"/>
  </r>
  <r>
    <n v="62"/>
    <s v="KOLKATTA REGION"/>
    <s v="KOLKATA"/>
    <s v="West Bengal"/>
    <n v="14"/>
    <x v="11"/>
    <x v="12"/>
    <x v="6"/>
    <x v="2"/>
    <x v="1"/>
    <x v="3"/>
    <x v="0"/>
    <x v="3"/>
    <x v="3"/>
  </r>
  <r>
    <n v="1637"/>
    <s v="SOLAPUR REGION"/>
    <s v="SOLAPUR"/>
    <s v="Maharashtra"/>
    <n v="8"/>
    <x v="14"/>
    <x v="15"/>
    <x v="0"/>
    <x v="0"/>
    <x v="1"/>
    <x v="3"/>
    <x v="2"/>
    <x v="4"/>
    <x v="3"/>
  </r>
  <r>
    <n v="3011"/>
    <s v="PUNE RURAL REGION"/>
    <s v="PUNE RURAL"/>
    <s v="Maharashtra"/>
    <n v="8"/>
    <x v="14"/>
    <x v="15"/>
    <x v="0"/>
    <x v="0"/>
    <x v="0"/>
    <x v="7"/>
    <x v="1"/>
    <x v="1"/>
    <x v="1"/>
  </r>
  <r>
    <n v="1122"/>
    <s v="NASIK REGION"/>
    <s v="NASIK"/>
    <s v="Maharashtra"/>
    <n v="8"/>
    <x v="16"/>
    <x v="17"/>
    <x v="0"/>
    <x v="0"/>
    <x v="0"/>
    <x v="0"/>
    <x v="2"/>
    <x v="2"/>
    <x v="4"/>
  </r>
  <r>
    <n v="3566"/>
    <s v="AURANGABAD REGION"/>
    <s v="AURANGABAD"/>
    <s v="Maharashtra"/>
    <n v="8"/>
    <x v="16"/>
    <x v="17"/>
    <x v="0"/>
    <x v="0"/>
    <x v="0"/>
    <x v="0"/>
    <x v="0"/>
    <x v="2"/>
    <x v="4"/>
  </r>
  <r>
    <n v="59"/>
    <s v="PUNE CITY REGION"/>
    <s v="PUNE CITY"/>
    <s v="Maharashtra"/>
    <n v="8"/>
    <x v="16"/>
    <x v="17"/>
    <x v="4"/>
    <x v="6"/>
    <x v="8"/>
    <x v="4"/>
    <x v="0"/>
    <x v="3"/>
    <x v="3"/>
  </r>
  <r>
    <n v="1611"/>
    <s v="NASIK REGION"/>
    <s v="NASIK"/>
    <s v="Maharashtra"/>
    <n v="8"/>
    <x v="4"/>
    <x v="4"/>
    <x v="0"/>
    <x v="0"/>
    <x v="0"/>
    <x v="2"/>
    <x v="1"/>
    <x v="2"/>
    <x v="4"/>
  </r>
  <r>
    <n v="605"/>
    <s v="MUMBAI REGION"/>
    <s v="MUMBAI"/>
    <s v="Maharashtra"/>
    <n v="8"/>
    <x v="4"/>
    <x v="4"/>
    <x v="2"/>
    <x v="3"/>
    <x v="2"/>
    <x v="2"/>
    <x v="1"/>
    <x v="0"/>
    <x v="2"/>
  </r>
  <r>
    <n v="135"/>
    <s v="THANE REGION"/>
    <s v="THANE"/>
    <s v="Maharashtra"/>
    <n v="8"/>
    <x v="7"/>
    <x v="8"/>
    <x v="0"/>
    <x v="3"/>
    <x v="2"/>
    <x v="1"/>
    <x v="1"/>
    <x v="2"/>
    <x v="4"/>
  </r>
  <r>
    <n v="968"/>
    <s v="PUNE CITY REGION"/>
    <s v="PUNE CITY"/>
    <s v="Maharashtra"/>
    <n v="8"/>
    <x v="4"/>
    <x v="4"/>
    <x v="0"/>
    <x v="0"/>
    <x v="0"/>
    <x v="2"/>
    <x v="3"/>
    <x v="1"/>
    <x v="0"/>
  </r>
  <r>
    <n v="406"/>
    <s v="NASIK REGION"/>
    <s v="NASIK"/>
    <s v="Maharashtra"/>
    <n v="8"/>
    <x v="12"/>
    <x v="13"/>
    <x v="0"/>
    <x v="0"/>
    <x v="0"/>
    <x v="8"/>
    <x v="5"/>
    <x v="1"/>
    <x v="0"/>
  </r>
  <r>
    <n v="2223"/>
    <s v="LATUR REGION"/>
    <s v="LATUR"/>
    <s v="Maharashtra"/>
    <n v="8"/>
    <x v="12"/>
    <x v="13"/>
    <x v="0"/>
    <x v="0"/>
    <x v="0"/>
    <x v="2"/>
    <x v="3"/>
    <x v="0"/>
    <x v="0"/>
  </r>
  <r>
    <n v="236"/>
    <s v="MUMBAI REGION"/>
    <s v="MUMBAI"/>
    <s v="Maharashtra"/>
    <n v="8"/>
    <x v="6"/>
    <x v="7"/>
    <x v="0"/>
    <x v="0"/>
    <x v="0"/>
    <x v="0"/>
    <x v="0"/>
    <x v="1"/>
    <x v="4"/>
  </r>
  <r>
    <n v="58"/>
    <s v="DELHI REGION"/>
    <s v="DELHI"/>
    <s v="Delhi"/>
    <n v="3"/>
    <x v="6"/>
    <x v="7"/>
    <x v="0"/>
    <x v="0"/>
    <x v="0"/>
    <x v="2"/>
    <x v="1"/>
    <x v="0"/>
    <x v="3"/>
  </r>
  <r>
    <n v="1179"/>
    <s v="PUNE CITY REGION"/>
    <s v="PUNE CITY"/>
    <s v="Maharashtra"/>
    <n v="8"/>
    <x v="1"/>
    <x v="1"/>
    <x v="0"/>
    <x v="3"/>
    <x v="1"/>
    <x v="3"/>
    <x v="0"/>
    <x v="3"/>
    <x v="3"/>
  </r>
  <r>
    <n v="130"/>
    <s v="PUNE CITY REGION"/>
    <s v="PUNE CITY"/>
    <s v="Maharashtra"/>
    <n v="8"/>
    <x v="1"/>
    <x v="1"/>
    <x v="0"/>
    <x v="0"/>
    <x v="1"/>
    <x v="3"/>
    <x v="3"/>
    <x v="0"/>
    <x v="3"/>
  </r>
  <r>
    <n v="427"/>
    <s v="LUCKNOW REGION"/>
    <s v="LUCKNOW"/>
    <s v="Uttar Pradesh"/>
    <n v="13"/>
    <x v="7"/>
    <x v="8"/>
    <x v="0"/>
    <x v="0"/>
    <x v="0"/>
    <x v="0"/>
    <x v="3"/>
    <x v="0"/>
    <x v="0"/>
  </r>
  <r>
    <n v="2798"/>
    <s v="PUNE CITY REGION"/>
    <s v="PUNE CITY"/>
    <s v="Maharashtra"/>
    <n v="8"/>
    <x v="15"/>
    <x v="16"/>
    <x v="2"/>
    <x v="4"/>
    <x v="1"/>
    <x v="2"/>
    <x v="3"/>
    <x v="0"/>
    <x v="3"/>
  </r>
  <r>
    <n v="1119"/>
    <s v="MUMBAI REGION"/>
    <s v="MUMBAI"/>
    <s v="Maharashtra"/>
    <n v="8"/>
    <x v="15"/>
    <x v="16"/>
    <x v="0"/>
    <x v="0"/>
    <x v="0"/>
    <x v="0"/>
    <x v="3"/>
    <x v="1"/>
    <x v="4"/>
  </r>
  <r>
    <n v="1"/>
    <s v="MUMBAI REGION"/>
    <s v="MUMBAI"/>
    <s v="Maharashtra"/>
    <n v="8"/>
    <x v="3"/>
    <x v="3"/>
    <x v="5"/>
    <x v="1"/>
    <x v="2"/>
    <x v="2"/>
    <x v="2"/>
    <x v="2"/>
    <x v="1"/>
  </r>
  <r>
    <n v="385"/>
    <s v="MUMBAI REGION"/>
    <s v="MUMBAI"/>
    <s v="Maharashtra"/>
    <n v="8"/>
    <x v="3"/>
    <x v="3"/>
    <x v="0"/>
    <x v="4"/>
    <x v="5"/>
    <x v="7"/>
    <x v="2"/>
    <x v="1"/>
    <x v="2"/>
  </r>
  <r>
    <n v="875"/>
    <s v="DELHI REGION"/>
    <s v="DELHI"/>
    <s v="Delhi"/>
    <n v="3"/>
    <x v="0"/>
    <x v="5"/>
    <x v="0"/>
    <x v="0"/>
    <x v="0"/>
    <x v="0"/>
    <x v="2"/>
    <x v="2"/>
    <x v="4"/>
  </r>
  <r>
    <n v="1017"/>
    <s v="MUMBAI REGION"/>
    <s v="MUMBAI"/>
    <s v="Maharashtra"/>
    <n v="8"/>
    <x v="4"/>
    <x v="4"/>
    <x v="0"/>
    <x v="0"/>
    <x v="0"/>
    <x v="2"/>
    <x v="2"/>
    <x v="0"/>
    <x v="3"/>
  </r>
  <r>
    <n v="123"/>
    <s v="GOA REGION"/>
    <s v="GOA"/>
    <s v="Goa"/>
    <n v="4"/>
    <x v="4"/>
    <x v="4"/>
    <x v="5"/>
    <x v="3"/>
    <x v="1"/>
    <x v="2"/>
    <x v="0"/>
    <x v="3"/>
    <x v="3"/>
  </r>
  <r>
    <n v="486"/>
    <s v="DELHI REGION"/>
    <s v="DELHI"/>
    <s v="Delhi"/>
    <n v="3"/>
    <x v="4"/>
    <x v="4"/>
    <x v="0"/>
    <x v="0"/>
    <x v="0"/>
    <x v="2"/>
    <x v="3"/>
    <x v="1"/>
    <x v="2"/>
  </r>
  <r>
    <n v="1593"/>
    <s v="THANE REGION"/>
    <s v="THANE"/>
    <s v="Maharashtra"/>
    <n v="8"/>
    <x v="10"/>
    <x v="11"/>
    <x v="0"/>
    <x v="0"/>
    <x v="0"/>
    <x v="0"/>
    <x v="0"/>
    <x v="0"/>
    <x v="1"/>
  </r>
  <r>
    <n v="419"/>
    <s v="SATARA REGION"/>
    <s v="SATARA"/>
    <s v="Maharashtra"/>
    <n v="8"/>
    <x v="11"/>
    <x v="12"/>
    <x v="0"/>
    <x v="0"/>
    <x v="1"/>
    <x v="2"/>
    <x v="2"/>
    <x v="1"/>
    <x v="2"/>
  </r>
  <r>
    <n v="262"/>
    <s v="CHENNAI REGION"/>
    <s v="CHENNAI"/>
    <s v="Tamil Nadu"/>
    <n v="12"/>
    <x v="11"/>
    <x v="12"/>
    <x v="4"/>
    <x v="2"/>
    <x v="0"/>
    <x v="0"/>
    <x v="0"/>
    <x v="3"/>
    <x v="3"/>
  </r>
  <r>
    <n v="8"/>
    <s v="HYDERABAD REGION"/>
    <s v="HYDERABAD"/>
    <s v="Andhra Pradesh"/>
    <n v="1"/>
    <x v="13"/>
    <x v="14"/>
    <x v="0"/>
    <x v="1"/>
    <x v="2"/>
    <x v="2"/>
    <x v="1"/>
    <x v="0"/>
    <x v="2"/>
  </r>
  <r>
    <n v="684"/>
    <s v="PUNE CITY REGION"/>
    <s v="PUNE CITY"/>
    <s v="Maharashtra"/>
    <n v="8"/>
    <x v="13"/>
    <x v="14"/>
    <x v="0"/>
    <x v="0"/>
    <x v="0"/>
    <x v="0"/>
    <x v="1"/>
    <x v="1"/>
    <x v="0"/>
  </r>
  <r>
    <n v="2994"/>
    <s v="HYDERABAD REGION"/>
    <s v="HYDERABAD"/>
    <s v="Andhra Pradesh"/>
    <n v="1"/>
    <x v="13"/>
    <x v="14"/>
    <x v="0"/>
    <x v="0"/>
    <x v="0"/>
    <x v="0"/>
    <x v="1"/>
    <x v="2"/>
    <x v="4"/>
  </r>
  <r>
    <n v="644"/>
    <s v="MUMBAI REGION"/>
    <s v="MUMBAI"/>
    <s v="Maharashtra"/>
    <n v="8"/>
    <x v="13"/>
    <x v="14"/>
    <x v="0"/>
    <x v="0"/>
    <x v="0"/>
    <x v="0"/>
    <x v="2"/>
    <x v="1"/>
    <x v="2"/>
  </r>
  <r>
    <n v="667"/>
    <s v="MUMBAI REGION"/>
    <s v="MUMBAI"/>
    <s v="Maharashtra"/>
    <n v="8"/>
    <x v="11"/>
    <x v="12"/>
    <x v="0"/>
    <x v="0"/>
    <x v="0"/>
    <x v="0"/>
    <x v="1"/>
    <x v="2"/>
    <x v="4"/>
  </r>
  <r>
    <n v="1415"/>
    <s v="MUMBAI REGION"/>
    <s v="MUMBAI"/>
    <s v="Maharashtra"/>
    <n v="8"/>
    <x v="11"/>
    <x v="12"/>
    <x v="0"/>
    <x v="0"/>
    <x v="0"/>
    <x v="0"/>
    <x v="0"/>
    <x v="2"/>
    <x v="4"/>
  </r>
  <r>
    <n v="176"/>
    <s v="BANGALORE REGION"/>
    <s v="BANGALORE"/>
    <s v="Karnataka"/>
    <n v="6"/>
    <x v="14"/>
    <x v="15"/>
    <x v="0"/>
    <x v="0"/>
    <x v="0"/>
    <x v="0"/>
    <x v="0"/>
    <x v="0"/>
    <x v="0"/>
  </r>
  <r>
    <n v="683"/>
    <s v="PUNE CITY REGION"/>
    <s v="PUNE CITY"/>
    <s v="Maharashtra"/>
    <n v="8"/>
    <x v="14"/>
    <x v="15"/>
    <x v="2"/>
    <x v="3"/>
    <x v="1"/>
    <x v="2"/>
    <x v="3"/>
    <x v="4"/>
    <x v="1"/>
  </r>
  <r>
    <n v="1039"/>
    <s v="MUMBAI REGION"/>
    <s v="MUMBAI"/>
    <s v="Maharashtra"/>
    <n v="8"/>
    <x v="16"/>
    <x v="17"/>
    <x v="0"/>
    <x v="2"/>
    <x v="4"/>
    <x v="1"/>
    <x v="4"/>
    <x v="3"/>
    <x v="3"/>
  </r>
  <r>
    <n v="252"/>
    <s v="NAGPUR REGION"/>
    <s v="NAGPUR"/>
    <s v="Maharashtra"/>
    <n v="8"/>
    <x v="16"/>
    <x v="17"/>
    <x v="5"/>
    <x v="1"/>
    <x v="1"/>
    <x v="1"/>
    <x v="3"/>
    <x v="1"/>
    <x v="3"/>
  </r>
  <r>
    <n v="1379"/>
    <s v="HYDERABAD REGION"/>
    <s v="HYDERABAD"/>
    <s v="Andhra Pradesh"/>
    <n v="1"/>
    <x v="16"/>
    <x v="17"/>
    <x v="0"/>
    <x v="0"/>
    <x v="0"/>
    <x v="0"/>
    <x v="0"/>
    <x v="1"/>
    <x v="0"/>
  </r>
  <r>
    <n v="410"/>
    <s v="AHMEDNAGAR REGION"/>
    <s v="AHMEDNAGAR"/>
    <s v="Maharashtra"/>
    <n v="8"/>
    <x v="14"/>
    <x v="15"/>
    <x v="1"/>
    <x v="4"/>
    <x v="4"/>
    <x v="1"/>
    <x v="7"/>
    <x v="2"/>
    <x v="0"/>
  </r>
  <r>
    <n v="3"/>
    <s v="MUMBAI REGION"/>
    <s v="MUMBAI"/>
    <s v="Maharashtra"/>
    <n v="8"/>
    <x v="2"/>
    <x v="2"/>
    <x v="0"/>
    <x v="3"/>
    <x v="2"/>
    <x v="3"/>
    <x v="0"/>
    <x v="3"/>
    <x v="3"/>
  </r>
  <r>
    <n v="907"/>
    <s v="MUMBAI REGION"/>
    <s v="MUMBAI"/>
    <s v="Maharashtra"/>
    <n v="8"/>
    <x v="13"/>
    <x v="14"/>
    <x v="0"/>
    <x v="0"/>
    <x v="0"/>
    <x v="0"/>
    <x v="0"/>
    <x v="4"/>
    <x v="2"/>
  </r>
  <r>
    <n v="3233"/>
    <s v="PUNE CITY REGION"/>
    <s v="PUNE CITY"/>
    <s v="Maharashtra"/>
    <n v="8"/>
    <x v="13"/>
    <x v="14"/>
    <x v="0"/>
    <x v="0"/>
    <x v="0"/>
    <x v="3"/>
    <x v="1"/>
    <x v="2"/>
    <x v="3"/>
  </r>
  <r>
    <n v="169"/>
    <s v="PUNE CITY REGION"/>
    <s v="PUNE CITY"/>
    <s v="Maharashtra"/>
    <n v="8"/>
    <x v="0"/>
    <x v="5"/>
    <x v="0"/>
    <x v="3"/>
    <x v="1"/>
    <x v="3"/>
    <x v="1"/>
    <x v="1"/>
    <x v="2"/>
  </r>
  <r>
    <n v="1080"/>
    <s v="NASIK REGION"/>
    <s v="NASIK"/>
    <s v="Maharashtra"/>
    <n v="8"/>
    <x v="0"/>
    <x v="5"/>
    <x v="0"/>
    <x v="0"/>
    <x v="1"/>
    <x v="3"/>
    <x v="2"/>
    <x v="2"/>
    <x v="3"/>
  </r>
  <r>
    <n v="914"/>
    <s v="AHMEDABAD  REGION"/>
    <s v="AHMEDABAD"/>
    <s v="Gujarat"/>
    <n v="5"/>
    <x v="6"/>
    <x v="7"/>
    <x v="0"/>
    <x v="0"/>
    <x v="3"/>
    <x v="8"/>
    <x v="7"/>
    <x v="5"/>
    <x v="1"/>
  </r>
  <r>
    <n v="719"/>
    <s v="CHANDIGARH REGION"/>
    <s v="CHANDIGARH"/>
    <s v="Punjab&amp;Haryana"/>
    <n v="10"/>
    <x v="3"/>
    <x v="3"/>
    <x v="0"/>
    <x v="0"/>
    <x v="0"/>
    <x v="0"/>
    <x v="0"/>
    <x v="0"/>
    <x v="0"/>
  </r>
  <r>
    <n v="279"/>
    <s v="BANGALORE REGION"/>
    <s v="BANGALORE"/>
    <s v="Karnataka"/>
    <n v="6"/>
    <x v="11"/>
    <x v="12"/>
    <x v="0"/>
    <x v="1"/>
    <x v="1"/>
    <x v="2"/>
    <x v="3"/>
    <x v="2"/>
    <x v="4"/>
  </r>
  <r>
    <n v="888"/>
    <s v="GOA REGION"/>
    <s v="GOA"/>
    <s v="Goa"/>
    <n v="4"/>
    <x v="8"/>
    <x v="9"/>
    <x v="0"/>
    <x v="0"/>
    <x v="0"/>
    <x v="0"/>
    <x v="3"/>
    <x v="0"/>
    <x v="0"/>
  </r>
  <r>
    <n v="127"/>
    <s v="KOLKATTA REGION"/>
    <s v="KOLKATA"/>
    <s v="West Bengal"/>
    <n v="14"/>
    <x v="0"/>
    <x v="5"/>
    <x v="0"/>
    <x v="0"/>
    <x v="1"/>
    <x v="2"/>
    <x v="3"/>
    <x v="2"/>
    <x v="2"/>
  </r>
  <r>
    <n v="4"/>
    <s v="INDORE REGION"/>
    <s v="INDORE"/>
    <s v="Madhya Pradesh"/>
    <n v="7"/>
    <x v="10"/>
    <x v="11"/>
    <x v="5"/>
    <x v="1"/>
    <x v="2"/>
    <x v="2"/>
    <x v="0"/>
    <x v="3"/>
    <x v="3"/>
  </r>
  <r>
    <n v="17"/>
    <s v="MUMBAI REGION"/>
    <s v="MUMBAI"/>
    <s v="Maharashtra"/>
    <n v="8"/>
    <x v="10"/>
    <x v="11"/>
    <x v="5"/>
    <x v="1"/>
    <x v="2"/>
    <x v="1"/>
    <x v="2"/>
    <x v="4"/>
    <x v="5"/>
  </r>
  <r>
    <n v="1414"/>
    <s v="NASIK REGION"/>
    <s v="NASIK"/>
    <s v="Maharashtra"/>
    <n v="8"/>
    <x v="2"/>
    <x v="2"/>
    <x v="0"/>
    <x v="0"/>
    <x v="0"/>
    <x v="2"/>
    <x v="3"/>
    <x v="0"/>
    <x v="0"/>
  </r>
  <r>
    <n v="77"/>
    <s v="NASIK REGION"/>
    <s v="NASIK"/>
    <s v="Maharashtra"/>
    <n v="8"/>
    <x v="2"/>
    <x v="2"/>
    <x v="0"/>
    <x v="0"/>
    <x v="0"/>
    <x v="7"/>
    <x v="2"/>
    <x v="1"/>
    <x v="2"/>
  </r>
  <r>
    <n v="816"/>
    <s v="DELHI REGION"/>
    <s v="DELHI"/>
    <s v="Delhi"/>
    <n v="3"/>
    <x v="2"/>
    <x v="2"/>
    <x v="0"/>
    <x v="0"/>
    <x v="0"/>
    <x v="3"/>
    <x v="3"/>
    <x v="1"/>
    <x v="4"/>
  </r>
  <r>
    <n v="883"/>
    <s v="KOLHAPUR REGION"/>
    <s v="KOLHAPUR"/>
    <s v="Maharashtra"/>
    <n v="8"/>
    <x v="11"/>
    <x v="12"/>
    <x v="0"/>
    <x v="0"/>
    <x v="1"/>
    <x v="2"/>
    <x v="3"/>
    <x v="3"/>
    <x v="3"/>
  </r>
  <r>
    <n v="621"/>
    <s v="PUNE CITY REGION"/>
    <s v="PUNE CITY"/>
    <s v="Maharashtra"/>
    <n v="8"/>
    <x v="0"/>
    <x v="5"/>
    <x v="0"/>
    <x v="0"/>
    <x v="2"/>
    <x v="2"/>
    <x v="3"/>
    <x v="1"/>
    <x v="2"/>
  </r>
  <r>
    <n v="1173"/>
    <s v="PUNE CITY REGION"/>
    <s v="PUNE CITY"/>
    <s v="Maharashtra"/>
    <n v="8"/>
    <x v="8"/>
    <x v="9"/>
    <x v="0"/>
    <x v="0"/>
    <x v="0"/>
    <x v="0"/>
    <x v="3"/>
    <x v="1"/>
    <x v="3"/>
  </r>
  <r>
    <n v="1499"/>
    <s v="PUNE CITY REGION"/>
    <s v="PUNE CITY"/>
    <s v="Maharashtra"/>
    <n v="8"/>
    <x v="15"/>
    <x v="16"/>
    <x v="0"/>
    <x v="0"/>
    <x v="0"/>
    <x v="0"/>
    <x v="2"/>
    <x v="1"/>
    <x v="3"/>
  </r>
  <r>
    <n v="29"/>
    <s v="DELHI REGION"/>
    <s v="DELHI"/>
    <s v="Delhi"/>
    <n v="3"/>
    <x v="15"/>
    <x v="16"/>
    <x v="4"/>
    <x v="6"/>
    <x v="5"/>
    <x v="5"/>
    <x v="5"/>
    <x v="4"/>
    <x v="1"/>
  </r>
  <r>
    <n v="5"/>
    <s v="INDORE REGION"/>
    <s v="INDORE"/>
    <s v="Madhya Pradesh"/>
    <n v="7"/>
    <x v="2"/>
    <x v="2"/>
    <x v="2"/>
    <x v="3"/>
    <x v="1"/>
    <x v="2"/>
    <x v="3"/>
    <x v="1"/>
    <x v="2"/>
  </r>
  <r>
    <n v="1082"/>
    <s v="THANE REGION"/>
    <s v="THANE"/>
    <s v="Maharashtra"/>
    <n v="8"/>
    <x v="1"/>
    <x v="1"/>
    <x v="0"/>
    <x v="0"/>
    <x v="0"/>
    <x v="0"/>
    <x v="0"/>
    <x v="2"/>
    <x v="4"/>
  </r>
  <r>
    <n v="661"/>
    <s v="PUNE CITY REGION"/>
    <s v="PUNE CITY"/>
    <s v="Maharashtra"/>
    <n v="8"/>
    <x v="0"/>
    <x v="5"/>
    <x v="1"/>
    <x v="4"/>
    <x v="5"/>
    <x v="1"/>
    <x v="3"/>
    <x v="1"/>
    <x v="5"/>
  </r>
  <r>
    <n v="295"/>
    <s v="NASIK REGION"/>
    <s v="NASIK"/>
    <s v="Maharashtra"/>
    <n v="8"/>
    <x v="2"/>
    <x v="2"/>
    <x v="0"/>
    <x v="0"/>
    <x v="3"/>
    <x v="8"/>
    <x v="5"/>
    <x v="2"/>
    <x v="2"/>
  </r>
  <r>
    <n v="763"/>
    <s v="CHENNAI REGION"/>
    <s v="CHENNAI"/>
    <s v="Tamil Nadu"/>
    <n v="12"/>
    <x v="6"/>
    <x v="7"/>
    <x v="0"/>
    <x v="0"/>
    <x v="0"/>
    <x v="0"/>
    <x v="1"/>
    <x v="4"/>
    <x v="4"/>
  </r>
  <r>
    <n v="275"/>
    <s v="SOLAPUR REGION"/>
    <s v="SOLAPUR"/>
    <s v="Maharashtra"/>
    <n v="8"/>
    <x v="16"/>
    <x v="17"/>
    <x v="0"/>
    <x v="0"/>
    <x v="0"/>
    <x v="0"/>
    <x v="0"/>
    <x v="0"/>
    <x v="0"/>
  </r>
  <r>
    <n v="4"/>
    <s v="HYDERABAD REGION"/>
    <s v="HYDERABAD"/>
    <s v="Andhra Pradesh"/>
    <n v="1"/>
    <x v="16"/>
    <x v="17"/>
    <x v="5"/>
    <x v="1"/>
    <x v="1"/>
    <x v="1"/>
    <x v="1"/>
    <x v="2"/>
    <x v="1"/>
  </r>
  <r>
    <n v="4"/>
    <s v="DELHI REGION"/>
    <s v="DELHI"/>
    <s v="Delhi"/>
    <n v="3"/>
    <x v="6"/>
    <x v="7"/>
    <x v="0"/>
    <x v="0"/>
    <x v="0"/>
    <x v="2"/>
    <x v="1"/>
    <x v="2"/>
    <x v="3"/>
  </r>
  <r>
    <n v="47"/>
    <s v="NASIK REGION"/>
    <s v="NASIK"/>
    <s v="Maharashtra"/>
    <n v="8"/>
    <x v="6"/>
    <x v="7"/>
    <x v="0"/>
    <x v="3"/>
    <x v="2"/>
    <x v="3"/>
    <x v="2"/>
    <x v="4"/>
    <x v="6"/>
  </r>
  <r>
    <n v="1040"/>
    <s v="BANGALORE REGION"/>
    <s v="BANGALORE"/>
    <s v="Karnataka"/>
    <n v="6"/>
    <x v="11"/>
    <x v="12"/>
    <x v="0"/>
    <x v="0"/>
    <x v="0"/>
    <x v="0"/>
    <x v="3"/>
    <x v="0"/>
    <x v="4"/>
  </r>
  <r>
    <n v="369"/>
    <s v="CHANDIGARH REGION"/>
    <s v="CHANDIGARH"/>
    <s v="Punjab&amp;Haryana"/>
    <n v="10"/>
    <x v="2"/>
    <x v="2"/>
    <x v="2"/>
    <x v="3"/>
    <x v="1"/>
    <x v="2"/>
    <x v="3"/>
    <x v="2"/>
    <x v="4"/>
  </r>
  <r>
    <n v="450"/>
    <s v="CHANDIGARH REGION"/>
    <s v="CHANDIGARH"/>
    <s v="Punjab&amp;Haryana"/>
    <n v="10"/>
    <x v="10"/>
    <x v="11"/>
    <x v="0"/>
    <x v="0"/>
    <x v="0"/>
    <x v="3"/>
    <x v="2"/>
    <x v="3"/>
    <x v="3"/>
  </r>
  <r>
    <n v="821"/>
    <s v="CHANDIGARH REGION"/>
    <s v="CHANDIGARH"/>
    <s v="Punjab&amp;Haryana"/>
    <n v="10"/>
    <x v="1"/>
    <x v="1"/>
    <x v="0"/>
    <x v="0"/>
    <x v="0"/>
    <x v="0"/>
    <x v="3"/>
    <x v="0"/>
    <x v="2"/>
  </r>
  <r>
    <n v="453"/>
    <s v="RAIGAD REGION"/>
    <s v="RAIGAD"/>
    <s v="Maharashtra"/>
    <n v="8"/>
    <x v="7"/>
    <x v="8"/>
    <x v="0"/>
    <x v="0"/>
    <x v="0"/>
    <x v="2"/>
    <x v="1"/>
    <x v="1"/>
    <x v="4"/>
  </r>
  <r>
    <n v="370"/>
    <s v="DELHI REGION"/>
    <s v="DELHI"/>
    <s v="Delhi"/>
    <n v="3"/>
    <x v="14"/>
    <x v="15"/>
    <x v="0"/>
    <x v="0"/>
    <x v="0"/>
    <x v="0"/>
    <x v="2"/>
    <x v="2"/>
    <x v="4"/>
  </r>
  <r>
    <n v="2167"/>
    <s v="PUNE CITY REGION"/>
    <s v="PUNE CITY"/>
    <s v="Maharashtra"/>
    <n v="8"/>
    <x v="1"/>
    <x v="1"/>
    <x v="0"/>
    <x v="0"/>
    <x v="0"/>
    <x v="0"/>
    <x v="2"/>
    <x v="2"/>
    <x v="2"/>
  </r>
  <r>
    <n v="1714"/>
    <s v="HYDERABAD REGION"/>
    <s v="HYDERABAD"/>
    <s v="Andhra Pradesh"/>
    <n v="1"/>
    <x v="12"/>
    <x v="13"/>
    <x v="0"/>
    <x v="0"/>
    <x v="0"/>
    <x v="0"/>
    <x v="3"/>
    <x v="1"/>
    <x v="2"/>
  </r>
  <r>
    <n v="4372"/>
    <s v="HYDERABAD REGION"/>
    <s v="HYDERABAD"/>
    <s v="Andhra Pradesh"/>
    <n v="1"/>
    <x v="5"/>
    <x v="6"/>
    <x v="0"/>
    <x v="0"/>
    <x v="0"/>
    <x v="3"/>
    <x v="7"/>
    <x v="5"/>
    <x v="1"/>
  </r>
  <r>
    <n v="1000"/>
    <s v="BANGALORE REGION"/>
    <s v="BANGALORE"/>
    <s v="Karnataka"/>
    <n v="6"/>
    <x v="3"/>
    <x v="3"/>
    <x v="0"/>
    <x v="0"/>
    <x v="0"/>
    <x v="0"/>
    <x v="3"/>
    <x v="1"/>
    <x v="0"/>
  </r>
  <r>
    <n v="2890"/>
    <s v="PUNE CITY REGION"/>
    <s v="PUNE CITY"/>
    <s v="Maharashtra"/>
    <n v="8"/>
    <x v="0"/>
    <x v="5"/>
    <x v="0"/>
    <x v="0"/>
    <x v="4"/>
    <x v="1"/>
    <x v="2"/>
    <x v="2"/>
    <x v="1"/>
  </r>
  <r>
    <n v="146"/>
    <s v="MUMBAI REGION"/>
    <s v="MUMBAI"/>
    <s v="Maharashtra"/>
    <n v="8"/>
    <x v="2"/>
    <x v="2"/>
    <x v="5"/>
    <x v="6"/>
    <x v="5"/>
    <x v="6"/>
    <x v="0"/>
    <x v="3"/>
    <x v="3"/>
  </r>
  <r>
    <n v="1129"/>
    <s v="PUNE CITY REGION"/>
    <s v="PUNE CITY"/>
    <s v="Maharashtra"/>
    <n v="8"/>
    <x v="13"/>
    <x v="14"/>
    <x v="0"/>
    <x v="0"/>
    <x v="0"/>
    <x v="2"/>
    <x v="1"/>
    <x v="4"/>
    <x v="3"/>
  </r>
  <r>
    <n v="24"/>
    <s v="PUNE RURAL REGION"/>
    <s v="PUNE RURAL"/>
    <s v="Maharashtra"/>
    <n v="8"/>
    <x v="10"/>
    <x v="11"/>
    <x v="0"/>
    <x v="0"/>
    <x v="0"/>
    <x v="0"/>
    <x v="2"/>
    <x v="0"/>
    <x v="0"/>
  </r>
  <r>
    <n v="985"/>
    <s v="PUNE CITY REGION"/>
    <s v="PUNE CITY"/>
    <s v="Maharashtra"/>
    <n v="8"/>
    <x v="7"/>
    <x v="8"/>
    <x v="0"/>
    <x v="0"/>
    <x v="0"/>
    <x v="2"/>
    <x v="3"/>
    <x v="1"/>
    <x v="0"/>
  </r>
  <r>
    <n v="7"/>
    <s v="PUNE CITY REGION"/>
    <s v="PUNE CITY"/>
    <s v="Maharashtra"/>
    <n v="8"/>
    <x v="2"/>
    <x v="2"/>
    <x v="0"/>
    <x v="4"/>
    <x v="2"/>
    <x v="0"/>
    <x v="0"/>
    <x v="3"/>
    <x v="3"/>
  </r>
  <r>
    <n v="589"/>
    <s v="DELHI REGION"/>
    <s v="DELHI"/>
    <s v="Delhi"/>
    <n v="3"/>
    <x v="2"/>
    <x v="2"/>
    <x v="2"/>
    <x v="2"/>
    <x v="2"/>
    <x v="3"/>
    <x v="3"/>
    <x v="5"/>
    <x v="1"/>
  </r>
  <r>
    <n v="775"/>
    <s v="HYDERABAD REGION"/>
    <s v="HYDERABAD"/>
    <s v="Andhra Pradesh"/>
    <n v="1"/>
    <x v="4"/>
    <x v="4"/>
    <x v="0"/>
    <x v="0"/>
    <x v="0"/>
    <x v="0"/>
    <x v="2"/>
    <x v="0"/>
    <x v="0"/>
  </r>
  <r>
    <n v="76"/>
    <s v="KOLKATTA REGION"/>
    <s v="KOLKATA"/>
    <s v="West Bengal"/>
    <n v="14"/>
    <x v="11"/>
    <x v="12"/>
    <x v="0"/>
    <x v="0"/>
    <x v="4"/>
    <x v="3"/>
    <x v="6"/>
    <x v="8"/>
    <x v="3"/>
  </r>
  <r>
    <n v="29"/>
    <s v="KOLKATTA REGION"/>
    <s v="KOLKATA"/>
    <s v="West Bengal"/>
    <n v="14"/>
    <x v="10"/>
    <x v="11"/>
    <x v="1"/>
    <x v="4"/>
    <x v="5"/>
    <x v="4"/>
    <x v="4"/>
    <x v="3"/>
    <x v="3"/>
  </r>
  <r>
    <n v="619"/>
    <s v="CHENNAI REGION"/>
    <s v="CHENNAI"/>
    <s v="Tamil Nadu"/>
    <n v="12"/>
    <x v="1"/>
    <x v="1"/>
    <x v="2"/>
    <x v="3"/>
    <x v="1"/>
    <x v="2"/>
    <x v="0"/>
    <x v="3"/>
    <x v="3"/>
  </r>
  <r>
    <n v="1240"/>
    <s v="PUNE CITY REGION"/>
    <s v="PUNE CITY"/>
    <s v="Maharashtra"/>
    <n v="8"/>
    <x v="2"/>
    <x v="2"/>
    <x v="0"/>
    <x v="0"/>
    <x v="0"/>
    <x v="0"/>
    <x v="3"/>
    <x v="0"/>
    <x v="4"/>
  </r>
  <r>
    <n v="22"/>
    <s v="THANE REGION"/>
    <s v="THANE"/>
    <s v="Maharashtra"/>
    <n v="8"/>
    <x v="4"/>
    <x v="4"/>
    <x v="2"/>
    <x v="1"/>
    <x v="1"/>
    <x v="3"/>
    <x v="1"/>
    <x v="8"/>
    <x v="7"/>
  </r>
  <r>
    <n v="131"/>
    <s v="PUNE CITY REGION"/>
    <s v="PUNE CITY"/>
    <s v="Maharashtra"/>
    <n v="8"/>
    <x v="9"/>
    <x v="10"/>
    <x v="0"/>
    <x v="0"/>
    <x v="0"/>
    <x v="1"/>
    <x v="1"/>
    <x v="1"/>
    <x v="2"/>
  </r>
  <r>
    <n v="264"/>
    <s v="MUMBAI REGION"/>
    <s v="MUMBAI"/>
    <s v="Maharashtra"/>
    <n v="8"/>
    <x v="10"/>
    <x v="11"/>
    <x v="0"/>
    <x v="0"/>
    <x v="2"/>
    <x v="2"/>
    <x v="3"/>
    <x v="0"/>
    <x v="2"/>
  </r>
  <r>
    <n v="564"/>
    <s v="DELHI REGION"/>
    <s v="DELHI"/>
    <s v="Delhi"/>
    <n v="3"/>
    <x v="10"/>
    <x v="11"/>
    <x v="2"/>
    <x v="3"/>
    <x v="1"/>
    <x v="2"/>
    <x v="3"/>
    <x v="0"/>
    <x v="3"/>
  </r>
  <r>
    <n v="53"/>
    <s v="BANGALORE REGION"/>
    <s v="BANGALORE"/>
    <s v="Karnataka"/>
    <n v="6"/>
    <x v="4"/>
    <x v="4"/>
    <x v="3"/>
    <x v="6"/>
    <x v="3"/>
    <x v="8"/>
    <x v="7"/>
    <x v="5"/>
    <x v="3"/>
  </r>
  <r>
    <n v="2044"/>
    <s v="LATUR REGION"/>
    <s v="LATUR"/>
    <s v="Maharashtra"/>
    <n v="8"/>
    <x v="4"/>
    <x v="4"/>
    <x v="0"/>
    <x v="0"/>
    <x v="0"/>
    <x v="0"/>
    <x v="0"/>
    <x v="4"/>
    <x v="1"/>
  </r>
  <r>
    <n v="498"/>
    <s v="INDORE REGION"/>
    <s v="INDORE"/>
    <s v="Madhya Pradesh"/>
    <n v="7"/>
    <x v="7"/>
    <x v="8"/>
    <x v="5"/>
    <x v="3"/>
    <x v="4"/>
    <x v="3"/>
    <x v="3"/>
    <x v="1"/>
    <x v="2"/>
  </r>
  <r>
    <n v="512"/>
    <s v="NASIK REGION"/>
    <s v="NASIK"/>
    <s v="Maharashtra"/>
    <n v="8"/>
    <x v="4"/>
    <x v="4"/>
    <x v="0"/>
    <x v="0"/>
    <x v="3"/>
    <x v="8"/>
    <x v="7"/>
    <x v="5"/>
    <x v="1"/>
  </r>
  <r>
    <n v="18"/>
    <s v="PUNE CITY REGION"/>
    <s v="PUNE CITY"/>
    <s v="Maharashtra"/>
    <n v="8"/>
    <x v="12"/>
    <x v="13"/>
    <x v="2"/>
    <x v="3"/>
    <x v="1"/>
    <x v="2"/>
    <x v="3"/>
    <x v="0"/>
    <x v="0"/>
  </r>
  <r>
    <n v="1118"/>
    <s v="NASIK REGION"/>
    <s v="NASIK"/>
    <s v="Maharashtra"/>
    <n v="8"/>
    <x v="12"/>
    <x v="13"/>
    <x v="0"/>
    <x v="3"/>
    <x v="1"/>
    <x v="2"/>
    <x v="3"/>
    <x v="1"/>
    <x v="0"/>
  </r>
  <r>
    <n v="2435"/>
    <s v="PUNE CITY REGION"/>
    <s v="PUNE CITY"/>
    <s v="Maharashtra"/>
    <n v="8"/>
    <x v="6"/>
    <x v="7"/>
    <x v="0"/>
    <x v="1"/>
    <x v="1"/>
    <x v="1"/>
    <x v="2"/>
    <x v="3"/>
    <x v="3"/>
  </r>
  <r>
    <n v="669"/>
    <s v="BANGALORE REGION"/>
    <s v="BANGALORE"/>
    <s v="Karnataka"/>
    <n v="6"/>
    <x v="6"/>
    <x v="7"/>
    <x v="0"/>
    <x v="0"/>
    <x v="0"/>
    <x v="0"/>
    <x v="2"/>
    <x v="2"/>
    <x v="5"/>
  </r>
  <r>
    <n v="123"/>
    <s v="PUNE CITY REGION"/>
    <s v="PUNE CITY"/>
    <s v="Maharashtra"/>
    <n v="8"/>
    <x v="1"/>
    <x v="1"/>
    <x v="5"/>
    <x v="3"/>
    <x v="1"/>
    <x v="0"/>
    <x v="0"/>
    <x v="3"/>
    <x v="3"/>
  </r>
  <r>
    <n v="1183"/>
    <s v="AHMEDABAD  REGION"/>
    <s v="AHMEDABAD"/>
    <s v="Gujarat"/>
    <n v="5"/>
    <x v="1"/>
    <x v="1"/>
    <x v="0"/>
    <x v="0"/>
    <x v="0"/>
    <x v="0"/>
    <x v="0"/>
    <x v="2"/>
    <x v="0"/>
  </r>
  <r>
    <n v="721"/>
    <s v="CHENNAI REGION"/>
    <s v="CHENNAI"/>
    <s v="Tamil Nadu"/>
    <n v="12"/>
    <x v="7"/>
    <x v="8"/>
    <x v="0"/>
    <x v="0"/>
    <x v="0"/>
    <x v="0"/>
    <x v="0"/>
    <x v="1"/>
    <x v="0"/>
  </r>
  <r>
    <n v="194"/>
    <s v="THANE REGION"/>
    <s v="THANE"/>
    <s v="Maharashtra"/>
    <n v="8"/>
    <x v="15"/>
    <x v="16"/>
    <x v="0"/>
    <x v="0"/>
    <x v="0"/>
    <x v="0"/>
    <x v="2"/>
    <x v="0"/>
    <x v="0"/>
  </r>
  <r>
    <n v="1103"/>
    <s v="LUCKNOW REGION"/>
    <s v="LUCKNOW"/>
    <s v="Uttar Pradesh"/>
    <n v="13"/>
    <x v="15"/>
    <x v="16"/>
    <x v="0"/>
    <x v="0"/>
    <x v="0"/>
    <x v="2"/>
    <x v="3"/>
    <x v="2"/>
    <x v="5"/>
  </r>
  <r>
    <n v="522"/>
    <s v="PUNE CITY REGION"/>
    <s v="PUNE CITY"/>
    <s v="Maharashtra"/>
    <n v="8"/>
    <x v="3"/>
    <x v="3"/>
    <x v="0"/>
    <x v="0"/>
    <x v="0"/>
    <x v="0"/>
    <x v="1"/>
    <x v="2"/>
    <x v="4"/>
  </r>
  <r>
    <n v="603"/>
    <s v="PUNE CITY REGION"/>
    <s v="PUNE CITY"/>
    <s v="Maharashtra"/>
    <n v="8"/>
    <x v="3"/>
    <x v="3"/>
    <x v="2"/>
    <x v="4"/>
    <x v="2"/>
    <x v="2"/>
    <x v="1"/>
    <x v="1"/>
    <x v="4"/>
  </r>
  <r>
    <n v="172"/>
    <s v="MUMBAI REGION"/>
    <s v="MUMBAI"/>
    <s v="Maharashtra"/>
    <n v="8"/>
    <x v="0"/>
    <x v="5"/>
    <x v="0"/>
    <x v="1"/>
    <x v="2"/>
    <x v="3"/>
    <x v="1"/>
    <x v="4"/>
    <x v="1"/>
  </r>
  <r>
    <n v="1"/>
    <s v="PUNE CITY REGION"/>
    <s v="PUNE CITY"/>
    <s v="Maharashtra"/>
    <n v="8"/>
    <x v="4"/>
    <x v="4"/>
    <x v="2"/>
    <x v="3"/>
    <x v="1"/>
    <x v="3"/>
    <x v="3"/>
    <x v="0"/>
    <x v="2"/>
  </r>
  <r>
    <n v="100"/>
    <s v="THANE REGION"/>
    <s v="THANE"/>
    <s v="Maharashtra"/>
    <n v="8"/>
    <x v="4"/>
    <x v="4"/>
    <x v="5"/>
    <x v="3"/>
    <x v="2"/>
    <x v="2"/>
    <x v="3"/>
    <x v="0"/>
    <x v="4"/>
  </r>
  <r>
    <n v="1129"/>
    <s v="NASIK REGION"/>
    <s v="NASIK"/>
    <s v="Maharashtra"/>
    <n v="8"/>
    <x v="4"/>
    <x v="4"/>
    <x v="0"/>
    <x v="0"/>
    <x v="2"/>
    <x v="3"/>
    <x v="3"/>
    <x v="0"/>
    <x v="0"/>
  </r>
  <r>
    <n v="801"/>
    <s v="NASIK REGION"/>
    <s v="NASIK"/>
    <s v="Maharashtra"/>
    <n v="8"/>
    <x v="10"/>
    <x v="11"/>
    <x v="0"/>
    <x v="0"/>
    <x v="5"/>
    <x v="3"/>
    <x v="1"/>
    <x v="1"/>
    <x v="4"/>
  </r>
  <r>
    <n v="474"/>
    <s v="PUNE CITY REGION"/>
    <s v="PUNE CITY"/>
    <s v="Maharashtra"/>
    <n v="8"/>
    <x v="11"/>
    <x v="12"/>
    <x v="0"/>
    <x v="3"/>
    <x v="1"/>
    <x v="2"/>
    <x v="3"/>
    <x v="0"/>
    <x v="0"/>
  </r>
  <r>
    <n v="92"/>
    <s v="KOLKATTA REGION"/>
    <s v="KOLKATA"/>
    <s v="West Bengal"/>
    <n v="14"/>
    <x v="11"/>
    <x v="12"/>
    <x v="0"/>
    <x v="0"/>
    <x v="0"/>
    <x v="2"/>
    <x v="1"/>
    <x v="0"/>
    <x v="0"/>
  </r>
  <r>
    <n v="297"/>
    <s v="MUMBAI REGION"/>
    <s v="MUMBAI"/>
    <s v="Maharashtra"/>
    <n v="8"/>
    <x v="13"/>
    <x v="14"/>
    <x v="0"/>
    <x v="0"/>
    <x v="0"/>
    <x v="0"/>
    <x v="0"/>
    <x v="0"/>
    <x v="4"/>
  </r>
  <r>
    <n v="16"/>
    <s v="RAIGAD REGION"/>
    <s v="RAIGAD"/>
    <s v="Maharashtra"/>
    <n v="8"/>
    <x v="13"/>
    <x v="14"/>
    <x v="2"/>
    <x v="3"/>
    <x v="1"/>
    <x v="3"/>
    <x v="3"/>
    <x v="0"/>
    <x v="4"/>
  </r>
  <r>
    <n v="1538"/>
    <s v="RAIGAD REGION"/>
    <s v="RAIGAD"/>
    <s v="Maharashtra"/>
    <n v="8"/>
    <x v="13"/>
    <x v="14"/>
    <x v="0"/>
    <x v="0"/>
    <x v="0"/>
    <x v="0"/>
    <x v="0"/>
    <x v="0"/>
    <x v="4"/>
  </r>
  <r>
    <n v="779"/>
    <s v="NASIK REGION"/>
    <s v="NASIK"/>
    <s v="Maharashtra"/>
    <n v="8"/>
    <x v="13"/>
    <x v="14"/>
    <x v="0"/>
    <x v="0"/>
    <x v="4"/>
    <x v="3"/>
    <x v="1"/>
    <x v="2"/>
    <x v="0"/>
  </r>
  <r>
    <n v="1228"/>
    <s v="JALGAON  REGION"/>
    <s v="JALGAON"/>
    <s v="Maharashtra"/>
    <n v="8"/>
    <x v="11"/>
    <x v="12"/>
    <x v="0"/>
    <x v="0"/>
    <x v="0"/>
    <x v="0"/>
    <x v="3"/>
    <x v="0"/>
    <x v="0"/>
  </r>
  <r>
    <n v="167"/>
    <s v="MUMBAI REGION"/>
    <s v="MUMBAI"/>
    <s v="Maharashtra"/>
    <n v="8"/>
    <x v="11"/>
    <x v="12"/>
    <x v="0"/>
    <x v="0"/>
    <x v="7"/>
    <x v="5"/>
    <x v="2"/>
    <x v="2"/>
    <x v="3"/>
  </r>
  <r>
    <n v="4484"/>
    <s v="HYDERABAD REGION"/>
    <s v="HYDERABAD"/>
    <s v="Andhra Pradesh"/>
    <n v="1"/>
    <x v="14"/>
    <x v="15"/>
    <x v="0"/>
    <x v="0"/>
    <x v="0"/>
    <x v="0"/>
    <x v="0"/>
    <x v="2"/>
    <x v="1"/>
  </r>
  <r>
    <n v="478"/>
    <s v="BANGALORE REGION"/>
    <s v="BANGALORE"/>
    <s v="Karnataka"/>
    <n v="6"/>
    <x v="14"/>
    <x v="15"/>
    <x v="0"/>
    <x v="0"/>
    <x v="0"/>
    <x v="0"/>
    <x v="3"/>
    <x v="0"/>
    <x v="2"/>
  </r>
  <r>
    <n v="5"/>
    <s v="PUNE CITY REGION"/>
    <s v="PUNE CITY"/>
    <s v="Maharashtra"/>
    <n v="8"/>
    <x v="16"/>
    <x v="17"/>
    <x v="0"/>
    <x v="0"/>
    <x v="0"/>
    <x v="0"/>
    <x v="0"/>
    <x v="0"/>
    <x v="0"/>
  </r>
  <r>
    <n v="205"/>
    <s v="AHMEDABAD  REGION"/>
    <s v="AHMEDABAD"/>
    <s v="Gujarat"/>
    <n v="5"/>
    <x v="16"/>
    <x v="17"/>
    <x v="1"/>
    <x v="4"/>
    <x v="8"/>
    <x v="6"/>
    <x v="0"/>
    <x v="3"/>
    <x v="3"/>
  </r>
  <r>
    <n v="373"/>
    <s v="AURANGABAD REGION"/>
    <s v="AURANGABAD"/>
    <s v="Maharashtra"/>
    <n v="8"/>
    <x v="16"/>
    <x v="17"/>
    <x v="0"/>
    <x v="1"/>
    <x v="1"/>
    <x v="2"/>
    <x v="1"/>
    <x v="0"/>
    <x v="2"/>
  </r>
  <r>
    <n v="11"/>
    <s v="MUMBAI REGION"/>
    <s v="MUMBAI"/>
    <s v="Maharashtra"/>
    <n v="8"/>
    <x v="15"/>
    <x v="16"/>
    <x v="2"/>
    <x v="3"/>
    <x v="0"/>
    <x v="0"/>
    <x v="0"/>
    <x v="3"/>
    <x v="3"/>
  </r>
  <r>
    <n v="10"/>
    <s v="MUMBAI REGION"/>
    <s v="MUMBAI"/>
    <s v="Maharashtra"/>
    <n v="8"/>
    <x v="15"/>
    <x v="16"/>
    <x v="0"/>
    <x v="0"/>
    <x v="0"/>
    <x v="3"/>
    <x v="2"/>
    <x v="4"/>
    <x v="6"/>
  </r>
  <r>
    <n v="1"/>
    <s v="HYDERABAD REGION"/>
    <s v="HYDERABAD"/>
    <s v="Andhra Pradesh"/>
    <n v="1"/>
    <x v="2"/>
    <x v="2"/>
    <x v="6"/>
    <x v="6"/>
    <x v="0"/>
    <x v="1"/>
    <x v="2"/>
    <x v="4"/>
    <x v="5"/>
  </r>
  <r>
    <n v="908"/>
    <s v="MUMBAI REGION"/>
    <s v="MUMBAI"/>
    <s v="Maharashtra"/>
    <n v="8"/>
    <x v="1"/>
    <x v="1"/>
    <x v="0"/>
    <x v="0"/>
    <x v="0"/>
    <x v="1"/>
    <x v="5"/>
    <x v="4"/>
    <x v="3"/>
  </r>
  <r>
    <n v="193"/>
    <s v="MUMBAI REGION"/>
    <s v="MUMBAI"/>
    <s v="Maharashtra"/>
    <n v="8"/>
    <x v="0"/>
    <x v="5"/>
    <x v="0"/>
    <x v="0"/>
    <x v="2"/>
    <x v="3"/>
    <x v="0"/>
    <x v="3"/>
    <x v="3"/>
  </r>
  <r>
    <n v="645"/>
    <s v="PUNE CITY REGION"/>
    <s v="PUNE CITY"/>
    <s v="Maharashtra"/>
    <n v="8"/>
    <x v="2"/>
    <x v="2"/>
    <x v="0"/>
    <x v="0"/>
    <x v="0"/>
    <x v="2"/>
    <x v="3"/>
    <x v="0"/>
    <x v="3"/>
  </r>
  <r>
    <n v="2081"/>
    <s v="CHANDIGARH REGION"/>
    <s v="CHANDIGARH"/>
    <s v="Punjab&amp;Haryana"/>
    <n v="10"/>
    <x v="6"/>
    <x v="7"/>
    <x v="0"/>
    <x v="0"/>
    <x v="0"/>
    <x v="0"/>
    <x v="0"/>
    <x v="2"/>
    <x v="2"/>
  </r>
  <r>
    <n v="29"/>
    <s v="PUNE CITY REGION"/>
    <s v="PUNE CITY"/>
    <s v="Maharashtra"/>
    <n v="8"/>
    <x v="16"/>
    <x v="17"/>
    <x v="0"/>
    <x v="0"/>
    <x v="1"/>
    <x v="3"/>
    <x v="3"/>
    <x v="0"/>
    <x v="0"/>
  </r>
  <r>
    <n v="1339"/>
    <s v="PUNE CITY REGION"/>
    <s v="PUNE CITY"/>
    <s v="Maharashtra"/>
    <n v="8"/>
    <x v="16"/>
    <x v="17"/>
    <x v="0"/>
    <x v="0"/>
    <x v="0"/>
    <x v="0"/>
    <x v="2"/>
    <x v="2"/>
    <x v="0"/>
  </r>
  <r>
    <n v="242"/>
    <s v="PUNE CITY REGION"/>
    <s v="PUNE CITY"/>
    <s v="Maharashtra"/>
    <n v="8"/>
    <x v="6"/>
    <x v="7"/>
    <x v="6"/>
    <x v="5"/>
    <x v="0"/>
    <x v="0"/>
    <x v="0"/>
    <x v="3"/>
    <x v="3"/>
  </r>
  <r>
    <n v="998"/>
    <s v="DELHI REGION"/>
    <s v="DELHI"/>
    <s v="Delhi"/>
    <n v="3"/>
    <x v="6"/>
    <x v="7"/>
    <x v="0"/>
    <x v="0"/>
    <x v="0"/>
    <x v="0"/>
    <x v="0"/>
    <x v="2"/>
    <x v="0"/>
  </r>
  <r>
    <n v="2625"/>
    <s v="PUNE CITY REGION"/>
    <s v="PUNE CITY"/>
    <s v="Maharashtra"/>
    <n v="8"/>
    <x v="11"/>
    <x v="12"/>
    <x v="0"/>
    <x v="0"/>
    <x v="1"/>
    <x v="2"/>
    <x v="1"/>
    <x v="0"/>
    <x v="3"/>
  </r>
  <r>
    <n v="170"/>
    <s v="MUMBAI REGION"/>
    <s v="MUMBAI"/>
    <s v="Maharashtra"/>
    <n v="8"/>
    <x v="2"/>
    <x v="2"/>
    <x v="0"/>
    <x v="2"/>
    <x v="5"/>
    <x v="1"/>
    <x v="0"/>
    <x v="3"/>
    <x v="3"/>
  </r>
  <r>
    <n v="626"/>
    <s v="THANE REGION"/>
    <s v="THANE"/>
    <s v="Maharashtra"/>
    <n v="8"/>
    <x v="10"/>
    <x v="11"/>
    <x v="0"/>
    <x v="0"/>
    <x v="0"/>
    <x v="3"/>
    <x v="1"/>
    <x v="1"/>
    <x v="2"/>
  </r>
  <r>
    <n v="342"/>
    <s v="PUNE CITY REGION"/>
    <s v="PUNE CITY"/>
    <s v="Maharashtra"/>
    <n v="8"/>
    <x v="1"/>
    <x v="1"/>
    <x v="0"/>
    <x v="0"/>
    <x v="0"/>
    <x v="0"/>
    <x v="0"/>
    <x v="1"/>
    <x v="2"/>
  </r>
  <r>
    <n v="12"/>
    <s v="PUNE CITY REGION"/>
    <s v="PUNE CITY"/>
    <s v="Maharashtra"/>
    <n v="8"/>
    <x v="7"/>
    <x v="8"/>
    <x v="4"/>
    <x v="4"/>
    <x v="7"/>
    <x v="5"/>
    <x v="0"/>
    <x v="3"/>
    <x v="3"/>
  </r>
  <r>
    <n v="795"/>
    <s v="DELHI REGION"/>
    <s v="DELHI"/>
    <s v="Delhi"/>
    <n v="3"/>
    <x v="14"/>
    <x v="15"/>
    <x v="0"/>
    <x v="0"/>
    <x v="1"/>
    <x v="2"/>
    <x v="3"/>
    <x v="0"/>
    <x v="0"/>
  </r>
  <r>
    <n v="351"/>
    <s v="BANGALORE REGION"/>
    <s v="BANGALORE"/>
    <s v="Karnataka"/>
    <n v="6"/>
    <x v="1"/>
    <x v="1"/>
    <x v="0"/>
    <x v="0"/>
    <x v="0"/>
    <x v="0"/>
    <x v="5"/>
    <x v="0"/>
    <x v="0"/>
  </r>
  <r>
    <n v="78"/>
    <s v="CHENNAI REGION"/>
    <s v="CHENNAI"/>
    <s v="Tamil Nadu"/>
    <n v="12"/>
    <x v="12"/>
    <x v="13"/>
    <x v="0"/>
    <x v="0"/>
    <x v="0"/>
    <x v="0"/>
    <x v="0"/>
    <x v="0"/>
    <x v="4"/>
  </r>
  <r>
    <n v="414"/>
    <s v="HYDERABAD REGION"/>
    <s v="HYDERABAD"/>
    <s v="Andhra Pradesh"/>
    <n v="1"/>
    <x v="5"/>
    <x v="6"/>
    <x v="0"/>
    <x v="0"/>
    <x v="0"/>
    <x v="0"/>
    <x v="0"/>
    <x v="1"/>
    <x v="0"/>
  </r>
  <r>
    <n v="909"/>
    <s v="MUMBAI REGION"/>
    <s v="MUMBAI"/>
    <s v="Maharashtra"/>
    <n v="8"/>
    <x v="3"/>
    <x v="3"/>
    <x v="0"/>
    <x v="0"/>
    <x v="0"/>
    <x v="0"/>
    <x v="3"/>
    <x v="0"/>
    <x v="4"/>
  </r>
  <r>
    <n v="2549"/>
    <s v="LATUR REGION"/>
    <s v="LATUR"/>
    <s v="Maharashtra"/>
    <n v="8"/>
    <x v="0"/>
    <x v="5"/>
    <x v="0"/>
    <x v="0"/>
    <x v="0"/>
    <x v="0"/>
    <x v="0"/>
    <x v="1"/>
    <x v="2"/>
  </r>
  <r>
    <n v="1818"/>
    <s v="CHENNAI REGION"/>
    <s v="CHENNAI"/>
    <s v="Tamil Nadu"/>
    <n v="12"/>
    <x v="2"/>
    <x v="2"/>
    <x v="0"/>
    <x v="0"/>
    <x v="0"/>
    <x v="0"/>
    <x v="1"/>
    <x v="2"/>
    <x v="5"/>
  </r>
  <r>
    <n v="802"/>
    <s v="MUMBAI REGION"/>
    <s v="MUMBAI"/>
    <s v="Maharashtra"/>
    <n v="8"/>
    <x v="13"/>
    <x v="14"/>
    <x v="0"/>
    <x v="0"/>
    <x v="0"/>
    <x v="0"/>
    <x v="2"/>
    <x v="4"/>
    <x v="4"/>
  </r>
  <r>
    <n v="3850"/>
    <s v="BANGALORE REGION"/>
    <s v="BANGALORE"/>
    <s v="Karnataka"/>
    <n v="6"/>
    <x v="10"/>
    <x v="11"/>
    <x v="0"/>
    <x v="0"/>
    <x v="1"/>
    <x v="2"/>
    <x v="0"/>
    <x v="3"/>
    <x v="3"/>
  </r>
  <r>
    <n v="17"/>
    <s v="JAIPUR REGION"/>
    <s v="JAIPUR"/>
    <s v="Rajasthan"/>
    <n v="11"/>
    <x v="7"/>
    <x v="8"/>
    <x v="2"/>
    <x v="3"/>
    <x v="1"/>
    <x v="2"/>
    <x v="3"/>
    <x v="1"/>
    <x v="2"/>
  </r>
  <r>
    <n v="22"/>
    <s v="LATUR REGION"/>
    <s v="LATUR"/>
    <s v="Maharashtra"/>
    <n v="8"/>
    <x v="2"/>
    <x v="2"/>
    <x v="1"/>
    <x v="3"/>
    <x v="4"/>
    <x v="0"/>
    <x v="3"/>
    <x v="1"/>
    <x v="2"/>
  </r>
  <r>
    <n v="400"/>
    <s v="THANE REGION"/>
    <s v="THANE"/>
    <s v="Maharashtra"/>
    <n v="8"/>
    <x v="2"/>
    <x v="2"/>
    <x v="0"/>
    <x v="0"/>
    <x v="0"/>
    <x v="0"/>
    <x v="0"/>
    <x v="2"/>
    <x v="0"/>
  </r>
  <r>
    <n v="1034"/>
    <s v="CHENNAI REGION"/>
    <s v="CHENNAI"/>
    <s v="Tamil Nadu"/>
    <n v="12"/>
    <x v="4"/>
    <x v="4"/>
    <x v="0"/>
    <x v="0"/>
    <x v="1"/>
    <x v="1"/>
    <x v="2"/>
    <x v="3"/>
    <x v="3"/>
  </r>
  <r>
    <n v="251"/>
    <s v="NAGPUR REGION"/>
    <s v="NAGPUR"/>
    <s v="Maharashtra"/>
    <n v="8"/>
    <x v="11"/>
    <x v="12"/>
    <x v="1"/>
    <x v="4"/>
    <x v="5"/>
    <x v="0"/>
    <x v="0"/>
    <x v="3"/>
    <x v="3"/>
  </r>
  <r>
    <n v="118"/>
    <s v="MUMBAI REGION"/>
    <s v="MUMBAI"/>
    <s v="Maharashtra"/>
    <n v="8"/>
    <x v="10"/>
    <x v="11"/>
    <x v="1"/>
    <x v="3"/>
    <x v="1"/>
    <x v="2"/>
    <x v="3"/>
    <x v="0"/>
    <x v="2"/>
  </r>
  <r>
    <n v="400"/>
    <s v="HYDERABAD REGION"/>
    <s v="HYDERABAD"/>
    <s v="Andhra Pradesh"/>
    <n v="1"/>
    <x v="1"/>
    <x v="1"/>
    <x v="5"/>
    <x v="1"/>
    <x v="1"/>
    <x v="1"/>
    <x v="1"/>
    <x v="2"/>
    <x v="6"/>
  </r>
  <r>
    <n v="810"/>
    <s v="JABALPUR REGION"/>
    <s v="JABALPUR"/>
    <s v="Madhya Pradesh"/>
    <n v="7"/>
    <x v="2"/>
    <x v="2"/>
    <x v="0"/>
    <x v="0"/>
    <x v="0"/>
    <x v="0"/>
    <x v="5"/>
    <x v="6"/>
    <x v="3"/>
  </r>
  <r>
    <n v="1731"/>
    <s v="HYDERABAD REGION"/>
    <s v="HYDERABAD"/>
    <s v="Andhra Pradesh"/>
    <n v="1"/>
    <x v="4"/>
    <x v="4"/>
    <x v="0"/>
    <x v="0"/>
    <x v="0"/>
    <x v="0"/>
    <x v="0"/>
    <x v="0"/>
    <x v="1"/>
  </r>
  <r>
    <n v="5"/>
    <s v="DELHI REGION"/>
    <s v="DELHI"/>
    <s v="Delhi"/>
    <n v="3"/>
    <x v="9"/>
    <x v="10"/>
    <x v="0"/>
    <x v="0"/>
    <x v="0"/>
    <x v="2"/>
    <x v="5"/>
    <x v="1"/>
    <x v="4"/>
  </r>
  <r>
    <n v="1"/>
    <s v="DELHI REGION"/>
    <s v="DELHI"/>
    <s v="Delhi"/>
    <n v="3"/>
    <x v="10"/>
    <x v="11"/>
    <x v="1"/>
    <x v="1"/>
    <x v="4"/>
    <x v="7"/>
    <x v="5"/>
    <x v="2"/>
    <x v="3"/>
  </r>
  <r>
    <n v="658"/>
    <s v="DELHI REGION"/>
    <s v="DELHI"/>
    <s v="Delhi"/>
    <n v="3"/>
    <x v="10"/>
    <x v="11"/>
    <x v="0"/>
    <x v="0"/>
    <x v="1"/>
    <x v="2"/>
    <x v="1"/>
    <x v="0"/>
    <x v="0"/>
  </r>
  <r>
    <n v="21"/>
    <s v="RAIPUR REGION"/>
    <s v="RAIPUR"/>
    <s v="Chhattisgarh"/>
    <n v="2"/>
    <x v="4"/>
    <x v="4"/>
    <x v="0"/>
    <x v="0"/>
    <x v="0"/>
    <x v="0"/>
    <x v="1"/>
    <x v="0"/>
    <x v="2"/>
  </r>
  <r>
    <n v="98"/>
    <s v="PUNE CITY REGION"/>
    <s v="PUNE CITY"/>
    <s v="Maharashtra"/>
    <n v="8"/>
    <x v="4"/>
    <x v="4"/>
    <x v="4"/>
    <x v="4"/>
    <x v="2"/>
    <x v="1"/>
    <x v="3"/>
    <x v="0"/>
    <x v="0"/>
  </r>
  <r>
    <n v="791"/>
    <s v="AHMEDABAD  REGION"/>
    <s v="AHMEDABAD"/>
    <s v="Gujarat"/>
    <n v="5"/>
    <x v="7"/>
    <x v="8"/>
    <x v="0"/>
    <x v="0"/>
    <x v="0"/>
    <x v="0"/>
    <x v="0"/>
    <x v="2"/>
    <x v="2"/>
  </r>
  <r>
    <n v="510"/>
    <s v="HYDERABAD REGION"/>
    <s v="HYDERABAD"/>
    <s v="Andhra Pradesh"/>
    <n v="1"/>
    <x v="4"/>
    <x v="4"/>
    <x v="0"/>
    <x v="0"/>
    <x v="0"/>
    <x v="0"/>
    <x v="2"/>
    <x v="4"/>
    <x v="1"/>
  </r>
  <r>
    <n v="450"/>
    <s v="BANGALORE REGION"/>
    <s v="BANGALORE"/>
    <s v="Karnataka"/>
    <n v="6"/>
    <x v="12"/>
    <x v="13"/>
    <x v="0"/>
    <x v="0"/>
    <x v="0"/>
    <x v="0"/>
    <x v="3"/>
    <x v="0"/>
    <x v="0"/>
  </r>
  <r>
    <n v="1342"/>
    <s v="NASIK REGION"/>
    <s v="NASIK"/>
    <s v="Maharashtra"/>
    <n v="8"/>
    <x v="12"/>
    <x v="13"/>
    <x v="0"/>
    <x v="0"/>
    <x v="1"/>
    <x v="7"/>
    <x v="8"/>
    <x v="6"/>
    <x v="6"/>
  </r>
  <r>
    <n v="23"/>
    <s v="AHMEDABAD  REGION"/>
    <s v="AHMEDABAD"/>
    <s v="Gujarat"/>
    <n v="5"/>
    <x v="6"/>
    <x v="7"/>
    <x v="5"/>
    <x v="3"/>
    <x v="2"/>
    <x v="2"/>
    <x v="2"/>
    <x v="1"/>
    <x v="2"/>
  </r>
  <r>
    <n v="72"/>
    <s v="AHMEDABAD  REGION"/>
    <s v="AHMEDABAD"/>
    <s v="Gujarat"/>
    <n v="5"/>
    <x v="6"/>
    <x v="7"/>
    <x v="6"/>
    <x v="2"/>
    <x v="8"/>
    <x v="6"/>
    <x v="0"/>
    <x v="3"/>
    <x v="3"/>
  </r>
  <r>
    <n v="258"/>
    <s v="PUNE CITY REGION"/>
    <s v="PUNE CITY"/>
    <s v="Maharashtra"/>
    <n v="8"/>
    <x v="1"/>
    <x v="1"/>
    <x v="0"/>
    <x v="3"/>
    <x v="2"/>
    <x v="1"/>
    <x v="2"/>
    <x v="1"/>
    <x v="2"/>
  </r>
  <r>
    <n v="1"/>
    <s v="DELHI REGION"/>
    <s v="DELHI"/>
    <s v="Delhi"/>
    <n v="3"/>
    <x v="1"/>
    <x v="1"/>
    <x v="0"/>
    <x v="0"/>
    <x v="0"/>
    <x v="5"/>
    <x v="2"/>
    <x v="3"/>
    <x v="3"/>
  </r>
  <r>
    <n v="1178"/>
    <s v="INDORE REGION"/>
    <s v="INDORE"/>
    <s v="Madhya Pradesh"/>
    <n v="7"/>
    <x v="7"/>
    <x v="8"/>
    <x v="0"/>
    <x v="0"/>
    <x v="2"/>
    <x v="3"/>
    <x v="3"/>
    <x v="3"/>
    <x v="3"/>
  </r>
  <r>
    <n v="1119"/>
    <s v="BHOPAL REGION"/>
    <s v="BHOPAL"/>
    <s v="Madhya Pradesh"/>
    <n v="7"/>
    <x v="15"/>
    <x v="16"/>
    <x v="0"/>
    <x v="0"/>
    <x v="0"/>
    <x v="7"/>
    <x v="8"/>
    <x v="7"/>
    <x v="3"/>
  </r>
  <r>
    <n v="6"/>
    <s v="THANE REGION"/>
    <s v="THANE"/>
    <s v="Maharashtra"/>
    <n v="8"/>
    <x v="15"/>
    <x v="16"/>
    <x v="0"/>
    <x v="1"/>
    <x v="2"/>
    <x v="3"/>
    <x v="3"/>
    <x v="0"/>
    <x v="2"/>
  </r>
  <r>
    <n v="1065"/>
    <s v="GOA REGION"/>
    <s v="GOA"/>
    <s v="Goa"/>
    <n v="4"/>
    <x v="3"/>
    <x v="3"/>
    <x v="0"/>
    <x v="0"/>
    <x v="0"/>
    <x v="5"/>
    <x v="8"/>
    <x v="2"/>
    <x v="5"/>
  </r>
  <r>
    <n v="300"/>
    <s v="DELHI REGION"/>
    <s v="DELHI"/>
    <s v="Delhi"/>
    <n v="3"/>
    <x v="3"/>
    <x v="3"/>
    <x v="6"/>
    <x v="6"/>
    <x v="7"/>
    <x v="5"/>
    <x v="2"/>
    <x v="4"/>
    <x v="4"/>
  </r>
  <r>
    <n v="34"/>
    <s v="MUMBAI REGION"/>
    <s v="MUMBAI"/>
    <s v="Maharashtra"/>
    <n v="8"/>
    <x v="0"/>
    <x v="5"/>
    <x v="0"/>
    <x v="0"/>
    <x v="0"/>
    <x v="2"/>
    <x v="2"/>
    <x v="1"/>
    <x v="2"/>
  </r>
  <r>
    <n v="3336"/>
    <s v="PUNE CITY REGION"/>
    <s v="PUNE CITY"/>
    <s v="Maharashtra"/>
    <n v="8"/>
    <x v="4"/>
    <x v="4"/>
    <x v="0"/>
    <x v="0"/>
    <x v="0"/>
    <x v="0"/>
    <x v="0"/>
    <x v="2"/>
    <x v="0"/>
  </r>
  <r>
    <n v="802"/>
    <s v="PUNE CITY REGION"/>
    <s v="PUNE CITY"/>
    <s v="Maharashtra"/>
    <n v="8"/>
    <x v="4"/>
    <x v="4"/>
    <x v="0"/>
    <x v="0"/>
    <x v="0"/>
    <x v="3"/>
    <x v="2"/>
    <x v="0"/>
    <x v="0"/>
  </r>
  <r>
    <n v="156"/>
    <s v="PUNE CITY REGION"/>
    <s v="PUNE CITY"/>
    <s v="Maharashtra"/>
    <n v="8"/>
    <x v="4"/>
    <x v="4"/>
    <x v="2"/>
    <x v="3"/>
    <x v="1"/>
    <x v="2"/>
    <x v="3"/>
    <x v="0"/>
    <x v="0"/>
  </r>
  <r>
    <n v="1215"/>
    <s v="PUNE CITY REGION"/>
    <s v="PUNE CITY"/>
    <s v="Maharashtra"/>
    <n v="8"/>
    <x v="10"/>
    <x v="11"/>
    <x v="0"/>
    <x v="0"/>
    <x v="0"/>
    <x v="0"/>
    <x v="1"/>
    <x v="8"/>
    <x v="3"/>
  </r>
  <r>
    <n v="66"/>
    <s v="MUMBAI REGION"/>
    <s v="MUMBAI"/>
    <s v="Maharashtra"/>
    <n v="8"/>
    <x v="11"/>
    <x v="12"/>
    <x v="4"/>
    <x v="4"/>
    <x v="0"/>
    <x v="0"/>
    <x v="0"/>
    <x v="3"/>
    <x v="3"/>
  </r>
  <r>
    <n v="1107"/>
    <s v="CHENNAI REGION"/>
    <s v="CHENNAI"/>
    <s v="Tamil Nadu"/>
    <n v="12"/>
    <x v="11"/>
    <x v="12"/>
    <x v="0"/>
    <x v="0"/>
    <x v="0"/>
    <x v="0"/>
    <x v="3"/>
    <x v="1"/>
    <x v="4"/>
  </r>
  <r>
    <n v="627"/>
    <s v="MUMBAI REGION"/>
    <s v="MUMBAI"/>
    <s v="Maharashtra"/>
    <n v="8"/>
    <x v="13"/>
    <x v="14"/>
    <x v="0"/>
    <x v="0"/>
    <x v="2"/>
    <x v="2"/>
    <x v="0"/>
    <x v="3"/>
    <x v="3"/>
  </r>
  <r>
    <n v="264"/>
    <s v="PUNE CITY REGION"/>
    <s v="PUNE CITY"/>
    <s v="Maharashtra"/>
    <n v="8"/>
    <x v="13"/>
    <x v="14"/>
    <x v="0"/>
    <x v="0"/>
    <x v="4"/>
    <x v="3"/>
    <x v="3"/>
    <x v="2"/>
    <x v="3"/>
  </r>
  <r>
    <n v="103"/>
    <s v="KOLKATTA REGION"/>
    <s v="KOLKATA"/>
    <s v="West Bengal"/>
    <n v="14"/>
    <x v="13"/>
    <x v="14"/>
    <x v="0"/>
    <x v="0"/>
    <x v="0"/>
    <x v="0"/>
    <x v="0"/>
    <x v="0"/>
    <x v="2"/>
  </r>
  <r>
    <n v="810"/>
    <s v="PUNE CITY REGION"/>
    <s v="PUNE CITY"/>
    <s v="Maharashtra"/>
    <n v="8"/>
    <x v="13"/>
    <x v="14"/>
    <x v="0"/>
    <x v="4"/>
    <x v="2"/>
    <x v="1"/>
    <x v="1"/>
    <x v="1"/>
    <x v="0"/>
  </r>
  <r>
    <n v="85"/>
    <s v="KOLKATTA REGION"/>
    <s v="KOLKATA"/>
    <s v="West Bengal"/>
    <n v="14"/>
    <x v="11"/>
    <x v="12"/>
    <x v="2"/>
    <x v="3"/>
    <x v="0"/>
    <x v="0"/>
    <x v="0"/>
    <x v="3"/>
    <x v="3"/>
  </r>
  <r>
    <n v="1081"/>
    <s v="RAIPUR REGION"/>
    <s v="RAIPUR"/>
    <s v="Chhattisgarh"/>
    <n v="2"/>
    <x v="11"/>
    <x v="12"/>
    <x v="0"/>
    <x v="0"/>
    <x v="0"/>
    <x v="0"/>
    <x v="0"/>
    <x v="1"/>
    <x v="4"/>
  </r>
  <r>
    <n v="20"/>
    <s v="PUNE CITY REGION"/>
    <s v="PUNE CITY"/>
    <s v="Maharashtra"/>
    <n v="8"/>
    <x v="14"/>
    <x v="15"/>
    <x v="5"/>
    <x v="3"/>
    <x v="1"/>
    <x v="3"/>
    <x v="2"/>
    <x v="2"/>
    <x v="0"/>
  </r>
  <r>
    <n v="127"/>
    <s v="PUNE CITY REGION"/>
    <s v="PUNE CITY"/>
    <s v="Maharashtra"/>
    <n v="8"/>
    <x v="14"/>
    <x v="15"/>
    <x v="0"/>
    <x v="0"/>
    <x v="1"/>
    <x v="2"/>
    <x v="2"/>
    <x v="1"/>
    <x v="4"/>
  </r>
  <r>
    <n v="816"/>
    <s v="AHMEDABAD  REGION"/>
    <s v="AHMEDABAD"/>
    <s v="Gujarat"/>
    <n v="5"/>
    <x v="16"/>
    <x v="17"/>
    <x v="0"/>
    <x v="0"/>
    <x v="0"/>
    <x v="2"/>
    <x v="3"/>
    <x v="0"/>
    <x v="3"/>
  </r>
  <r>
    <n v="57"/>
    <s v="BANGALORE REGION"/>
    <s v="BANGALORE"/>
    <s v="Karnataka"/>
    <n v="6"/>
    <x v="16"/>
    <x v="17"/>
    <x v="5"/>
    <x v="1"/>
    <x v="2"/>
    <x v="6"/>
    <x v="0"/>
    <x v="3"/>
    <x v="3"/>
  </r>
  <r>
    <n v="388"/>
    <s v="AHMEDABAD  REGION"/>
    <s v="AHMEDABAD"/>
    <s v="Gujarat"/>
    <n v="5"/>
    <x v="16"/>
    <x v="17"/>
    <x v="0"/>
    <x v="0"/>
    <x v="1"/>
    <x v="2"/>
    <x v="3"/>
    <x v="0"/>
    <x v="0"/>
  </r>
  <r>
    <n v="727"/>
    <s v="AURANGABAD REGION"/>
    <s v="AURANGABAD"/>
    <s v="Maharashtra"/>
    <n v="8"/>
    <x v="2"/>
    <x v="2"/>
    <x v="5"/>
    <x v="1"/>
    <x v="1"/>
    <x v="0"/>
    <x v="0"/>
    <x v="3"/>
    <x v="3"/>
  </r>
  <r>
    <n v="2481"/>
    <s v="AURANGABAD REGION"/>
    <s v="AURANGABAD"/>
    <s v="Maharashtra"/>
    <n v="8"/>
    <x v="10"/>
    <x v="11"/>
    <x v="1"/>
    <x v="4"/>
    <x v="1"/>
    <x v="3"/>
    <x v="0"/>
    <x v="3"/>
    <x v="3"/>
  </r>
  <r>
    <n v="1662"/>
    <s v="NAGPUR REGION"/>
    <s v="NAGPUR"/>
    <s v="Maharashtra"/>
    <n v="8"/>
    <x v="1"/>
    <x v="1"/>
    <x v="0"/>
    <x v="0"/>
    <x v="0"/>
    <x v="0"/>
    <x v="1"/>
    <x v="1"/>
    <x v="4"/>
  </r>
  <r>
    <n v="44"/>
    <s v="PUNE CITY REGION"/>
    <s v="PUNE CITY"/>
    <s v="Maharashtra"/>
    <n v="8"/>
    <x v="7"/>
    <x v="8"/>
    <x v="0"/>
    <x v="0"/>
    <x v="0"/>
    <x v="0"/>
    <x v="0"/>
    <x v="1"/>
    <x v="2"/>
  </r>
  <r>
    <n v="712"/>
    <s v="SATARA REGION"/>
    <s v="SATARA"/>
    <s v="Maharashtra"/>
    <n v="8"/>
    <x v="14"/>
    <x v="15"/>
    <x v="4"/>
    <x v="2"/>
    <x v="7"/>
    <x v="5"/>
    <x v="0"/>
    <x v="3"/>
    <x v="3"/>
  </r>
  <r>
    <n v="95"/>
    <s v="THANE REGION"/>
    <s v="THANE"/>
    <s v="Maharashtra"/>
    <n v="8"/>
    <x v="1"/>
    <x v="1"/>
    <x v="2"/>
    <x v="3"/>
    <x v="1"/>
    <x v="2"/>
    <x v="1"/>
    <x v="0"/>
    <x v="2"/>
  </r>
  <r>
    <n v="1"/>
    <s v="MUMBAI REGION"/>
    <s v="MUMBAI"/>
    <s v="Maharashtra"/>
    <n v="8"/>
    <x v="12"/>
    <x v="13"/>
    <x v="2"/>
    <x v="3"/>
    <x v="2"/>
    <x v="2"/>
    <x v="1"/>
    <x v="1"/>
    <x v="4"/>
  </r>
  <r>
    <n v="145"/>
    <s v="MUMBAI REGION"/>
    <s v="MUMBAI"/>
    <s v="Maharashtra"/>
    <n v="8"/>
    <x v="5"/>
    <x v="6"/>
    <x v="1"/>
    <x v="1"/>
    <x v="4"/>
    <x v="2"/>
    <x v="2"/>
    <x v="4"/>
    <x v="5"/>
  </r>
  <r>
    <n v="2"/>
    <s v="MUMBAI REGION"/>
    <s v="MUMBAI"/>
    <s v="Maharashtra"/>
    <n v="8"/>
    <x v="3"/>
    <x v="3"/>
    <x v="1"/>
    <x v="3"/>
    <x v="1"/>
    <x v="3"/>
    <x v="1"/>
    <x v="2"/>
    <x v="2"/>
  </r>
  <r>
    <n v="839"/>
    <s v="KOLKATTA REGION"/>
    <s v="KOLKATA"/>
    <s v="West Bengal"/>
    <n v="14"/>
    <x v="0"/>
    <x v="5"/>
    <x v="0"/>
    <x v="0"/>
    <x v="1"/>
    <x v="2"/>
    <x v="3"/>
    <x v="0"/>
    <x v="4"/>
  </r>
  <r>
    <n v="3"/>
    <s v="JABALPUR REGION"/>
    <s v="JABALPUR"/>
    <s v="Madhya Pradesh"/>
    <n v="7"/>
    <x v="2"/>
    <x v="2"/>
    <x v="0"/>
    <x v="0"/>
    <x v="0"/>
    <x v="0"/>
    <x v="3"/>
    <x v="0"/>
    <x v="4"/>
  </r>
  <r>
    <n v="139"/>
    <s v="MUMBAI REGION"/>
    <s v="MUMBAI"/>
    <s v="Maharashtra"/>
    <n v="8"/>
    <x v="13"/>
    <x v="14"/>
    <x v="5"/>
    <x v="1"/>
    <x v="2"/>
    <x v="0"/>
    <x v="0"/>
    <x v="3"/>
    <x v="3"/>
  </r>
  <r>
    <n v="1125"/>
    <s v="BANGALORE REGION"/>
    <s v="BANGALORE"/>
    <s v="Karnataka"/>
    <n v="6"/>
    <x v="10"/>
    <x v="11"/>
    <x v="0"/>
    <x v="0"/>
    <x v="0"/>
    <x v="0"/>
    <x v="3"/>
    <x v="0"/>
    <x v="0"/>
  </r>
  <r>
    <n v="157"/>
    <s v="MUMBAI REGION"/>
    <s v="MUMBAI"/>
    <s v="Maharashtra"/>
    <n v="8"/>
    <x v="7"/>
    <x v="8"/>
    <x v="0"/>
    <x v="0"/>
    <x v="0"/>
    <x v="2"/>
    <x v="3"/>
    <x v="0"/>
    <x v="0"/>
  </r>
  <r>
    <n v="737"/>
    <s v="BANGALORE REGION"/>
    <s v="BANGALORE"/>
    <s v="Karnataka"/>
    <n v="6"/>
    <x v="2"/>
    <x v="2"/>
    <x v="0"/>
    <x v="4"/>
    <x v="1"/>
    <x v="2"/>
    <x v="3"/>
    <x v="3"/>
    <x v="3"/>
  </r>
  <r>
    <n v="237"/>
    <s v="MUMBAI REGION"/>
    <s v="MUMBAI"/>
    <s v="Maharashtra"/>
    <n v="8"/>
    <x v="2"/>
    <x v="2"/>
    <x v="0"/>
    <x v="0"/>
    <x v="0"/>
    <x v="0"/>
    <x v="3"/>
    <x v="0"/>
    <x v="3"/>
  </r>
  <r>
    <n v="970"/>
    <s v="MUMBAI REGION"/>
    <s v="MUMBAI"/>
    <s v="Maharashtra"/>
    <n v="8"/>
    <x v="4"/>
    <x v="4"/>
    <x v="0"/>
    <x v="0"/>
    <x v="0"/>
    <x v="0"/>
    <x v="2"/>
    <x v="2"/>
    <x v="1"/>
  </r>
  <r>
    <n v="695"/>
    <s v="MUMBAI REGION"/>
    <s v="MUMBAI"/>
    <s v="Maharashtra"/>
    <n v="8"/>
    <x v="11"/>
    <x v="12"/>
    <x v="0"/>
    <x v="0"/>
    <x v="0"/>
    <x v="0"/>
    <x v="0"/>
    <x v="1"/>
    <x v="0"/>
  </r>
  <r>
    <n v="51"/>
    <s v="NAGPUR REGION"/>
    <s v="NAGPUR"/>
    <s v="Maharashtra"/>
    <n v="8"/>
    <x v="10"/>
    <x v="11"/>
    <x v="6"/>
    <x v="2"/>
    <x v="7"/>
    <x v="7"/>
    <x v="5"/>
    <x v="4"/>
    <x v="0"/>
  </r>
  <r>
    <n v="2624"/>
    <s v="RATNAGIRI REGION"/>
    <s v="RATNAGIRI"/>
    <s v="Maharashtra"/>
    <n v="8"/>
    <x v="1"/>
    <x v="1"/>
    <x v="0"/>
    <x v="0"/>
    <x v="0"/>
    <x v="0"/>
    <x v="2"/>
    <x v="2"/>
    <x v="3"/>
  </r>
  <r>
    <n v="272"/>
    <s v="KOLHAPUR REGION"/>
    <s v="KOLHAPUR"/>
    <s v="Maharashtra"/>
    <n v="8"/>
    <x v="2"/>
    <x v="2"/>
    <x v="1"/>
    <x v="4"/>
    <x v="2"/>
    <x v="2"/>
    <x v="3"/>
    <x v="1"/>
    <x v="1"/>
  </r>
  <r>
    <n v="33"/>
    <s v="MUMBAI REGION"/>
    <s v="MUMBAI"/>
    <s v="Maharashtra"/>
    <n v="8"/>
    <x v="4"/>
    <x v="4"/>
    <x v="0"/>
    <x v="6"/>
    <x v="8"/>
    <x v="0"/>
    <x v="0"/>
    <x v="3"/>
    <x v="3"/>
  </r>
  <r>
    <n v="21"/>
    <s v="PUNE CITY REGION"/>
    <s v="PUNE CITY"/>
    <s v="Maharashtra"/>
    <n v="8"/>
    <x v="13"/>
    <x v="14"/>
    <x v="2"/>
    <x v="3"/>
    <x v="2"/>
    <x v="2"/>
    <x v="3"/>
    <x v="2"/>
    <x v="4"/>
  </r>
  <r>
    <n v="1723"/>
    <s v="CHENNAI REGION"/>
    <s v="CHENNAI"/>
    <s v="Tamil Nadu"/>
    <n v="12"/>
    <x v="13"/>
    <x v="14"/>
    <x v="0"/>
    <x v="0"/>
    <x v="0"/>
    <x v="0"/>
    <x v="1"/>
    <x v="2"/>
    <x v="1"/>
  </r>
  <r>
    <n v="1583"/>
    <s v="HYDERABAD REGION"/>
    <s v="HYDERABAD"/>
    <s v="Andhra Pradesh"/>
    <n v="1"/>
    <x v="13"/>
    <x v="14"/>
    <x v="0"/>
    <x v="0"/>
    <x v="0"/>
    <x v="0"/>
    <x v="0"/>
    <x v="0"/>
    <x v="0"/>
  </r>
  <r>
    <n v="426"/>
    <s v="BANGALORE REGION"/>
    <s v="BANGALORE"/>
    <s v="Karnataka"/>
    <n v="6"/>
    <x v="13"/>
    <x v="14"/>
    <x v="0"/>
    <x v="0"/>
    <x v="0"/>
    <x v="0"/>
    <x v="0"/>
    <x v="1"/>
    <x v="2"/>
  </r>
  <r>
    <n v="567"/>
    <s v="PUNE RURAL REGION"/>
    <s v="PUNE RURAL"/>
    <s v="Maharashtra"/>
    <n v="8"/>
    <x v="11"/>
    <x v="12"/>
    <x v="0"/>
    <x v="0"/>
    <x v="4"/>
    <x v="7"/>
    <x v="1"/>
    <x v="1"/>
    <x v="2"/>
  </r>
  <r>
    <n v="4138"/>
    <s v="SOLAPUR REGION"/>
    <s v="SOLAPUR"/>
    <s v="Maharashtra"/>
    <n v="8"/>
    <x v="11"/>
    <x v="12"/>
    <x v="0"/>
    <x v="0"/>
    <x v="0"/>
    <x v="0"/>
    <x v="0"/>
    <x v="1"/>
    <x v="0"/>
  </r>
  <r>
    <n v="1068"/>
    <s v="INDORE REGION"/>
    <s v="INDORE"/>
    <s v="Madhya Pradesh"/>
    <n v="7"/>
    <x v="14"/>
    <x v="15"/>
    <x v="0"/>
    <x v="0"/>
    <x v="0"/>
    <x v="0"/>
    <x v="3"/>
    <x v="0"/>
    <x v="0"/>
  </r>
  <r>
    <n v="829"/>
    <s v="JAIPUR REGION"/>
    <s v="JAIPUR"/>
    <s v="Rajasthan"/>
    <n v="11"/>
    <x v="14"/>
    <x v="15"/>
    <x v="0"/>
    <x v="0"/>
    <x v="0"/>
    <x v="0"/>
    <x v="3"/>
    <x v="1"/>
    <x v="2"/>
  </r>
  <r>
    <n v="749"/>
    <s v="INDORE REGION"/>
    <s v="INDORE"/>
    <s v="Madhya Pradesh"/>
    <n v="7"/>
    <x v="16"/>
    <x v="17"/>
    <x v="0"/>
    <x v="3"/>
    <x v="2"/>
    <x v="2"/>
    <x v="1"/>
    <x v="2"/>
    <x v="3"/>
  </r>
  <r>
    <n v="2350"/>
    <s v="RAIGAD REGION"/>
    <s v="RAIGAD"/>
    <s v="Maharashtra"/>
    <n v="8"/>
    <x v="16"/>
    <x v="17"/>
    <x v="0"/>
    <x v="0"/>
    <x v="0"/>
    <x v="0"/>
    <x v="3"/>
    <x v="0"/>
    <x v="3"/>
  </r>
  <r>
    <n v="178"/>
    <s v="PUNE CITY REGION"/>
    <s v="PUNE CITY"/>
    <s v="Maharashtra"/>
    <n v="8"/>
    <x v="16"/>
    <x v="17"/>
    <x v="0"/>
    <x v="0"/>
    <x v="4"/>
    <x v="2"/>
    <x v="0"/>
    <x v="3"/>
    <x v="3"/>
  </r>
  <r>
    <n v="3209"/>
    <s v="PUNE CITY REGION"/>
    <s v="PUNE CITY"/>
    <s v="Maharashtra"/>
    <n v="8"/>
    <x v="2"/>
    <x v="2"/>
    <x v="0"/>
    <x v="0"/>
    <x v="0"/>
    <x v="0"/>
    <x v="1"/>
    <x v="1"/>
    <x v="4"/>
  </r>
  <r>
    <n v="1526"/>
    <s v="HYDERABAD REGION"/>
    <s v="HYDERABAD"/>
    <s v="Andhra Pradesh"/>
    <n v="1"/>
    <x v="10"/>
    <x v="11"/>
    <x v="5"/>
    <x v="1"/>
    <x v="1"/>
    <x v="2"/>
    <x v="0"/>
    <x v="3"/>
    <x v="3"/>
  </r>
  <r>
    <n v="141"/>
    <s v="KOLHAPUR REGION"/>
    <s v="KOLHAPUR"/>
    <s v="Maharashtra"/>
    <n v="8"/>
    <x v="1"/>
    <x v="1"/>
    <x v="2"/>
    <x v="3"/>
    <x v="1"/>
    <x v="2"/>
    <x v="3"/>
    <x v="1"/>
    <x v="0"/>
  </r>
  <r>
    <n v="339"/>
    <s v="NASIK REGION"/>
    <s v="NASIK"/>
    <s v="Maharashtra"/>
    <n v="8"/>
    <x v="7"/>
    <x v="8"/>
    <x v="2"/>
    <x v="3"/>
    <x v="1"/>
    <x v="2"/>
    <x v="3"/>
    <x v="1"/>
    <x v="2"/>
  </r>
  <r>
    <n v="247"/>
    <s v="MUMBAI REGION"/>
    <s v="MUMBAI"/>
    <s v="Maharashtra"/>
    <n v="8"/>
    <x v="14"/>
    <x v="15"/>
    <x v="0"/>
    <x v="2"/>
    <x v="4"/>
    <x v="7"/>
    <x v="1"/>
    <x v="3"/>
    <x v="3"/>
  </r>
  <r>
    <n v="4"/>
    <s v="MUMBAI REGION"/>
    <s v="MUMBAI"/>
    <s v="Maharashtra"/>
    <n v="8"/>
    <x v="1"/>
    <x v="1"/>
    <x v="0"/>
    <x v="0"/>
    <x v="2"/>
    <x v="3"/>
    <x v="0"/>
    <x v="3"/>
    <x v="3"/>
  </r>
  <r>
    <n v="1"/>
    <s v="MUMBAI REGION"/>
    <s v="MUMBAI"/>
    <s v="Maharashtra"/>
    <n v="8"/>
    <x v="8"/>
    <x v="9"/>
    <x v="1"/>
    <x v="4"/>
    <x v="5"/>
    <x v="1"/>
    <x v="2"/>
    <x v="2"/>
    <x v="1"/>
  </r>
  <r>
    <n v="1308"/>
    <s v="THANE REGION"/>
    <s v="THANE"/>
    <s v="Maharashtra"/>
    <n v="8"/>
    <x v="8"/>
    <x v="9"/>
    <x v="0"/>
    <x v="0"/>
    <x v="4"/>
    <x v="1"/>
    <x v="1"/>
    <x v="1"/>
    <x v="7"/>
  </r>
  <r>
    <n v="74"/>
    <s v="KOLKATTA REGION"/>
    <s v="KOLKATA"/>
    <s v="West Bengal"/>
    <n v="14"/>
    <x v="12"/>
    <x v="13"/>
    <x v="2"/>
    <x v="4"/>
    <x v="4"/>
    <x v="5"/>
    <x v="5"/>
    <x v="4"/>
    <x v="1"/>
  </r>
  <r>
    <n v="830"/>
    <s v="NASIK REGION"/>
    <s v="NASIK"/>
    <s v="Maharashtra"/>
    <n v="8"/>
    <x v="12"/>
    <x v="13"/>
    <x v="0"/>
    <x v="0"/>
    <x v="5"/>
    <x v="7"/>
    <x v="1"/>
    <x v="0"/>
    <x v="0"/>
  </r>
  <r>
    <n v="415"/>
    <s v="AHMEDABAD  REGION"/>
    <s v="AHMEDABAD"/>
    <s v="Gujarat"/>
    <n v="5"/>
    <x v="16"/>
    <x v="17"/>
    <x v="0"/>
    <x v="4"/>
    <x v="8"/>
    <x v="0"/>
    <x v="0"/>
    <x v="3"/>
    <x v="3"/>
  </r>
  <r>
    <n v="34"/>
    <s v="AHMEDNAGAR REGION"/>
    <s v="AHMEDNAGAR"/>
    <s v="Maharashtra"/>
    <n v="8"/>
    <x v="8"/>
    <x v="9"/>
    <x v="0"/>
    <x v="0"/>
    <x v="1"/>
    <x v="2"/>
    <x v="0"/>
    <x v="3"/>
    <x v="3"/>
  </r>
  <r>
    <n v="121"/>
    <s v="NASIK REGION"/>
    <s v="NASIK"/>
    <s v="Maharashtra"/>
    <n v="8"/>
    <x v="0"/>
    <x v="5"/>
    <x v="0"/>
    <x v="0"/>
    <x v="1"/>
    <x v="2"/>
    <x v="3"/>
    <x v="3"/>
    <x v="3"/>
  </r>
  <r>
    <n v="2183"/>
    <s v="SATARA REGION"/>
    <s v="SATARA"/>
    <s v="Maharashtra"/>
    <n v="8"/>
    <x v="10"/>
    <x v="11"/>
    <x v="0"/>
    <x v="0"/>
    <x v="5"/>
    <x v="3"/>
    <x v="5"/>
    <x v="2"/>
    <x v="1"/>
  </r>
  <r>
    <n v="782"/>
    <s v="PUNE RURAL REGION"/>
    <s v="PUNE RURAL"/>
    <s v="Maharashtra"/>
    <n v="8"/>
    <x v="10"/>
    <x v="11"/>
    <x v="0"/>
    <x v="0"/>
    <x v="0"/>
    <x v="3"/>
    <x v="1"/>
    <x v="0"/>
    <x v="3"/>
  </r>
  <r>
    <n v="956"/>
    <s v="HYDERABAD REGION"/>
    <s v="HYDERABAD"/>
    <s v="Andhra Pradesh"/>
    <n v="1"/>
    <x v="2"/>
    <x v="2"/>
    <x v="0"/>
    <x v="0"/>
    <x v="0"/>
    <x v="0"/>
    <x v="3"/>
    <x v="0"/>
    <x v="2"/>
  </r>
  <r>
    <n v="2486"/>
    <s v="PUNE CITY REGION"/>
    <s v="PUNE CITY"/>
    <s v="Maharashtra"/>
    <n v="8"/>
    <x v="2"/>
    <x v="2"/>
    <x v="0"/>
    <x v="0"/>
    <x v="2"/>
    <x v="3"/>
    <x v="1"/>
    <x v="1"/>
    <x v="2"/>
  </r>
  <r>
    <n v="3727"/>
    <s v="PUNE CITY REGION"/>
    <s v="PUNE CITY"/>
    <s v="Maharashtra"/>
    <n v="8"/>
    <x v="2"/>
    <x v="2"/>
    <x v="0"/>
    <x v="0"/>
    <x v="0"/>
    <x v="0"/>
    <x v="2"/>
    <x v="2"/>
    <x v="1"/>
  </r>
  <r>
    <n v="58"/>
    <s v="PUNE CITY REGION"/>
    <s v="PUNE CITY"/>
    <s v="Maharashtra"/>
    <n v="8"/>
    <x v="11"/>
    <x v="12"/>
    <x v="2"/>
    <x v="1"/>
    <x v="0"/>
    <x v="2"/>
    <x v="3"/>
    <x v="0"/>
    <x v="0"/>
  </r>
  <r>
    <n v="1488"/>
    <s v="PUNE CITY REGION"/>
    <s v="PUNE CITY"/>
    <s v="Maharashtra"/>
    <n v="8"/>
    <x v="0"/>
    <x v="5"/>
    <x v="0"/>
    <x v="0"/>
    <x v="1"/>
    <x v="2"/>
    <x v="0"/>
    <x v="3"/>
    <x v="3"/>
  </r>
  <r>
    <n v="3533"/>
    <s v="HYDERABAD REGION"/>
    <s v="HYDERABAD"/>
    <s v="Andhra Pradesh"/>
    <n v="1"/>
    <x v="8"/>
    <x v="9"/>
    <x v="0"/>
    <x v="0"/>
    <x v="0"/>
    <x v="0"/>
    <x v="2"/>
    <x v="1"/>
    <x v="2"/>
  </r>
  <r>
    <n v="1"/>
    <s v="THANE REGION"/>
    <s v="THANE"/>
    <s v="Maharashtra"/>
    <n v="8"/>
    <x v="15"/>
    <x v="16"/>
    <x v="0"/>
    <x v="1"/>
    <x v="2"/>
    <x v="3"/>
    <x v="2"/>
    <x v="1"/>
    <x v="2"/>
  </r>
  <r>
    <n v="1190"/>
    <s v="SOLAPUR REGION"/>
    <s v="SOLAPUR"/>
    <s v="Maharashtra"/>
    <n v="8"/>
    <x v="15"/>
    <x v="16"/>
    <x v="4"/>
    <x v="2"/>
    <x v="1"/>
    <x v="0"/>
    <x v="0"/>
    <x v="3"/>
    <x v="3"/>
  </r>
  <r>
    <n v="25"/>
    <s v="PUNE CITY REGION"/>
    <s v="PUNE CITY"/>
    <s v="Maharashtra"/>
    <n v="8"/>
    <x v="2"/>
    <x v="2"/>
    <x v="2"/>
    <x v="3"/>
    <x v="2"/>
    <x v="2"/>
    <x v="3"/>
    <x v="1"/>
    <x v="2"/>
  </r>
  <r>
    <n v="228"/>
    <s v="AHMEDABAD  REGION"/>
    <s v="AHMEDABAD"/>
    <s v="Gujarat"/>
    <n v="5"/>
    <x v="1"/>
    <x v="1"/>
    <x v="4"/>
    <x v="2"/>
    <x v="8"/>
    <x v="6"/>
    <x v="0"/>
    <x v="3"/>
    <x v="3"/>
  </r>
  <r>
    <n v="469"/>
    <s v="AHMEDABAD  REGION"/>
    <s v="AHMEDABAD"/>
    <s v="Gujarat"/>
    <n v="5"/>
    <x v="0"/>
    <x v="5"/>
    <x v="4"/>
    <x v="2"/>
    <x v="8"/>
    <x v="6"/>
    <x v="0"/>
    <x v="3"/>
    <x v="3"/>
  </r>
  <r>
    <n v="464"/>
    <s v="CHENNAI REGION"/>
    <s v="CHENNAI"/>
    <s v="Tamil Nadu"/>
    <n v="12"/>
    <x v="2"/>
    <x v="2"/>
    <x v="0"/>
    <x v="0"/>
    <x v="0"/>
    <x v="0"/>
    <x v="1"/>
    <x v="1"/>
    <x v="4"/>
  </r>
  <r>
    <n v="1964"/>
    <s v="PUNE CITY REGION"/>
    <s v="PUNE CITY"/>
    <s v="Maharashtra"/>
    <n v="8"/>
    <x v="14"/>
    <x v="15"/>
    <x v="5"/>
    <x v="1"/>
    <x v="1"/>
    <x v="2"/>
    <x v="0"/>
    <x v="3"/>
    <x v="3"/>
  </r>
  <r>
    <n v="3064"/>
    <s v="PUNE CITY REGION"/>
    <s v="PUNE CITY"/>
    <s v="Maharashtra"/>
    <n v="8"/>
    <x v="16"/>
    <x v="17"/>
    <x v="0"/>
    <x v="0"/>
    <x v="0"/>
    <x v="0"/>
    <x v="0"/>
    <x v="1"/>
    <x v="2"/>
  </r>
  <r>
    <n v="1259"/>
    <s v="THANE REGION"/>
    <s v="THANE"/>
    <s v="Maharashtra"/>
    <n v="8"/>
    <x v="16"/>
    <x v="17"/>
    <x v="0"/>
    <x v="0"/>
    <x v="0"/>
    <x v="0"/>
    <x v="7"/>
    <x v="6"/>
    <x v="6"/>
  </r>
  <r>
    <n v="1690"/>
    <s v="PUNE CITY REGION"/>
    <s v="PUNE CITY"/>
    <s v="Maharashtra"/>
    <n v="8"/>
    <x v="16"/>
    <x v="17"/>
    <x v="0"/>
    <x v="0"/>
    <x v="0"/>
    <x v="0"/>
    <x v="2"/>
    <x v="4"/>
    <x v="1"/>
  </r>
  <r>
    <n v="3383"/>
    <s v="PUNE CITY REGION"/>
    <s v="PUNE CITY"/>
    <s v="Maharashtra"/>
    <n v="8"/>
    <x v="15"/>
    <x v="16"/>
    <x v="0"/>
    <x v="0"/>
    <x v="0"/>
    <x v="7"/>
    <x v="5"/>
    <x v="1"/>
    <x v="3"/>
  </r>
  <r>
    <n v="137"/>
    <s v="THANE REGION"/>
    <s v="THANE"/>
    <s v="Maharashtra"/>
    <n v="8"/>
    <x v="15"/>
    <x v="16"/>
    <x v="0"/>
    <x v="3"/>
    <x v="1"/>
    <x v="2"/>
    <x v="3"/>
    <x v="0"/>
    <x v="4"/>
  </r>
  <r>
    <n v="576"/>
    <s v="PUNE CITY REGION"/>
    <s v="PUNE CITY"/>
    <s v="Maharashtra"/>
    <n v="8"/>
    <x v="2"/>
    <x v="2"/>
    <x v="0"/>
    <x v="1"/>
    <x v="1"/>
    <x v="2"/>
    <x v="3"/>
    <x v="0"/>
    <x v="4"/>
  </r>
  <r>
    <n v="115"/>
    <s v="PUNE CITY REGION"/>
    <s v="PUNE CITY"/>
    <s v="Maharashtra"/>
    <n v="8"/>
    <x v="1"/>
    <x v="1"/>
    <x v="5"/>
    <x v="4"/>
    <x v="1"/>
    <x v="2"/>
    <x v="3"/>
    <x v="2"/>
    <x v="4"/>
  </r>
  <r>
    <n v="1142"/>
    <s v="INDORE REGION"/>
    <s v="INDORE"/>
    <s v="Madhya Pradesh"/>
    <n v="7"/>
    <x v="0"/>
    <x v="5"/>
    <x v="0"/>
    <x v="0"/>
    <x v="0"/>
    <x v="0"/>
    <x v="3"/>
    <x v="0"/>
    <x v="0"/>
  </r>
  <r>
    <n v="1450"/>
    <s v="MUMBAI REGION"/>
    <s v="MUMBAI"/>
    <s v="Maharashtra"/>
    <n v="8"/>
    <x v="2"/>
    <x v="2"/>
    <x v="0"/>
    <x v="0"/>
    <x v="0"/>
    <x v="0"/>
    <x v="3"/>
    <x v="0"/>
    <x v="3"/>
  </r>
  <r>
    <n v="3564"/>
    <s v="PUNE CITY REGION"/>
    <s v="PUNE CITY"/>
    <s v="Maharashtra"/>
    <n v="8"/>
    <x v="6"/>
    <x v="7"/>
    <x v="0"/>
    <x v="0"/>
    <x v="0"/>
    <x v="0"/>
    <x v="1"/>
    <x v="1"/>
    <x v="4"/>
  </r>
  <r>
    <n v="1462"/>
    <s v="SATARA REGION"/>
    <s v="SATARA"/>
    <s v="Maharashtra"/>
    <n v="8"/>
    <x v="16"/>
    <x v="17"/>
    <x v="0"/>
    <x v="1"/>
    <x v="2"/>
    <x v="3"/>
    <x v="2"/>
    <x v="2"/>
    <x v="3"/>
  </r>
  <r>
    <n v="585"/>
    <s v="NASIK REGION"/>
    <s v="NASIK"/>
    <s v="Maharashtra"/>
    <n v="8"/>
    <x v="16"/>
    <x v="17"/>
    <x v="4"/>
    <x v="4"/>
    <x v="2"/>
    <x v="3"/>
    <x v="1"/>
    <x v="2"/>
    <x v="1"/>
  </r>
  <r>
    <n v="1"/>
    <s v="BANGALORE REGION"/>
    <s v="BANGALORE"/>
    <s v="Karnataka"/>
    <n v="6"/>
    <x v="6"/>
    <x v="7"/>
    <x v="0"/>
    <x v="0"/>
    <x v="0"/>
    <x v="2"/>
    <x v="1"/>
    <x v="0"/>
    <x v="2"/>
  </r>
  <r>
    <n v="1551"/>
    <s v="MUMBAI REGION"/>
    <s v="MUMBAI"/>
    <s v="Maharashtra"/>
    <n v="8"/>
    <x v="6"/>
    <x v="7"/>
    <x v="0"/>
    <x v="0"/>
    <x v="0"/>
    <x v="0"/>
    <x v="0"/>
    <x v="4"/>
    <x v="1"/>
  </r>
  <r>
    <n v="15"/>
    <s v="NASIK REGION"/>
    <s v="NASIK"/>
    <s v="Maharashtra"/>
    <n v="8"/>
    <x v="11"/>
    <x v="12"/>
    <x v="0"/>
    <x v="0"/>
    <x v="0"/>
    <x v="0"/>
    <x v="3"/>
    <x v="1"/>
    <x v="0"/>
  </r>
  <r>
    <n v="53"/>
    <s v="JAIPUR REGION"/>
    <s v="JAIPUR"/>
    <s v="Rajasthan"/>
    <n v="11"/>
    <x v="2"/>
    <x v="2"/>
    <x v="1"/>
    <x v="1"/>
    <x v="4"/>
    <x v="1"/>
    <x v="2"/>
    <x v="2"/>
    <x v="2"/>
  </r>
  <r>
    <n v="359"/>
    <s v="PUNE CITY REGION"/>
    <s v="PUNE CITY"/>
    <s v="Maharashtra"/>
    <n v="8"/>
    <x v="10"/>
    <x v="11"/>
    <x v="0"/>
    <x v="0"/>
    <x v="0"/>
    <x v="0"/>
    <x v="1"/>
    <x v="4"/>
    <x v="4"/>
  </r>
  <r>
    <n v="70"/>
    <s v="DELHI REGION"/>
    <s v="DELHI"/>
    <s v="Delhi"/>
    <n v="3"/>
    <x v="14"/>
    <x v="15"/>
    <x v="0"/>
    <x v="3"/>
    <x v="4"/>
    <x v="0"/>
    <x v="0"/>
    <x v="3"/>
    <x v="3"/>
  </r>
  <r>
    <n v="100"/>
    <s v="CHANDRAPUR REGION"/>
    <s v="CHANDIGARH"/>
    <s v="Punjab"/>
    <n v="9"/>
    <x v="1"/>
    <x v="1"/>
    <x v="0"/>
    <x v="0"/>
    <x v="0"/>
    <x v="0"/>
    <x v="1"/>
    <x v="0"/>
    <x v="3"/>
  </r>
  <r>
    <n v="745"/>
    <s v="DELHI REGION"/>
    <s v="DELHI"/>
    <s v="Delhi"/>
    <n v="3"/>
    <x v="8"/>
    <x v="9"/>
    <x v="0"/>
    <x v="0"/>
    <x v="0"/>
    <x v="0"/>
    <x v="3"/>
    <x v="1"/>
    <x v="3"/>
  </r>
  <r>
    <n v="2282"/>
    <s v="DELHI REGION"/>
    <s v="DELHI"/>
    <s v="Delhi"/>
    <n v="3"/>
    <x v="0"/>
    <x v="5"/>
    <x v="0"/>
    <x v="0"/>
    <x v="0"/>
    <x v="0"/>
    <x v="1"/>
    <x v="2"/>
    <x v="4"/>
  </r>
  <r>
    <n v="1149"/>
    <s v="DELHI REGION"/>
    <s v="DELHI"/>
    <s v="Delhi"/>
    <n v="3"/>
    <x v="10"/>
    <x v="11"/>
    <x v="0"/>
    <x v="0"/>
    <x v="0"/>
    <x v="0"/>
    <x v="0"/>
    <x v="5"/>
    <x v="0"/>
  </r>
  <r>
    <n v="673"/>
    <s v="KOLHAPUR REGION"/>
    <s v="KOLHAPUR"/>
    <s v="Maharashtra"/>
    <n v="8"/>
    <x v="10"/>
    <x v="11"/>
    <x v="1"/>
    <x v="4"/>
    <x v="4"/>
    <x v="8"/>
    <x v="8"/>
    <x v="3"/>
    <x v="3"/>
  </r>
  <r>
    <n v="169"/>
    <s v="MUMBAI REGION"/>
    <s v="MUMBAI"/>
    <s v="Maharashtra"/>
    <n v="8"/>
    <x v="16"/>
    <x v="17"/>
    <x v="0"/>
    <x v="1"/>
    <x v="1"/>
    <x v="2"/>
    <x v="3"/>
    <x v="3"/>
    <x v="3"/>
  </r>
  <r>
    <n v="715"/>
    <s v="MUMBAI REGION"/>
    <s v="MUMBAI"/>
    <s v="Maharashtra"/>
    <n v="8"/>
    <x v="13"/>
    <x v="14"/>
    <x v="0"/>
    <x v="0"/>
    <x v="0"/>
    <x v="0"/>
    <x v="0"/>
    <x v="1"/>
    <x v="2"/>
  </r>
  <r>
    <n v="451"/>
    <s v="BANGALORE REGION"/>
    <s v="BANGALORE"/>
    <s v="Karnataka"/>
    <n v="6"/>
    <x v="13"/>
    <x v="14"/>
    <x v="0"/>
    <x v="0"/>
    <x v="0"/>
    <x v="0"/>
    <x v="3"/>
    <x v="0"/>
    <x v="0"/>
  </r>
  <r>
    <n v="11"/>
    <s v="DELHI REGION"/>
    <s v="DELHI"/>
    <s v="Delhi"/>
    <n v="3"/>
    <x v="13"/>
    <x v="14"/>
    <x v="0"/>
    <x v="0"/>
    <x v="5"/>
    <x v="5"/>
    <x v="0"/>
    <x v="3"/>
    <x v="3"/>
  </r>
  <r>
    <n v="14"/>
    <s v="PUNE CITY REGION"/>
    <s v="PUNE CITY"/>
    <s v="Maharashtra"/>
    <n v="8"/>
    <x v="13"/>
    <x v="14"/>
    <x v="2"/>
    <x v="3"/>
    <x v="1"/>
    <x v="2"/>
    <x v="3"/>
    <x v="0"/>
    <x v="0"/>
  </r>
  <r>
    <n v="128"/>
    <s v="KOLKATTA REGION"/>
    <s v="KOLKATA"/>
    <s v="West Bengal"/>
    <n v="14"/>
    <x v="11"/>
    <x v="12"/>
    <x v="2"/>
    <x v="1"/>
    <x v="2"/>
    <x v="2"/>
    <x v="2"/>
    <x v="1"/>
    <x v="4"/>
  </r>
  <r>
    <n v="954"/>
    <s v="DELHI REGION"/>
    <s v="DELHI"/>
    <s v="Delhi"/>
    <n v="3"/>
    <x v="11"/>
    <x v="12"/>
    <x v="0"/>
    <x v="0"/>
    <x v="0"/>
    <x v="0"/>
    <x v="0"/>
    <x v="0"/>
    <x v="0"/>
  </r>
  <r>
    <n v="3177"/>
    <s v="HYDERABAD REGION"/>
    <s v="HYDERABAD"/>
    <s v="Andhra Pradesh"/>
    <n v="1"/>
    <x v="14"/>
    <x v="15"/>
    <x v="0"/>
    <x v="0"/>
    <x v="0"/>
    <x v="0"/>
    <x v="0"/>
    <x v="2"/>
    <x v="2"/>
  </r>
  <r>
    <n v="3362"/>
    <s v="PUNE CITY REGION"/>
    <s v="PUNE CITY"/>
    <s v="Maharashtra"/>
    <n v="8"/>
    <x v="14"/>
    <x v="15"/>
    <x v="0"/>
    <x v="0"/>
    <x v="0"/>
    <x v="2"/>
    <x v="7"/>
    <x v="6"/>
    <x v="6"/>
  </r>
  <r>
    <n v="889"/>
    <s v="MUMBAI REGION"/>
    <s v="MUMBAI"/>
    <s v="Maharashtra"/>
    <n v="8"/>
    <x v="16"/>
    <x v="17"/>
    <x v="0"/>
    <x v="0"/>
    <x v="0"/>
    <x v="0"/>
    <x v="3"/>
    <x v="0"/>
    <x v="4"/>
  </r>
  <r>
    <n v="1458"/>
    <s v="HYDERABAD REGION"/>
    <s v="HYDERABAD"/>
    <s v="Andhra Pradesh"/>
    <n v="1"/>
    <x v="16"/>
    <x v="17"/>
    <x v="0"/>
    <x v="0"/>
    <x v="0"/>
    <x v="2"/>
    <x v="3"/>
    <x v="0"/>
    <x v="2"/>
  </r>
  <r>
    <n v="724"/>
    <s v="AHMEDABAD  REGION"/>
    <s v="AHMEDABAD"/>
    <s v="Gujarat"/>
    <n v="5"/>
    <x v="16"/>
    <x v="17"/>
    <x v="5"/>
    <x v="3"/>
    <x v="1"/>
    <x v="3"/>
    <x v="1"/>
    <x v="6"/>
    <x v="1"/>
  </r>
  <r>
    <n v="294"/>
    <s v="PUNE CITY REGION"/>
    <s v="PUNE CITY"/>
    <s v="Maharashtra"/>
    <n v="8"/>
    <x v="2"/>
    <x v="2"/>
    <x v="0"/>
    <x v="0"/>
    <x v="0"/>
    <x v="0"/>
    <x v="1"/>
    <x v="2"/>
    <x v="0"/>
  </r>
  <r>
    <n v="1746"/>
    <s v="NASIK REGION"/>
    <s v="NASIK"/>
    <s v="Maharashtra"/>
    <n v="8"/>
    <x v="10"/>
    <x v="11"/>
    <x v="0"/>
    <x v="0"/>
    <x v="0"/>
    <x v="0"/>
    <x v="2"/>
    <x v="2"/>
    <x v="1"/>
  </r>
  <r>
    <n v="19"/>
    <s v="LUCKNOW REGION"/>
    <s v="LUCKNOW"/>
    <s v="Uttar Pradesh"/>
    <n v="13"/>
    <x v="1"/>
    <x v="1"/>
    <x v="0"/>
    <x v="0"/>
    <x v="0"/>
    <x v="0"/>
    <x v="2"/>
    <x v="4"/>
    <x v="4"/>
  </r>
  <r>
    <n v="25"/>
    <s v="BANGALORE REGION"/>
    <s v="BANGALORE"/>
    <s v="Karnataka"/>
    <n v="6"/>
    <x v="7"/>
    <x v="8"/>
    <x v="2"/>
    <x v="3"/>
    <x v="1"/>
    <x v="2"/>
    <x v="3"/>
    <x v="1"/>
    <x v="0"/>
  </r>
  <r>
    <n v="925"/>
    <s v="MUMBAI REGION"/>
    <s v="MUMBAI"/>
    <s v="Maharashtra"/>
    <n v="8"/>
    <x v="14"/>
    <x v="15"/>
    <x v="0"/>
    <x v="0"/>
    <x v="0"/>
    <x v="0"/>
    <x v="3"/>
    <x v="1"/>
    <x v="0"/>
  </r>
  <r>
    <n v="43"/>
    <s v="DELHI REGION"/>
    <s v="DELHI"/>
    <s v="Delhi"/>
    <n v="3"/>
    <x v="1"/>
    <x v="1"/>
    <x v="0"/>
    <x v="3"/>
    <x v="1"/>
    <x v="3"/>
    <x v="3"/>
    <x v="2"/>
    <x v="4"/>
  </r>
  <r>
    <n v="104"/>
    <s v="LUCKNOW REGION"/>
    <s v="LUCKNOW"/>
    <s v="Uttar Pradesh"/>
    <n v="13"/>
    <x v="8"/>
    <x v="9"/>
    <x v="0"/>
    <x v="0"/>
    <x v="0"/>
    <x v="2"/>
    <x v="3"/>
    <x v="1"/>
    <x v="2"/>
  </r>
  <r>
    <n v="359"/>
    <s v="CHENNAI REGION"/>
    <s v="CHENNAI"/>
    <s v="Tamil Nadu"/>
    <n v="12"/>
    <x v="0"/>
    <x v="5"/>
    <x v="0"/>
    <x v="3"/>
    <x v="1"/>
    <x v="2"/>
    <x v="3"/>
    <x v="0"/>
    <x v="3"/>
  </r>
  <r>
    <n v="278"/>
    <s v="MUMBAI REGION"/>
    <s v="MUMBAI"/>
    <s v="Maharashtra"/>
    <n v="8"/>
    <x v="10"/>
    <x v="11"/>
    <x v="1"/>
    <x v="1"/>
    <x v="5"/>
    <x v="7"/>
    <x v="0"/>
    <x v="3"/>
    <x v="3"/>
  </r>
  <r>
    <n v="721"/>
    <s v="THANE REGION"/>
    <s v="THANE"/>
    <s v="Maharashtra"/>
    <n v="8"/>
    <x v="10"/>
    <x v="11"/>
    <x v="0"/>
    <x v="4"/>
    <x v="5"/>
    <x v="3"/>
    <x v="5"/>
    <x v="1"/>
    <x v="2"/>
  </r>
  <r>
    <n v="44"/>
    <s v="NASIK REGION"/>
    <s v="NASIK"/>
    <s v="Maharashtra"/>
    <n v="8"/>
    <x v="2"/>
    <x v="2"/>
    <x v="0"/>
    <x v="3"/>
    <x v="1"/>
    <x v="2"/>
    <x v="3"/>
    <x v="0"/>
    <x v="2"/>
  </r>
  <r>
    <n v="1400"/>
    <s v="DELHI REGION"/>
    <s v="DELHI"/>
    <s v="Delhi"/>
    <n v="3"/>
    <x v="2"/>
    <x v="2"/>
    <x v="0"/>
    <x v="0"/>
    <x v="0"/>
    <x v="0"/>
    <x v="1"/>
    <x v="1"/>
    <x v="1"/>
  </r>
  <r>
    <n v="2121"/>
    <s v="NAGPUR REGION"/>
    <s v="NAGPUR"/>
    <s v="Maharashtra"/>
    <n v="8"/>
    <x v="2"/>
    <x v="2"/>
    <x v="0"/>
    <x v="0"/>
    <x v="0"/>
    <x v="0"/>
    <x v="1"/>
    <x v="1"/>
    <x v="1"/>
  </r>
  <r>
    <n v="393"/>
    <s v="PUNE CITY REGION"/>
    <s v="PUNE CITY"/>
    <s v="Maharashtra"/>
    <n v="8"/>
    <x v="11"/>
    <x v="12"/>
    <x v="0"/>
    <x v="0"/>
    <x v="0"/>
    <x v="2"/>
    <x v="3"/>
    <x v="0"/>
    <x v="0"/>
  </r>
  <r>
    <n v="134"/>
    <s v="THANE REGION"/>
    <s v="THANE"/>
    <s v="Maharashtra"/>
    <n v="8"/>
    <x v="0"/>
    <x v="5"/>
    <x v="4"/>
    <x v="1"/>
    <x v="4"/>
    <x v="3"/>
    <x v="1"/>
    <x v="0"/>
    <x v="4"/>
  </r>
  <r>
    <n v="1648"/>
    <s v="PUNE CITY REGION"/>
    <s v="PUNE CITY"/>
    <s v="Maharashtra"/>
    <n v="8"/>
    <x v="8"/>
    <x v="9"/>
    <x v="0"/>
    <x v="0"/>
    <x v="0"/>
    <x v="0"/>
    <x v="0"/>
    <x v="2"/>
    <x v="0"/>
  </r>
  <r>
    <n v="283"/>
    <s v="DELHI REGION"/>
    <s v="DELHI"/>
    <s v="Delhi"/>
    <n v="3"/>
    <x v="15"/>
    <x v="16"/>
    <x v="0"/>
    <x v="0"/>
    <x v="1"/>
    <x v="2"/>
    <x v="3"/>
    <x v="3"/>
    <x v="3"/>
  </r>
  <r>
    <n v="19"/>
    <s v="MUMBAI REGION"/>
    <s v="MUMBAI"/>
    <s v="Maharashtra"/>
    <n v="8"/>
    <x v="15"/>
    <x v="16"/>
    <x v="0"/>
    <x v="1"/>
    <x v="1"/>
    <x v="1"/>
    <x v="2"/>
    <x v="1"/>
    <x v="3"/>
  </r>
  <r>
    <n v="481"/>
    <s v="PUNE CITY REGION"/>
    <s v="PUNE CITY"/>
    <s v="Maharashtra"/>
    <n v="8"/>
    <x v="2"/>
    <x v="2"/>
    <x v="0"/>
    <x v="0"/>
    <x v="5"/>
    <x v="7"/>
    <x v="2"/>
    <x v="1"/>
    <x v="1"/>
  </r>
  <r>
    <n v="65"/>
    <s v="PUNE CITY REGION"/>
    <s v="PUNE CITY"/>
    <s v="Maharashtra"/>
    <n v="8"/>
    <x v="1"/>
    <x v="1"/>
    <x v="1"/>
    <x v="4"/>
    <x v="4"/>
    <x v="0"/>
    <x v="0"/>
    <x v="3"/>
    <x v="3"/>
  </r>
  <r>
    <n v="376"/>
    <s v="MUMBAI REGION"/>
    <s v="MUMBAI"/>
    <s v="Maharashtra"/>
    <n v="8"/>
    <x v="0"/>
    <x v="5"/>
    <x v="0"/>
    <x v="3"/>
    <x v="1"/>
    <x v="2"/>
    <x v="3"/>
    <x v="0"/>
    <x v="0"/>
  </r>
  <r>
    <n v="1333"/>
    <s v="PUNE CITY REGION"/>
    <s v="PUNE CITY"/>
    <s v="Maharashtra"/>
    <n v="8"/>
    <x v="2"/>
    <x v="2"/>
    <x v="0"/>
    <x v="4"/>
    <x v="2"/>
    <x v="3"/>
    <x v="2"/>
    <x v="2"/>
    <x v="0"/>
  </r>
  <r>
    <n v="1334"/>
    <s v="PUNE CITY REGION"/>
    <s v="PUNE CITY"/>
    <s v="Maharashtra"/>
    <n v="8"/>
    <x v="13"/>
    <x v="14"/>
    <x v="5"/>
    <x v="4"/>
    <x v="0"/>
    <x v="0"/>
    <x v="0"/>
    <x v="3"/>
    <x v="3"/>
  </r>
  <r>
    <n v="299"/>
    <s v="DELHI REGION"/>
    <s v="DELHI"/>
    <s v="Delhi"/>
    <n v="3"/>
    <x v="13"/>
    <x v="14"/>
    <x v="0"/>
    <x v="0"/>
    <x v="0"/>
    <x v="0"/>
    <x v="3"/>
    <x v="0"/>
    <x v="3"/>
  </r>
  <r>
    <n v="1577"/>
    <s v="SATARA REGION"/>
    <s v="SATARA"/>
    <s v="Maharashtra"/>
    <n v="8"/>
    <x v="13"/>
    <x v="14"/>
    <x v="0"/>
    <x v="1"/>
    <x v="4"/>
    <x v="1"/>
    <x v="1"/>
    <x v="4"/>
    <x v="6"/>
  </r>
  <r>
    <n v="643"/>
    <s v="DELHI REGION"/>
    <s v="DELHI"/>
    <s v="Delhi"/>
    <n v="3"/>
    <x v="11"/>
    <x v="12"/>
    <x v="0"/>
    <x v="0"/>
    <x v="0"/>
    <x v="0"/>
    <x v="1"/>
    <x v="2"/>
    <x v="4"/>
  </r>
  <r>
    <n v="1861"/>
    <s v="LATUR REGION"/>
    <s v="LATUR"/>
    <s v="Maharashtra"/>
    <n v="8"/>
    <x v="11"/>
    <x v="12"/>
    <x v="0"/>
    <x v="0"/>
    <x v="0"/>
    <x v="0"/>
    <x v="0"/>
    <x v="2"/>
    <x v="4"/>
  </r>
  <r>
    <n v="2196"/>
    <s v="SOLAPUR REGION"/>
    <s v="SOLAPUR"/>
    <s v="Maharashtra"/>
    <n v="8"/>
    <x v="14"/>
    <x v="15"/>
    <x v="0"/>
    <x v="0"/>
    <x v="0"/>
    <x v="0"/>
    <x v="0"/>
    <x v="0"/>
    <x v="0"/>
  </r>
  <r>
    <n v="456"/>
    <s v="SOLAPUR REGION"/>
    <s v="SOLAPUR"/>
    <s v="Maharashtra"/>
    <n v="8"/>
    <x v="14"/>
    <x v="15"/>
    <x v="0"/>
    <x v="4"/>
    <x v="4"/>
    <x v="2"/>
    <x v="3"/>
    <x v="0"/>
    <x v="0"/>
  </r>
  <r>
    <n v="3499"/>
    <s v="PUNE CITY REGION"/>
    <s v="PUNE CITY"/>
    <s v="Maharashtra"/>
    <n v="8"/>
    <x v="16"/>
    <x v="17"/>
    <x v="0"/>
    <x v="0"/>
    <x v="0"/>
    <x v="0"/>
    <x v="0"/>
    <x v="1"/>
    <x v="2"/>
  </r>
  <r>
    <n v="1316"/>
    <s v="CHENNAI REGION"/>
    <s v="CHENNAI"/>
    <s v="Tamil Nadu"/>
    <n v="12"/>
    <x v="16"/>
    <x v="17"/>
    <x v="0"/>
    <x v="0"/>
    <x v="1"/>
    <x v="2"/>
    <x v="3"/>
    <x v="3"/>
    <x v="3"/>
  </r>
  <r>
    <n v="49"/>
    <s v="PUNE CITY REGION"/>
    <s v="PUNE CITY"/>
    <s v="Maharashtra"/>
    <n v="8"/>
    <x v="16"/>
    <x v="17"/>
    <x v="1"/>
    <x v="4"/>
    <x v="4"/>
    <x v="1"/>
    <x v="2"/>
    <x v="4"/>
    <x v="0"/>
  </r>
  <r>
    <n v="1395"/>
    <s v="CHANDIGARH REGION"/>
    <s v="CHANDIGARH"/>
    <s v="Punjab&amp;Haryana"/>
    <n v="10"/>
    <x v="2"/>
    <x v="2"/>
    <x v="0"/>
    <x v="0"/>
    <x v="0"/>
    <x v="1"/>
    <x v="2"/>
    <x v="2"/>
    <x v="4"/>
  </r>
  <r>
    <n v="6"/>
    <s v="NASIK REGION"/>
    <s v="NASIK"/>
    <s v="Maharashtra"/>
    <n v="8"/>
    <x v="10"/>
    <x v="11"/>
    <x v="0"/>
    <x v="0"/>
    <x v="0"/>
    <x v="0"/>
    <x v="3"/>
    <x v="0"/>
    <x v="4"/>
  </r>
  <r>
    <n v="114"/>
    <s v="THANE REGION"/>
    <s v="THANE"/>
    <s v="Maharashtra"/>
    <n v="8"/>
    <x v="1"/>
    <x v="1"/>
    <x v="5"/>
    <x v="3"/>
    <x v="1"/>
    <x v="2"/>
    <x v="1"/>
    <x v="1"/>
    <x v="4"/>
  </r>
  <r>
    <n v="454"/>
    <s v="NAGPUR REGION"/>
    <s v="NAGPUR"/>
    <s v="Maharashtra"/>
    <n v="8"/>
    <x v="7"/>
    <x v="8"/>
    <x v="1"/>
    <x v="4"/>
    <x v="2"/>
    <x v="3"/>
    <x v="1"/>
    <x v="1"/>
    <x v="0"/>
  </r>
  <r>
    <n v="1157"/>
    <s v="PUNE CITY REGION"/>
    <s v="PUNE CITY"/>
    <s v="Maharashtra"/>
    <n v="8"/>
    <x v="14"/>
    <x v="15"/>
    <x v="0"/>
    <x v="0"/>
    <x v="0"/>
    <x v="1"/>
    <x v="2"/>
    <x v="1"/>
    <x v="2"/>
  </r>
  <r>
    <n v="2483"/>
    <s v="SATARA REGION"/>
    <s v="SATARA"/>
    <s v="Maharashtra"/>
    <n v="8"/>
    <x v="1"/>
    <x v="1"/>
    <x v="0"/>
    <x v="0"/>
    <x v="4"/>
    <x v="1"/>
    <x v="2"/>
    <x v="2"/>
    <x v="3"/>
  </r>
  <r>
    <n v="677"/>
    <s v="MUMBAI REGION"/>
    <s v="MUMBAI"/>
    <s v="Maharashtra"/>
    <n v="8"/>
    <x v="11"/>
    <x v="12"/>
    <x v="0"/>
    <x v="0"/>
    <x v="1"/>
    <x v="2"/>
    <x v="3"/>
    <x v="0"/>
    <x v="3"/>
  </r>
  <r>
    <n v="1376"/>
    <s v="PUNE CITY REGION"/>
    <s v="PUNE CITY"/>
    <s v="Maharashtra"/>
    <n v="8"/>
    <x v="8"/>
    <x v="9"/>
    <x v="2"/>
    <x v="4"/>
    <x v="2"/>
    <x v="3"/>
    <x v="1"/>
    <x v="2"/>
    <x v="1"/>
  </r>
  <r>
    <n v="2"/>
    <s v="MUMBAI REGION"/>
    <s v="MUMBAI"/>
    <s v="Maharashtra"/>
    <n v="8"/>
    <x v="0"/>
    <x v="5"/>
    <x v="6"/>
    <x v="2"/>
    <x v="5"/>
    <x v="3"/>
    <x v="2"/>
    <x v="1"/>
    <x v="2"/>
  </r>
  <r>
    <n v="235"/>
    <s v="PUNE CITY REGION"/>
    <s v="PUNE CITY"/>
    <s v="Maharashtra"/>
    <n v="8"/>
    <x v="10"/>
    <x v="11"/>
    <x v="0"/>
    <x v="3"/>
    <x v="1"/>
    <x v="2"/>
    <x v="0"/>
    <x v="3"/>
    <x v="3"/>
  </r>
  <r>
    <n v="1344"/>
    <s v="AMRAVATI REGION"/>
    <s v="AMRAVATI"/>
    <s v="Maharashtra"/>
    <n v="8"/>
    <x v="10"/>
    <x v="11"/>
    <x v="0"/>
    <x v="0"/>
    <x v="0"/>
    <x v="0"/>
    <x v="1"/>
    <x v="0"/>
    <x v="2"/>
  </r>
  <r>
    <n v="232"/>
    <s v="CHENNAI REGION"/>
    <s v="CHENNAI"/>
    <s v="Tamil Nadu"/>
    <n v="12"/>
    <x v="2"/>
    <x v="2"/>
    <x v="0"/>
    <x v="3"/>
    <x v="4"/>
    <x v="1"/>
    <x v="1"/>
    <x v="2"/>
    <x v="3"/>
  </r>
  <r>
    <n v="646"/>
    <s v="NASIK REGION"/>
    <s v="NASIK"/>
    <s v="Maharashtra"/>
    <n v="8"/>
    <x v="2"/>
    <x v="2"/>
    <x v="0"/>
    <x v="3"/>
    <x v="1"/>
    <x v="2"/>
    <x v="3"/>
    <x v="0"/>
    <x v="0"/>
  </r>
  <r>
    <n v="3694"/>
    <s v="PUNE CITY REGION"/>
    <s v="PUNE CITY"/>
    <s v="Maharashtra"/>
    <n v="8"/>
    <x v="2"/>
    <x v="2"/>
    <x v="0"/>
    <x v="0"/>
    <x v="0"/>
    <x v="7"/>
    <x v="5"/>
    <x v="2"/>
    <x v="4"/>
  </r>
  <r>
    <n v="546"/>
    <s v="THANE REGION"/>
    <s v="THANE"/>
    <s v="Maharashtra"/>
    <n v="8"/>
    <x v="11"/>
    <x v="12"/>
    <x v="0"/>
    <x v="0"/>
    <x v="0"/>
    <x v="0"/>
    <x v="1"/>
    <x v="0"/>
    <x v="4"/>
  </r>
  <r>
    <n v="729"/>
    <s v="DELHI REGION"/>
    <s v="DELHI"/>
    <s v="Delhi"/>
    <n v="3"/>
    <x v="0"/>
    <x v="5"/>
    <x v="0"/>
    <x v="0"/>
    <x v="1"/>
    <x v="2"/>
    <x v="3"/>
    <x v="3"/>
    <x v="3"/>
  </r>
  <r>
    <n v="2802"/>
    <s v="NAGPUR REGION"/>
    <s v="NAGPUR"/>
    <s v="Maharashtra"/>
    <n v="8"/>
    <x v="8"/>
    <x v="9"/>
    <x v="0"/>
    <x v="0"/>
    <x v="0"/>
    <x v="0"/>
    <x v="0"/>
    <x v="2"/>
    <x v="4"/>
  </r>
  <r>
    <n v="1680"/>
    <s v="RAIPUR REGION"/>
    <s v="RAIPUR"/>
    <s v="Chhattisgarh"/>
    <n v="2"/>
    <x v="15"/>
    <x v="16"/>
    <x v="0"/>
    <x v="0"/>
    <x v="0"/>
    <x v="0"/>
    <x v="0"/>
    <x v="1"/>
    <x v="2"/>
  </r>
  <r>
    <n v="3696"/>
    <s v="SATARA REGION"/>
    <s v="SATARA"/>
    <s v="Maharashtra"/>
    <n v="8"/>
    <x v="15"/>
    <x v="16"/>
    <x v="0"/>
    <x v="0"/>
    <x v="0"/>
    <x v="0"/>
    <x v="1"/>
    <x v="2"/>
    <x v="4"/>
  </r>
  <r>
    <n v="66"/>
    <s v="AHMEDABAD  REGION"/>
    <s v="AHMEDABAD"/>
    <s v="Gujarat"/>
    <n v="5"/>
    <x v="2"/>
    <x v="2"/>
    <x v="0"/>
    <x v="0"/>
    <x v="0"/>
    <x v="0"/>
    <x v="0"/>
    <x v="0"/>
    <x v="4"/>
  </r>
  <r>
    <n v="1317"/>
    <s v="KOLKATTA REGION"/>
    <s v="KOLKATA"/>
    <s v="West Bengal"/>
    <n v="14"/>
    <x v="1"/>
    <x v="1"/>
    <x v="0"/>
    <x v="0"/>
    <x v="0"/>
    <x v="0"/>
    <x v="2"/>
    <x v="2"/>
    <x v="4"/>
  </r>
  <r>
    <n v="128"/>
    <s v="RAIPUR REGION"/>
    <s v="RAIPUR"/>
    <s v="Chhattisgarh"/>
    <n v="2"/>
    <x v="0"/>
    <x v="5"/>
    <x v="0"/>
    <x v="0"/>
    <x v="0"/>
    <x v="0"/>
    <x v="3"/>
    <x v="0"/>
    <x v="0"/>
  </r>
  <r>
    <n v="1343"/>
    <s v="AMRAVATI REGION"/>
    <s v="AMRAVATI"/>
    <s v="Maharashtra"/>
    <n v="8"/>
    <x v="2"/>
    <x v="2"/>
    <x v="0"/>
    <x v="0"/>
    <x v="0"/>
    <x v="0"/>
    <x v="1"/>
    <x v="0"/>
    <x v="2"/>
  </r>
  <r>
    <n v="799"/>
    <s v="SATARA REGION"/>
    <s v="SATARA"/>
    <s v="Maharashtra"/>
    <n v="8"/>
    <x v="6"/>
    <x v="7"/>
    <x v="4"/>
    <x v="2"/>
    <x v="6"/>
    <x v="6"/>
    <x v="0"/>
    <x v="3"/>
    <x v="3"/>
  </r>
  <r>
    <n v="1909"/>
    <s v="SOLAPUR REGION"/>
    <s v="SOLAPUR"/>
    <s v="Maharashtra"/>
    <n v="8"/>
    <x v="16"/>
    <x v="17"/>
    <x v="0"/>
    <x v="0"/>
    <x v="0"/>
    <x v="0"/>
    <x v="0"/>
    <x v="0"/>
    <x v="0"/>
  </r>
  <r>
    <n v="91"/>
    <s v="NASIK REGION"/>
    <s v="NASIK"/>
    <s v="Maharashtra"/>
    <n v="8"/>
    <x v="16"/>
    <x v="17"/>
    <x v="0"/>
    <x v="0"/>
    <x v="0"/>
    <x v="0"/>
    <x v="3"/>
    <x v="0"/>
    <x v="2"/>
  </r>
  <r>
    <n v="515"/>
    <s v="AMRAVATI REGION"/>
    <s v="AMRAVATI"/>
    <s v="Maharashtra"/>
    <n v="8"/>
    <x v="6"/>
    <x v="7"/>
    <x v="0"/>
    <x v="6"/>
    <x v="7"/>
    <x v="8"/>
    <x v="8"/>
    <x v="5"/>
    <x v="3"/>
  </r>
  <r>
    <n v="50"/>
    <s v="RAIPUR REGION"/>
    <s v="RAIPUR"/>
    <s v="Chhattisgarh"/>
    <n v="2"/>
    <x v="6"/>
    <x v="7"/>
    <x v="0"/>
    <x v="0"/>
    <x v="0"/>
    <x v="0"/>
    <x v="3"/>
    <x v="1"/>
    <x v="3"/>
  </r>
  <r>
    <n v="1832"/>
    <s v="SATARA REGION"/>
    <s v="SATARA"/>
    <s v="Maharashtra"/>
    <n v="8"/>
    <x v="11"/>
    <x v="12"/>
    <x v="0"/>
    <x v="0"/>
    <x v="0"/>
    <x v="0"/>
    <x v="0"/>
    <x v="1"/>
    <x v="2"/>
  </r>
  <r>
    <n v="1089"/>
    <s v="THANE REGION"/>
    <s v="THANE"/>
    <s v="Maharashtra"/>
    <n v="8"/>
    <x v="2"/>
    <x v="2"/>
    <x v="0"/>
    <x v="0"/>
    <x v="0"/>
    <x v="7"/>
    <x v="5"/>
    <x v="2"/>
    <x v="0"/>
  </r>
  <r>
    <n v="4"/>
    <s v="AHMEDNAGAR REGION"/>
    <s v="AHMEDNAGAR"/>
    <s v="Maharashtra"/>
    <n v="8"/>
    <x v="10"/>
    <x v="11"/>
    <x v="1"/>
    <x v="4"/>
    <x v="2"/>
    <x v="2"/>
    <x v="1"/>
    <x v="1"/>
    <x v="1"/>
  </r>
  <r>
    <n v="16"/>
    <s v="AHMEDNAGAR REGION"/>
    <s v="AHMEDNAGAR"/>
    <s v="Maharashtra"/>
    <n v="8"/>
    <x v="1"/>
    <x v="1"/>
    <x v="0"/>
    <x v="0"/>
    <x v="0"/>
    <x v="1"/>
    <x v="1"/>
    <x v="2"/>
    <x v="1"/>
  </r>
  <r>
    <n v="1162"/>
    <s v="INDORE REGION"/>
    <s v="INDORE"/>
    <s v="Madhya Pradesh"/>
    <n v="7"/>
    <x v="7"/>
    <x v="8"/>
    <x v="0"/>
    <x v="0"/>
    <x v="0"/>
    <x v="3"/>
    <x v="3"/>
    <x v="3"/>
    <x v="3"/>
  </r>
  <r>
    <n v="3639"/>
    <s v="PUNE CITY REGION"/>
    <s v="PUNE CITY"/>
    <s v="Maharashtra"/>
    <n v="8"/>
    <x v="14"/>
    <x v="15"/>
    <x v="0"/>
    <x v="0"/>
    <x v="0"/>
    <x v="0"/>
    <x v="1"/>
    <x v="2"/>
    <x v="1"/>
  </r>
  <r>
    <n v="2170"/>
    <s v="PUNE CITY REGION"/>
    <s v="PUNE CITY"/>
    <s v="Maharashtra"/>
    <n v="8"/>
    <x v="1"/>
    <x v="1"/>
    <x v="5"/>
    <x v="3"/>
    <x v="1"/>
    <x v="2"/>
    <x v="2"/>
    <x v="4"/>
    <x v="1"/>
  </r>
  <r>
    <n v="3235"/>
    <s v="PUNE CITY REGION"/>
    <s v="PUNE CITY"/>
    <s v="Maharashtra"/>
    <n v="8"/>
    <x v="12"/>
    <x v="13"/>
    <x v="0"/>
    <x v="0"/>
    <x v="0"/>
    <x v="1"/>
    <x v="5"/>
    <x v="6"/>
    <x v="6"/>
  </r>
  <r>
    <n v="1180"/>
    <s v="INDORE REGION"/>
    <s v="INDORE"/>
    <s v="Madhya Pradesh"/>
    <n v="7"/>
    <x v="5"/>
    <x v="6"/>
    <x v="0"/>
    <x v="0"/>
    <x v="0"/>
    <x v="3"/>
    <x v="1"/>
    <x v="3"/>
    <x v="3"/>
  </r>
  <r>
    <n v="44"/>
    <s v="PUNE CITY REGION"/>
    <s v="PUNE CITY"/>
    <s v="Maharashtra"/>
    <n v="8"/>
    <x v="3"/>
    <x v="3"/>
    <x v="0"/>
    <x v="6"/>
    <x v="7"/>
    <x v="5"/>
    <x v="2"/>
    <x v="2"/>
    <x v="5"/>
  </r>
  <r>
    <n v="236"/>
    <s v="MUMBAI REGION"/>
    <s v="MUMBAI"/>
    <s v="Maharashtra"/>
    <n v="8"/>
    <x v="0"/>
    <x v="5"/>
    <x v="1"/>
    <x v="4"/>
    <x v="1"/>
    <x v="2"/>
    <x v="3"/>
    <x v="1"/>
    <x v="2"/>
  </r>
  <r>
    <n v="446"/>
    <s v="AHMEDNAGAR REGION"/>
    <s v="AHMEDNAGAR"/>
    <s v="Maharashtra"/>
    <n v="8"/>
    <x v="2"/>
    <x v="2"/>
    <x v="0"/>
    <x v="0"/>
    <x v="2"/>
    <x v="3"/>
    <x v="1"/>
    <x v="0"/>
    <x v="0"/>
  </r>
  <r>
    <n v="1334"/>
    <s v="SATARA REGION"/>
    <s v="SATARA"/>
    <s v="Maharashtra"/>
    <n v="8"/>
    <x v="13"/>
    <x v="14"/>
    <x v="0"/>
    <x v="0"/>
    <x v="0"/>
    <x v="0"/>
    <x v="1"/>
    <x v="1"/>
    <x v="2"/>
  </r>
  <r>
    <n v="1198"/>
    <s v="CHENNAI REGION"/>
    <s v="CHENNAI"/>
    <s v="Tamil Nadu"/>
    <n v="12"/>
    <x v="10"/>
    <x v="11"/>
    <x v="0"/>
    <x v="0"/>
    <x v="0"/>
    <x v="0"/>
    <x v="3"/>
    <x v="1"/>
    <x v="3"/>
  </r>
  <r>
    <n v="3032"/>
    <s v="JALGAON  REGION"/>
    <s v="JALGAON"/>
    <s v="Maharashtra"/>
    <n v="8"/>
    <x v="7"/>
    <x v="8"/>
    <x v="0"/>
    <x v="0"/>
    <x v="0"/>
    <x v="0"/>
    <x v="0"/>
    <x v="1"/>
    <x v="2"/>
  </r>
  <r>
    <n v="1729"/>
    <s v="CHENNAI REGION"/>
    <s v="CHENNAI"/>
    <s v="Tamil Nadu"/>
    <n v="12"/>
    <x v="2"/>
    <x v="2"/>
    <x v="0"/>
    <x v="0"/>
    <x v="0"/>
    <x v="0"/>
    <x v="0"/>
    <x v="0"/>
    <x v="0"/>
  </r>
  <r>
    <n v="1124"/>
    <s v="LATUR REGION"/>
    <s v="LATUR"/>
    <s v="Maharashtra"/>
    <n v="8"/>
    <x v="2"/>
    <x v="2"/>
    <x v="0"/>
    <x v="0"/>
    <x v="1"/>
    <x v="2"/>
    <x v="3"/>
    <x v="0"/>
    <x v="0"/>
  </r>
  <r>
    <n v="3"/>
    <s v="MUMBAI REGION"/>
    <s v="MUMBAI"/>
    <s v="Maharashtra"/>
    <n v="8"/>
    <x v="4"/>
    <x v="4"/>
    <x v="2"/>
    <x v="3"/>
    <x v="2"/>
    <x v="2"/>
    <x v="3"/>
    <x v="3"/>
    <x v="3"/>
  </r>
  <r>
    <n v="2132"/>
    <s v="PUNE CITY REGION"/>
    <s v="PUNE CITY"/>
    <s v="Maharashtra"/>
    <n v="8"/>
    <x v="11"/>
    <x v="12"/>
    <x v="0"/>
    <x v="0"/>
    <x v="0"/>
    <x v="0"/>
    <x v="1"/>
    <x v="5"/>
    <x v="3"/>
  </r>
  <r>
    <n v="393"/>
    <s v="HYDERABAD REGION"/>
    <s v="HYDERABAD"/>
    <s v="Andhra Pradesh"/>
    <n v="1"/>
    <x v="10"/>
    <x v="11"/>
    <x v="0"/>
    <x v="0"/>
    <x v="0"/>
    <x v="0"/>
    <x v="1"/>
    <x v="2"/>
    <x v="2"/>
  </r>
  <r>
    <n v="2025"/>
    <s v="PUNE CITY REGION"/>
    <s v="PUNE CITY"/>
    <s v="Maharashtra"/>
    <n v="8"/>
    <x v="1"/>
    <x v="1"/>
    <x v="0"/>
    <x v="0"/>
    <x v="0"/>
    <x v="0"/>
    <x v="1"/>
    <x v="1"/>
    <x v="0"/>
  </r>
  <r>
    <n v="532"/>
    <s v="AHMEDABAD  REGION"/>
    <s v="AHMEDABAD"/>
    <s v="Gujarat"/>
    <n v="5"/>
    <x v="2"/>
    <x v="2"/>
    <x v="0"/>
    <x v="0"/>
    <x v="0"/>
    <x v="0"/>
    <x v="3"/>
    <x v="0"/>
    <x v="0"/>
  </r>
  <r>
    <n v="3150"/>
    <s v="PUNE CITY REGION"/>
    <s v="PUNE CITY"/>
    <s v="Maharashtra"/>
    <n v="8"/>
    <x v="4"/>
    <x v="4"/>
    <x v="0"/>
    <x v="0"/>
    <x v="0"/>
    <x v="0"/>
    <x v="0"/>
    <x v="1"/>
    <x v="0"/>
  </r>
  <r>
    <n v="1153"/>
    <s v="HYDERABAD REGION"/>
    <s v="HYDERABAD"/>
    <s v="Andhra Pradesh"/>
    <n v="1"/>
    <x v="9"/>
    <x v="10"/>
    <x v="0"/>
    <x v="0"/>
    <x v="2"/>
    <x v="3"/>
    <x v="2"/>
    <x v="5"/>
    <x v="5"/>
  </r>
  <r>
    <n v="461"/>
    <s v="MUMBAI REGION"/>
    <s v="MUMBAI"/>
    <s v="Maharashtra"/>
    <n v="8"/>
    <x v="10"/>
    <x v="11"/>
    <x v="0"/>
    <x v="3"/>
    <x v="1"/>
    <x v="2"/>
    <x v="1"/>
    <x v="0"/>
    <x v="0"/>
  </r>
  <r>
    <n v="60"/>
    <s v="PUNE CITY REGION"/>
    <s v="PUNE CITY"/>
    <s v="Maharashtra"/>
    <n v="8"/>
    <x v="10"/>
    <x v="11"/>
    <x v="0"/>
    <x v="0"/>
    <x v="0"/>
    <x v="0"/>
    <x v="0"/>
    <x v="2"/>
    <x v="2"/>
  </r>
  <r>
    <n v="1285"/>
    <s v="PUNE CITY REGION"/>
    <s v="PUNE CITY"/>
    <s v="Maharashtra"/>
    <n v="8"/>
    <x v="4"/>
    <x v="4"/>
    <x v="0"/>
    <x v="0"/>
    <x v="2"/>
    <x v="2"/>
    <x v="5"/>
    <x v="5"/>
    <x v="5"/>
  </r>
  <r>
    <n v="73"/>
    <s v="KOLKATTA REGION"/>
    <s v="KOLKATA"/>
    <s v="West Bengal"/>
    <n v="14"/>
    <x v="4"/>
    <x v="4"/>
    <x v="1"/>
    <x v="4"/>
    <x v="7"/>
    <x v="7"/>
    <x v="4"/>
    <x v="7"/>
    <x v="3"/>
  </r>
  <r>
    <n v="381"/>
    <s v="PUNE CITY REGION"/>
    <s v="PUNE CITY"/>
    <s v="Maharashtra"/>
    <n v="8"/>
    <x v="7"/>
    <x v="8"/>
    <x v="0"/>
    <x v="0"/>
    <x v="0"/>
    <x v="0"/>
    <x v="0"/>
    <x v="2"/>
    <x v="2"/>
  </r>
  <r>
    <n v="12"/>
    <s v="MUMBAI REGION"/>
    <s v="MUMBAI"/>
    <s v="Maharashtra"/>
    <n v="8"/>
    <x v="4"/>
    <x v="4"/>
    <x v="5"/>
    <x v="3"/>
    <x v="1"/>
    <x v="2"/>
    <x v="1"/>
    <x v="0"/>
    <x v="2"/>
  </r>
  <r>
    <n v="319"/>
    <s v="DELHI REGION"/>
    <s v="DELHI"/>
    <s v="Delhi"/>
    <n v="3"/>
    <x v="12"/>
    <x v="13"/>
    <x v="2"/>
    <x v="4"/>
    <x v="0"/>
    <x v="1"/>
    <x v="3"/>
    <x v="0"/>
    <x v="0"/>
  </r>
  <r>
    <n v="2011"/>
    <s v="CHENNAI REGION"/>
    <s v="CHENNAI"/>
    <s v="Tamil Nadu"/>
    <n v="12"/>
    <x v="12"/>
    <x v="13"/>
    <x v="0"/>
    <x v="0"/>
    <x v="0"/>
    <x v="0"/>
    <x v="0"/>
    <x v="4"/>
    <x v="4"/>
  </r>
  <r>
    <n v="60"/>
    <s v="PUNE CITY REGION"/>
    <s v="PUNE CITY"/>
    <s v="Maharashtra"/>
    <n v="8"/>
    <x v="6"/>
    <x v="7"/>
    <x v="0"/>
    <x v="0"/>
    <x v="0"/>
    <x v="0"/>
    <x v="3"/>
    <x v="1"/>
    <x v="2"/>
  </r>
  <r>
    <n v="422"/>
    <s v="PUNE CITY REGION"/>
    <s v="PUNE CITY"/>
    <s v="Maharashtra"/>
    <n v="8"/>
    <x v="6"/>
    <x v="7"/>
    <x v="0"/>
    <x v="0"/>
    <x v="0"/>
    <x v="0"/>
    <x v="3"/>
    <x v="0"/>
    <x v="0"/>
  </r>
  <r>
    <n v="1648"/>
    <s v="MUMBAI REGION"/>
    <s v="MUMBAI"/>
    <s v="Maharashtra"/>
    <n v="8"/>
    <x v="1"/>
    <x v="1"/>
    <x v="0"/>
    <x v="0"/>
    <x v="0"/>
    <x v="0"/>
    <x v="0"/>
    <x v="0"/>
    <x v="0"/>
  </r>
  <r>
    <n v="1393"/>
    <s v="NASIK REGION"/>
    <s v="NASIK"/>
    <s v="Maharashtra"/>
    <n v="8"/>
    <x v="1"/>
    <x v="1"/>
    <x v="0"/>
    <x v="0"/>
    <x v="0"/>
    <x v="3"/>
    <x v="1"/>
    <x v="0"/>
    <x v="0"/>
  </r>
  <r>
    <n v="792"/>
    <s v="DELHI REGION"/>
    <s v="DELHI"/>
    <s v="Delhi"/>
    <n v="3"/>
    <x v="7"/>
    <x v="8"/>
    <x v="0"/>
    <x v="0"/>
    <x v="0"/>
    <x v="0"/>
    <x v="0"/>
    <x v="0"/>
    <x v="0"/>
  </r>
  <r>
    <n v="982"/>
    <s v="PUNE CITY REGION"/>
    <s v="PUNE CITY"/>
    <s v="Maharashtra"/>
    <n v="8"/>
    <x v="15"/>
    <x v="16"/>
    <x v="0"/>
    <x v="0"/>
    <x v="0"/>
    <x v="3"/>
    <x v="1"/>
    <x v="1"/>
    <x v="5"/>
  </r>
  <r>
    <n v="2519"/>
    <s v="PUNE CITY REGION"/>
    <s v="PUNE CITY"/>
    <s v="Maharashtra"/>
    <n v="8"/>
    <x v="15"/>
    <x v="16"/>
    <x v="0"/>
    <x v="0"/>
    <x v="4"/>
    <x v="2"/>
    <x v="1"/>
    <x v="1"/>
    <x v="3"/>
  </r>
  <r>
    <n v="838"/>
    <s v="DELHI REGION"/>
    <s v="DELHI"/>
    <s v="Delhi"/>
    <n v="3"/>
    <x v="3"/>
    <x v="3"/>
    <x v="0"/>
    <x v="0"/>
    <x v="0"/>
    <x v="0"/>
    <x v="0"/>
    <x v="2"/>
    <x v="4"/>
  </r>
  <r>
    <n v="14"/>
    <s v="DELHI REGION"/>
    <s v="DELHI"/>
    <s v="Delhi"/>
    <n v="3"/>
    <x v="3"/>
    <x v="3"/>
    <x v="0"/>
    <x v="0"/>
    <x v="2"/>
    <x v="1"/>
    <x v="2"/>
    <x v="1"/>
    <x v="0"/>
  </r>
  <r>
    <n v="312"/>
    <s v="CHANDIGARH REGION"/>
    <s v="CHANDIGARH"/>
    <s v="Punjab&amp;Haryana"/>
    <n v="10"/>
    <x v="0"/>
    <x v="5"/>
    <x v="5"/>
    <x v="1"/>
    <x v="0"/>
    <x v="0"/>
    <x v="0"/>
    <x v="3"/>
    <x v="3"/>
  </r>
  <r>
    <n v="3514"/>
    <s v="SOLAPUR REGION"/>
    <s v="SOLAPUR"/>
    <s v="Maharashtra"/>
    <n v="8"/>
    <x v="4"/>
    <x v="4"/>
    <x v="0"/>
    <x v="0"/>
    <x v="0"/>
    <x v="0"/>
    <x v="1"/>
    <x v="2"/>
    <x v="0"/>
  </r>
  <r>
    <n v="1373"/>
    <s v="HYDERABAD REGION"/>
    <s v="HYDERABAD"/>
    <s v="Andhra Pradesh"/>
    <n v="1"/>
    <x v="4"/>
    <x v="4"/>
    <x v="0"/>
    <x v="0"/>
    <x v="1"/>
    <x v="2"/>
    <x v="3"/>
    <x v="0"/>
    <x v="4"/>
  </r>
  <r>
    <n v="3"/>
    <s v="PUNE CITY REGION"/>
    <s v="PUNE CITY"/>
    <s v="Maharashtra"/>
    <n v="8"/>
    <x v="4"/>
    <x v="4"/>
    <x v="0"/>
    <x v="0"/>
    <x v="0"/>
    <x v="0"/>
    <x v="2"/>
    <x v="4"/>
    <x v="4"/>
  </r>
  <r>
    <n v="1117"/>
    <s v="THANE REGION"/>
    <s v="THANE"/>
    <s v="Maharashtra"/>
    <n v="8"/>
    <x v="10"/>
    <x v="11"/>
    <x v="0"/>
    <x v="0"/>
    <x v="0"/>
    <x v="3"/>
    <x v="1"/>
    <x v="4"/>
    <x v="3"/>
  </r>
  <r>
    <n v="531"/>
    <s v="MUMBAI REGION"/>
    <s v="MUMBAI"/>
    <s v="Maharashtra"/>
    <n v="8"/>
    <x v="11"/>
    <x v="12"/>
    <x v="0"/>
    <x v="0"/>
    <x v="0"/>
    <x v="2"/>
    <x v="3"/>
    <x v="2"/>
    <x v="2"/>
  </r>
  <r>
    <n v="132"/>
    <s v="MUMBAI REGION"/>
    <s v="MUMBAI"/>
    <s v="Maharashtra"/>
    <n v="8"/>
    <x v="11"/>
    <x v="12"/>
    <x v="0"/>
    <x v="0"/>
    <x v="0"/>
    <x v="1"/>
    <x v="5"/>
    <x v="3"/>
    <x v="3"/>
  </r>
  <r>
    <n v="1720"/>
    <s v="PUNE CITY REGION"/>
    <s v="PUNE CITY"/>
    <s v="Maharashtra"/>
    <n v="8"/>
    <x v="13"/>
    <x v="14"/>
    <x v="0"/>
    <x v="0"/>
    <x v="0"/>
    <x v="1"/>
    <x v="2"/>
    <x v="3"/>
    <x v="3"/>
  </r>
  <r>
    <n v="1503"/>
    <s v="PUNE CITY REGION"/>
    <s v="PUNE CITY"/>
    <s v="Maharashtra"/>
    <n v="8"/>
    <x v="13"/>
    <x v="14"/>
    <x v="0"/>
    <x v="0"/>
    <x v="0"/>
    <x v="2"/>
    <x v="1"/>
    <x v="0"/>
    <x v="3"/>
  </r>
  <r>
    <n v="1646"/>
    <s v="RAIGAD REGION"/>
    <s v="RAIGAD"/>
    <s v="Maharashtra"/>
    <n v="8"/>
    <x v="13"/>
    <x v="14"/>
    <x v="0"/>
    <x v="0"/>
    <x v="2"/>
    <x v="1"/>
    <x v="3"/>
    <x v="3"/>
    <x v="3"/>
  </r>
  <r>
    <n v="1"/>
    <s v="NASIK REGION"/>
    <s v="NASIK"/>
    <s v="Maharashtra"/>
    <n v="8"/>
    <x v="13"/>
    <x v="14"/>
    <x v="4"/>
    <x v="1"/>
    <x v="8"/>
    <x v="0"/>
    <x v="0"/>
    <x v="3"/>
    <x v="3"/>
  </r>
  <r>
    <n v="217"/>
    <s v="PUNE CITY REGION"/>
    <s v="PUNE CITY"/>
    <s v="Maharashtra"/>
    <n v="8"/>
    <x v="11"/>
    <x v="12"/>
    <x v="0"/>
    <x v="0"/>
    <x v="1"/>
    <x v="1"/>
    <x v="1"/>
    <x v="1"/>
    <x v="2"/>
  </r>
  <r>
    <n v="3"/>
    <s v="MUMBAI REGION"/>
    <s v="MUMBAI"/>
    <s v="Maharashtra"/>
    <n v="8"/>
    <x v="11"/>
    <x v="12"/>
    <x v="4"/>
    <x v="2"/>
    <x v="5"/>
    <x v="1"/>
    <x v="2"/>
    <x v="0"/>
    <x v="0"/>
  </r>
  <r>
    <n v="136"/>
    <s v="KOLKATTA REGION"/>
    <s v="KOLKATA"/>
    <s v="West Bengal"/>
    <n v="14"/>
    <x v="14"/>
    <x v="15"/>
    <x v="0"/>
    <x v="0"/>
    <x v="0"/>
    <x v="0"/>
    <x v="7"/>
    <x v="5"/>
    <x v="3"/>
  </r>
  <r>
    <n v="1301"/>
    <s v="HYDERABAD REGION"/>
    <s v="HYDERABAD"/>
    <s v="Andhra Pradesh"/>
    <n v="1"/>
    <x v="14"/>
    <x v="15"/>
    <x v="0"/>
    <x v="0"/>
    <x v="0"/>
    <x v="0"/>
    <x v="1"/>
    <x v="0"/>
    <x v="2"/>
  </r>
  <r>
    <n v="339"/>
    <s v="BANGALORE REGION"/>
    <s v="BANGALORE"/>
    <s v="Karnataka"/>
    <n v="6"/>
    <x v="16"/>
    <x v="17"/>
    <x v="0"/>
    <x v="0"/>
    <x v="0"/>
    <x v="3"/>
    <x v="1"/>
    <x v="3"/>
    <x v="3"/>
  </r>
  <r>
    <n v="935"/>
    <s v="MUMBAI REGION"/>
    <s v="MUMBAI"/>
    <s v="Maharashtra"/>
    <n v="8"/>
    <x v="16"/>
    <x v="17"/>
    <x v="0"/>
    <x v="0"/>
    <x v="5"/>
    <x v="7"/>
    <x v="2"/>
    <x v="2"/>
    <x v="3"/>
  </r>
  <r>
    <n v="694"/>
    <s v="CHENNAI REGION"/>
    <s v="CHENNAI"/>
    <s v="Tamil Nadu"/>
    <n v="12"/>
    <x v="16"/>
    <x v="17"/>
    <x v="0"/>
    <x v="0"/>
    <x v="1"/>
    <x v="1"/>
    <x v="1"/>
    <x v="1"/>
    <x v="2"/>
  </r>
  <r>
    <n v="167"/>
    <s v="KOLKATTA REGION"/>
    <s v="KOLKATA"/>
    <s v="West Bengal"/>
    <n v="14"/>
    <x v="7"/>
    <x v="8"/>
    <x v="0"/>
    <x v="0"/>
    <x v="0"/>
    <x v="0"/>
    <x v="3"/>
    <x v="0"/>
    <x v="1"/>
  </r>
  <r>
    <n v="776"/>
    <s v="CHENNAI REGION"/>
    <s v="CHENNAI"/>
    <s v="Tamil Nadu"/>
    <n v="12"/>
    <x v="15"/>
    <x v="16"/>
    <x v="0"/>
    <x v="0"/>
    <x v="0"/>
    <x v="0"/>
    <x v="3"/>
    <x v="0"/>
    <x v="3"/>
  </r>
  <r>
    <n v="674"/>
    <s v="CHENNAI REGION"/>
    <s v="CHENNAI"/>
    <s v="Tamil Nadu"/>
    <n v="12"/>
    <x v="0"/>
    <x v="5"/>
    <x v="0"/>
    <x v="0"/>
    <x v="2"/>
    <x v="2"/>
    <x v="1"/>
    <x v="1"/>
    <x v="1"/>
  </r>
  <r>
    <n v="123"/>
    <s v="KOLKATTA REGION"/>
    <s v="KOLKATA"/>
    <s v="West Bengal"/>
    <n v="14"/>
    <x v="3"/>
    <x v="3"/>
    <x v="2"/>
    <x v="1"/>
    <x v="2"/>
    <x v="2"/>
    <x v="3"/>
    <x v="3"/>
    <x v="3"/>
  </r>
  <r>
    <n v="607"/>
    <s v="KOLKATTA REGION"/>
    <s v="KOLKATA"/>
    <s v="West Bengal"/>
    <n v="14"/>
    <x v="3"/>
    <x v="3"/>
    <x v="0"/>
    <x v="0"/>
    <x v="0"/>
    <x v="0"/>
    <x v="0"/>
    <x v="1"/>
    <x v="4"/>
  </r>
  <r>
    <n v="45"/>
    <s v="BANGALORE REGION"/>
    <s v="BANGALORE"/>
    <s v="Karnataka"/>
    <n v="6"/>
    <x v="2"/>
    <x v="2"/>
    <x v="0"/>
    <x v="0"/>
    <x v="0"/>
    <x v="0"/>
    <x v="0"/>
    <x v="1"/>
    <x v="2"/>
  </r>
  <r>
    <n v="1188"/>
    <s v="HYDERABAD REGION"/>
    <s v="HYDERABAD"/>
    <s v="Andhra Pradesh"/>
    <n v="1"/>
    <x v="11"/>
    <x v="12"/>
    <x v="0"/>
    <x v="0"/>
    <x v="0"/>
    <x v="2"/>
    <x v="1"/>
    <x v="1"/>
    <x v="3"/>
  </r>
  <r>
    <n v="555"/>
    <s v="BANGALORE REGION"/>
    <s v="BANGALORE"/>
    <s v="Karnataka"/>
    <n v="6"/>
    <x v="1"/>
    <x v="1"/>
    <x v="0"/>
    <x v="0"/>
    <x v="1"/>
    <x v="2"/>
    <x v="3"/>
    <x v="0"/>
    <x v="0"/>
  </r>
  <r>
    <n v="880"/>
    <s v="BANGALORE REGION"/>
    <s v="BANGALORE"/>
    <s v="Karnataka"/>
    <n v="6"/>
    <x v="1"/>
    <x v="1"/>
    <x v="0"/>
    <x v="0"/>
    <x v="0"/>
    <x v="2"/>
    <x v="3"/>
    <x v="0"/>
    <x v="4"/>
  </r>
  <r>
    <n v="327"/>
    <s v="NASIK REGION"/>
    <s v="NASIK"/>
    <s v="Maharashtra"/>
    <n v="8"/>
    <x v="2"/>
    <x v="2"/>
    <x v="0"/>
    <x v="1"/>
    <x v="1"/>
    <x v="1"/>
    <x v="5"/>
    <x v="5"/>
    <x v="8"/>
  </r>
  <r>
    <n v="31"/>
    <s v="RAIPUR REGION"/>
    <s v="RAIPUR"/>
    <s v="Chhattisgarh"/>
    <n v="2"/>
    <x v="8"/>
    <x v="9"/>
    <x v="0"/>
    <x v="0"/>
    <x v="4"/>
    <x v="3"/>
    <x v="0"/>
    <x v="3"/>
    <x v="3"/>
  </r>
  <r>
    <n v="27"/>
    <s v="HYDERABAD REGION"/>
    <s v="HYDERABAD"/>
    <s v="Andhra Pradesh"/>
    <n v="1"/>
    <x v="8"/>
    <x v="9"/>
    <x v="0"/>
    <x v="0"/>
    <x v="0"/>
    <x v="1"/>
    <x v="2"/>
    <x v="6"/>
    <x v="6"/>
  </r>
  <r>
    <n v="334"/>
    <s v="KOLKATTA REGION"/>
    <s v="KOLKATA"/>
    <s v="West Bengal"/>
    <n v="14"/>
    <x v="3"/>
    <x v="3"/>
    <x v="0"/>
    <x v="0"/>
    <x v="0"/>
    <x v="0"/>
    <x v="0"/>
    <x v="1"/>
    <x v="0"/>
  </r>
  <r>
    <n v="610"/>
    <s v="HYDERABAD REGION"/>
    <s v="HYDERABAD"/>
    <s v="Andhra Pradesh"/>
    <n v="1"/>
    <x v="17"/>
    <x v="18"/>
    <x v="0"/>
    <x v="0"/>
    <x v="0"/>
    <x v="0"/>
    <x v="0"/>
    <x v="1"/>
    <x v="0"/>
  </r>
  <r>
    <n v="2342"/>
    <s v="SOLAPUR REGION"/>
    <s v="SOLAPUR"/>
    <s v="Maharashtra"/>
    <n v="8"/>
    <x v="17"/>
    <x v="18"/>
    <x v="0"/>
    <x v="0"/>
    <x v="1"/>
    <x v="3"/>
    <x v="1"/>
    <x v="1"/>
    <x v="2"/>
  </r>
  <r>
    <n v="413"/>
    <s v="HYDERABAD REGION"/>
    <s v="HYDERABAD"/>
    <s v="Andhra Pradesh"/>
    <n v="1"/>
    <x v="3"/>
    <x v="3"/>
    <x v="0"/>
    <x v="0"/>
    <x v="1"/>
    <x v="3"/>
    <x v="3"/>
    <x v="0"/>
    <x v="2"/>
  </r>
  <r>
    <n v="4511"/>
    <s v="HYDERABAD REGION"/>
    <s v="HYDERABAD"/>
    <s v="Andhra Pradesh"/>
    <n v="1"/>
    <x v="17"/>
    <x v="18"/>
    <x v="0"/>
    <x v="0"/>
    <x v="0"/>
    <x v="0"/>
    <x v="3"/>
    <x v="1"/>
    <x v="2"/>
  </r>
  <r>
    <n v="259"/>
    <s v="THANE REGION"/>
    <s v="THANE"/>
    <s v="Maharashtra"/>
    <n v="8"/>
    <x v="1"/>
    <x v="1"/>
    <x v="4"/>
    <x v="2"/>
    <x v="5"/>
    <x v="7"/>
    <x v="5"/>
    <x v="7"/>
    <x v="3"/>
  </r>
  <r>
    <n v="75"/>
    <s v="BANGALORE REGION"/>
    <s v="BANGALORE"/>
    <s v="Karnataka"/>
    <n v="6"/>
    <x v="15"/>
    <x v="16"/>
    <x v="0"/>
    <x v="0"/>
    <x v="2"/>
    <x v="2"/>
    <x v="2"/>
    <x v="2"/>
    <x v="0"/>
  </r>
  <r>
    <n v="878"/>
    <s v="MUMBAI REGION"/>
    <s v="MUMBAI"/>
    <s v="Maharashtra"/>
    <n v="8"/>
    <x v="15"/>
    <x v="16"/>
    <x v="1"/>
    <x v="3"/>
    <x v="1"/>
    <x v="2"/>
    <x v="2"/>
    <x v="4"/>
    <x v="3"/>
  </r>
  <r>
    <n v="3054"/>
    <s v="HYDERABAD REGION"/>
    <s v="HYDERABAD"/>
    <s v="Andhra Pradesh"/>
    <n v="1"/>
    <x v="17"/>
    <x v="18"/>
    <x v="0"/>
    <x v="0"/>
    <x v="0"/>
    <x v="0"/>
    <x v="5"/>
    <x v="4"/>
    <x v="6"/>
  </r>
  <r>
    <n v="5"/>
    <s v="DELHI REGION"/>
    <s v="DELHI"/>
    <s v="Delhi"/>
    <n v="3"/>
    <x v="5"/>
    <x v="6"/>
    <x v="0"/>
    <x v="0"/>
    <x v="0"/>
    <x v="0"/>
    <x v="3"/>
    <x v="0"/>
    <x v="0"/>
  </r>
  <r>
    <n v="171"/>
    <s v="MUMBAI REGION"/>
    <s v="MUMBAI"/>
    <s v="Maharashtra"/>
    <n v="8"/>
    <x v="7"/>
    <x v="8"/>
    <x v="0"/>
    <x v="0"/>
    <x v="1"/>
    <x v="2"/>
    <x v="0"/>
    <x v="3"/>
    <x v="3"/>
  </r>
  <r>
    <n v="108"/>
    <s v="PUNE CITY REGION"/>
    <s v="PUNE CITY"/>
    <s v="Maharashtra"/>
    <n v="8"/>
    <x v="7"/>
    <x v="8"/>
    <x v="2"/>
    <x v="3"/>
    <x v="0"/>
    <x v="3"/>
    <x v="1"/>
    <x v="0"/>
    <x v="0"/>
  </r>
  <r>
    <n v="452"/>
    <s v="MUMBAI REGION"/>
    <s v="MUMBAI"/>
    <s v="Maharashtra"/>
    <n v="8"/>
    <x v="3"/>
    <x v="3"/>
    <x v="0"/>
    <x v="0"/>
    <x v="0"/>
    <x v="2"/>
    <x v="3"/>
    <x v="1"/>
    <x v="2"/>
  </r>
  <r>
    <n v="28"/>
    <s v="PUNE CITY REGION"/>
    <s v="PUNE CITY"/>
    <s v="Maharashtra"/>
    <n v="8"/>
    <x v="13"/>
    <x v="14"/>
    <x v="2"/>
    <x v="3"/>
    <x v="2"/>
    <x v="2"/>
    <x v="1"/>
    <x v="0"/>
    <x v="3"/>
  </r>
  <r>
    <n v="261"/>
    <s v="PUNE CITY REGION"/>
    <s v="PUNE CITY"/>
    <s v="Maharashtra"/>
    <n v="8"/>
    <x v="13"/>
    <x v="14"/>
    <x v="0"/>
    <x v="0"/>
    <x v="0"/>
    <x v="2"/>
    <x v="1"/>
    <x v="0"/>
    <x v="2"/>
  </r>
  <r>
    <n v="3"/>
    <s v="MUMBAI REGION"/>
    <s v="MUMBAI"/>
    <s v="Maharashtra"/>
    <n v="8"/>
    <x v="13"/>
    <x v="14"/>
    <x v="4"/>
    <x v="1"/>
    <x v="4"/>
    <x v="1"/>
    <x v="2"/>
    <x v="1"/>
    <x v="4"/>
  </r>
  <r>
    <n v="3"/>
    <s v="KOLHAPUR REGION"/>
    <s v="KOLHAPUR"/>
    <s v="Maharashtra"/>
    <n v="8"/>
    <x v="11"/>
    <x v="12"/>
    <x v="0"/>
    <x v="0"/>
    <x v="1"/>
    <x v="7"/>
    <x v="7"/>
    <x v="5"/>
    <x v="6"/>
  </r>
  <r>
    <n v="1"/>
    <s v="DELHI REGION"/>
    <s v="DELHI"/>
    <s v="Delhi"/>
    <n v="3"/>
    <x v="1"/>
    <x v="1"/>
    <x v="2"/>
    <x v="3"/>
    <x v="1"/>
    <x v="2"/>
    <x v="1"/>
    <x v="1"/>
    <x v="2"/>
  </r>
  <r>
    <n v="253"/>
    <s v="MUMBAI REGION"/>
    <s v="MUMBAI"/>
    <s v="Maharashtra"/>
    <n v="8"/>
    <x v="0"/>
    <x v="5"/>
    <x v="1"/>
    <x v="4"/>
    <x v="2"/>
    <x v="3"/>
    <x v="2"/>
    <x v="3"/>
    <x v="3"/>
  </r>
  <r>
    <n v="1126"/>
    <s v="THANE REGION"/>
    <s v="THANE"/>
    <s v="Maharashtra"/>
    <n v="8"/>
    <x v="9"/>
    <x v="10"/>
    <x v="0"/>
    <x v="0"/>
    <x v="0"/>
    <x v="3"/>
    <x v="1"/>
    <x v="1"/>
    <x v="2"/>
  </r>
  <r>
    <n v="1671"/>
    <s v="CHENNAI REGION"/>
    <s v="CHENNAI"/>
    <s v="Tamil Nadu"/>
    <n v="12"/>
    <x v="14"/>
    <x v="15"/>
    <x v="0"/>
    <x v="0"/>
    <x v="0"/>
    <x v="3"/>
    <x v="3"/>
    <x v="3"/>
    <x v="3"/>
  </r>
  <r>
    <n v="824"/>
    <s v="MUMBAI REGION"/>
    <s v="MUMBAI"/>
    <s v="Maharashtra"/>
    <n v="8"/>
    <x v="3"/>
    <x v="3"/>
    <x v="0"/>
    <x v="2"/>
    <x v="3"/>
    <x v="7"/>
    <x v="2"/>
    <x v="4"/>
    <x v="1"/>
  </r>
  <r>
    <n v="60"/>
    <s v="PUNE CITY REGION"/>
    <s v="PUNE CITY"/>
    <s v="Maharashtra"/>
    <n v="8"/>
    <x v="3"/>
    <x v="3"/>
    <x v="0"/>
    <x v="0"/>
    <x v="0"/>
    <x v="0"/>
    <x v="1"/>
    <x v="1"/>
    <x v="2"/>
  </r>
  <r>
    <n v="24"/>
    <s v="PUNE CITY REGION"/>
    <s v="PUNE CITY"/>
    <s v="Maharashtra"/>
    <n v="8"/>
    <x v="4"/>
    <x v="4"/>
    <x v="2"/>
    <x v="3"/>
    <x v="1"/>
    <x v="3"/>
    <x v="1"/>
    <x v="1"/>
    <x v="2"/>
  </r>
  <r>
    <n v="551"/>
    <s v="RATNAGIRI REGION"/>
    <s v="RATNAGIRI"/>
    <s v="Maharashtra"/>
    <n v="8"/>
    <x v="0"/>
    <x v="5"/>
    <x v="4"/>
    <x v="2"/>
    <x v="5"/>
    <x v="2"/>
    <x v="0"/>
    <x v="3"/>
    <x v="3"/>
  </r>
  <r>
    <n v="571"/>
    <s v="MUMBAI REGION"/>
    <s v="MUMBAI"/>
    <s v="Maharashtra"/>
    <n v="8"/>
    <x v="8"/>
    <x v="9"/>
    <x v="0"/>
    <x v="0"/>
    <x v="0"/>
    <x v="0"/>
    <x v="5"/>
    <x v="4"/>
    <x v="3"/>
  </r>
  <r>
    <n v="125"/>
    <s v="NAGPUR REGION"/>
    <s v="NAGPUR"/>
    <s v="Maharashtra"/>
    <n v="8"/>
    <x v="8"/>
    <x v="9"/>
    <x v="0"/>
    <x v="0"/>
    <x v="0"/>
    <x v="0"/>
    <x v="1"/>
    <x v="1"/>
    <x v="2"/>
  </r>
  <r>
    <n v="120"/>
    <s v="THANE REGION"/>
    <s v="THANE"/>
    <s v="Maharashtra"/>
    <n v="8"/>
    <x v="8"/>
    <x v="9"/>
    <x v="4"/>
    <x v="2"/>
    <x v="3"/>
    <x v="7"/>
    <x v="7"/>
    <x v="5"/>
    <x v="7"/>
  </r>
  <r>
    <n v="9"/>
    <s v="BANGALORE REGION"/>
    <s v="BANGALORE"/>
    <s v="Karnataka"/>
    <n v="6"/>
    <x v="2"/>
    <x v="2"/>
    <x v="0"/>
    <x v="0"/>
    <x v="0"/>
    <x v="0"/>
    <x v="0"/>
    <x v="0"/>
    <x v="0"/>
  </r>
  <r>
    <n v="121"/>
    <s v="MUMBAI REGION"/>
    <s v="MUMBAI"/>
    <s v="Maharashtra"/>
    <n v="8"/>
    <x v="7"/>
    <x v="8"/>
    <x v="0"/>
    <x v="0"/>
    <x v="1"/>
    <x v="2"/>
    <x v="3"/>
    <x v="1"/>
    <x v="2"/>
  </r>
  <r>
    <n v="395"/>
    <s v="KOLHAPUR REGION"/>
    <s v="KOLHAPUR"/>
    <s v="Maharashtra"/>
    <n v="8"/>
    <x v="7"/>
    <x v="8"/>
    <x v="0"/>
    <x v="0"/>
    <x v="1"/>
    <x v="2"/>
    <x v="2"/>
    <x v="5"/>
    <x v="6"/>
  </r>
  <r>
    <n v="437"/>
    <s v="PUNE CITY REGION"/>
    <s v="PUNE CITY"/>
    <s v="Maharashtra"/>
    <n v="8"/>
    <x v="5"/>
    <x v="6"/>
    <x v="0"/>
    <x v="0"/>
    <x v="0"/>
    <x v="0"/>
    <x v="3"/>
    <x v="2"/>
    <x v="2"/>
  </r>
  <r>
    <n v="70"/>
    <s v="AHMEDABAD  REGION"/>
    <s v="AHMEDABAD"/>
    <s v="Gujarat"/>
    <n v="5"/>
    <x v="14"/>
    <x v="15"/>
    <x v="0"/>
    <x v="4"/>
    <x v="8"/>
    <x v="6"/>
    <x v="0"/>
    <x v="3"/>
    <x v="3"/>
  </r>
  <r>
    <n v="65"/>
    <s v="PUNE CITY REGION"/>
    <s v="PUNE CITY"/>
    <s v="Maharashtra"/>
    <n v="8"/>
    <x v="3"/>
    <x v="3"/>
    <x v="0"/>
    <x v="0"/>
    <x v="0"/>
    <x v="0"/>
    <x v="3"/>
    <x v="0"/>
    <x v="3"/>
  </r>
  <r>
    <n v="1507"/>
    <s v="THANE REGION"/>
    <s v="THANE"/>
    <s v="Maharashtra"/>
    <n v="8"/>
    <x v="3"/>
    <x v="3"/>
    <x v="0"/>
    <x v="0"/>
    <x v="0"/>
    <x v="0"/>
    <x v="0"/>
    <x v="5"/>
    <x v="7"/>
  </r>
  <r>
    <n v="1696"/>
    <s v="HYDERABAD REGION"/>
    <s v="HYDERABAD"/>
    <s v="Andhra Pradesh"/>
    <n v="1"/>
    <x v="4"/>
    <x v="4"/>
    <x v="0"/>
    <x v="0"/>
    <x v="0"/>
    <x v="0"/>
    <x v="0"/>
    <x v="0"/>
    <x v="0"/>
  </r>
  <r>
    <n v="103"/>
    <s v="THANE REGION"/>
    <s v="THANE"/>
    <s v="Maharashtra"/>
    <n v="8"/>
    <x v="0"/>
    <x v="5"/>
    <x v="0"/>
    <x v="0"/>
    <x v="0"/>
    <x v="2"/>
    <x v="3"/>
    <x v="2"/>
    <x v="4"/>
  </r>
  <r>
    <n v="2052"/>
    <s v="PUNE RURAL REGION"/>
    <s v="PUNE RURAL"/>
    <s v="Maharashtra"/>
    <n v="8"/>
    <x v="8"/>
    <x v="9"/>
    <x v="0"/>
    <x v="0"/>
    <x v="0"/>
    <x v="0"/>
    <x v="0"/>
    <x v="0"/>
    <x v="4"/>
  </r>
  <r>
    <n v="273"/>
    <s v="PUNE CITY REGION"/>
    <s v="PUNE CITY"/>
    <s v="Maharashtra"/>
    <n v="8"/>
    <x v="8"/>
    <x v="9"/>
    <x v="1"/>
    <x v="2"/>
    <x v="4"/>
    <x v="2"/>
    <x v="3"/>
    <x v="0"/>
    <x v="2"/>
  </r>
  <r>
    <n v="290"/>
    <s v="MUMBAI REGION"/>
    <s v="MUMBAI"/>
    <s v="Maharashtra"/>
    <n v="8"/>
    <x v="8"/>
    <x v="9"/>
    <x v="0"/>
    <x v="1"/>
    <x v="2"/>
    <x v="3"/>
    <x v="1"/>
    <x v="0"/>
    <x v="0"/>
  </r>
  <r>
    <n v="298"/>
    <s v="MUMBAI REGION"/>
    <s v="MUMBAI"/>
    <s v="Maharashtra"/>
    <n v="8"/>
    <x v="2"/>
    <x v="2"/>
    <x v="5"/>
    <x v="1"/>
    <x v="4"/>
    <x v="1"/>
    <x v="1"/>
    <x v="0"/>
    <x v="0"/>
  </r>
  <r>
    <n v="874"/>
    <s v="HYDERABAD REGION"/>
    <s v="HYDERABAD"/>
    <s v="Andhra Pradesh"/>
    <n v="1"/>
    <x v="7"/>
    <x v="8"/>
    <x v="0"/>
    <x v="0"/>
    <x v="0"/>
    <x v="0"/>
    <x v="1"/>
    <x v="1"/>
    <x v="0"/>
  </r>
  <r>
    <n v="2404"/>
    <s v="NASIK REGION"/>
    <s v="NASIK"/>
    <s v="Maharashtra"/>
    <n v="8"/>
    <x v="7"/>
    <x v="8"/>
    <x v="0"/>
    <x v="0"/>
    <x v="0"/>
    <x v="0"/>
    <x v="0"/>
    <x v="1"/>
    <x v="2"/>
  </r>
  <r>
    <n v="106"/>
    <s v="MUMBAI REGION"/>
    <s v="MUMBAI"/>
    <s v="Maharashtra"/>
    <n v="8"/>
    <x v="4"/>
    <x v="4"/>
    <x v="0"/>
    <x v="0"/>
    <x v="0"/>
    <x v="0"/>
    <x v="0"/>
    <x v="0"/>
    <x v="2"/>
  </r>
  <r>
    <n v="2176"/>
    <s v="NASIK REGION"/>
    <s v="NASIK"/>
    <s v="Maharashtra"/>
    <n v="8"/>
    <x v="4"/>
    <x v="4"/>
    <x v="0"/>
    <x v="0"/>
    <x v="0"/>
    <x v="0"/>
    <x v="0"/>
    <x v="2"/>
    <x v="2"/>
  </r>
  <r>
    <n v="18"/>
    <s v="MUMBAI REGION"/>
    <s v="MUMBAI"/>
    <s v="Maharashtra"/>
    <n v="8"/>
    <x v="1"/>
    <x v="1"/>
    <x v="5"/>
    <x v="1"/>
    <x v="2"/>
    <x v="3"/>
    <x v="1"/>
    <x v="1"/>
    <x v="1"/>
  </r>
  <r>
    <n v="994"/>
    <s v="CHENNAI REGION"/>
    <s v="CHENNAI"/>
    <s v="Tamil Nadu"/>
    <n v="12"/>
    <x v="1"/>
    <x v="1"/>
    <x v="0"/>
    <x v="1"/>
    <x v="2"/>
    <x v="3"/>
    <x v="1"/>
    <x v="4"/>
    <x v="0"/>
  </r>
  <r>
    <n v="876"/>
    <s v="DELHI REGION"/>
    <s v="DELHI"/>
    <s v="Delhi"/>
    <n v="3"/>
    <x v="2"/>
    <x v="2"/>
    <x v="0"/>
    <x v="0"/>
    <x v="0"/>
    <x v="0"/>
    <x v="0"/>
    <x v="0"/>
    <x v="0"/>
  </r>
  <r>
    <n v="127"/>
    <s v="PUNE CITY REGION"/>
    <s v="PUNE CITY"/>
    <s v="Maharashtra"/>
    <n v="8"/>
    <x v="7"/>
    <x v="8"/>
    <x v="5"/>
    <x v="1"/>
    <x v="4"/>
    <x v="7"/>
    <x v="2"/>
    <x v="4"/>
    <x v="2"/>
  </r>
  <r>
    <n v="5"/>
    <s v="DELHI REGION"/>
    <s v="DELHI"/>
    <s v="Delhi"/>
    <n v="3"/>
    <x v="7"/>
    <x v="8"/>
    <x v="0"/>
    <x v="0"/>
    <x v="0"/>
    <x v="0"/>
    <x v="3"/>
    <x v="0"/>
    <x v="2"/>
  </r>
  <r>
    <n v="840"/>
    <s v="AHMEDABAD  REGION"/>
    <s v="AHMEDABAD"/>
    <s v="Gujarat"/>
    <n v="5"/>
    <x v="4"/>
    <x v="4"/>
    <x v="0"/>
    <x v="0"/>
    <x v="0"/>
    <x v="0"/>
    <x v="0"/>
    <x v="4"/>
    <x v="1"/>
  </r>
  <r>
    <n v="4"/>
    <s v="MUMBAI REGION"/>
    <s v="MUMBAI"/>
    <s v="Maharashtra"/>
    <n v="8"/>
    <x v="7"/>
    <x v="8"/>
    <x v="0"/>
    <x v="0"/>
    <x v="1"/>
    <x v="2"/>
    <x v="3"/>
    <x v="3"/>
    <x v="3"/>
  </r>
  <r>
    <n v="849"/>
    <s v="JAIPUR REGION"/>
    <s v="JAIPUR"/>
    <s v="Rajasthan"/>
    <n v="11"/>
    <x v="0"/>
    <x v="5"/>
    <x v="0"/>
    <x v="0"/>
    <x v="0"/>
    <x v="0"/>
    <x v="2"/>
    <x v="2"/>
    <x v="2"/>
  </r>
  <r>
    <n v="625"/>
    <s v="PUNE CITY REGION"/>
    <s v="PUNE CITY"/>
    <s v="Maharashtra"/>
    <n v="8"/>
    <x v="16"/>
    <x v="17"/>
    <x v="0"/>
    <x v="0"/>
    <x v="0"/>
    <x v="0"/>
    <x v="0"/>
    <x v="0"/>
    <x v="4"/>
  </r>
  <r>
    <n v="2832"/>
    <s v="PUNE CITY REGION"/>
    <s v="PUNE CITY"/>
    <s v="Maharashtra"/>
    <n v="8"/>
    <x v="16"/>
    <x v="17"/>
    <x v="0"/>
    <x v="0"/>
    <x v="1"/>
    <x v="2"/>
    <x v="1"/>
    <x v="0"/>
    <x v="3"/>
  </r>
  <r>
    <n v="466"/>
    <s v="AHMEDNAGAR REGION"/>
    <s v="AHMEDNAGAR"/>
    <s v="Maharashtra"/>
    <n v="8"/>
    <x v="15"/>
    <x v="16"/>
    <x v="0"/>
    <x v="0"/>
    <x v="0"/>
    <x v="0"/>
    <x v="0"/>
    <x v="1"/>
    <x v="4"/>
  </r>
  <r>
    <n v="214"/>
    <s v="PUNE CITY REGION"/>
    <s v="PUNE CITY"/>
    <s v="Maharashtra"/>
    <n v="8"/>
    <x v="15"/>
    <x v="16"/>
    <x v="0"/>
    <x v="0"/>
    <x v="0"/>
    <x v="2"/>
    <x v="3"/>
    <x v="0"/>
    <x v="0"/>
  </r>
  <r>
    <n v="144"/>
    <s v="PUNE CITY REGION"/>
    <s v="PUNE CITY"/>
    <s v="Maharashtra"/>
    <n v="8"/>
    <x v="8"/>
    <x v="9"/>
    <x v="1"/>
    <x v="4"/>
    <x v="0"/>
    <x v="2"/>
    <x v="3"/>
    <x v="1"/>
    <x v="1"/>
  </r>
  <r>
    <n v="1678"/>
    <s v="PUNE CITY REGION"/>
    <s v="PUNE CITY"/>
    <s v="Maharashtra"/>
    <n v="8"/>
    <x v="0"/>
    <x v="5"/>
    <x v="0"/>
    <x v="0"/>
    <x v="0"/>
    <x v="0"/>
    <x v="5"/>
    <x v="4"/>
    <x v="5"/>
  </r>
  <r>
    <n v="1613"/>
    <s v="HYDERABAD REGION"/>
    <s v="HYDERABAD"/>
    <s v="Andhra Pradesh"/>
    <n v="1"/>
    <x v="15"/>
    <x v="16"/>
    <x v="0"/>
    <x v="0"/>
    <x v="0"/>
    <x v="0"/>
    <x v="5"/>
    <x v="4"/>
    <x v="4"/>
  </r>
  <r>
    <n v="226"/>
    <s v="SATARA REGION"/>
    <s v="SATARA"/>
    <s v="Maharashtra"/>
    <n v="8"/>
    <x v="17"/>
    <x v="18"/>
    <x v="5"/>
    <x v="1"/>
    <x v="2"/>
    <x v="7"/>
    <x v="7"/>
    <x v="6"/>
    <x v="8"/>
  </r>
  <r>
    <n v="609"/>
    <s v="INDORE REGION"/>
    <s v="INDORE"/>
    <s v="Madhya Pradesh"/>
    <n v="7"/>
    <x v="7"/>
    <x v="8"/>
    <x v="1"/>
    <x v="8"/>
    <x v="0"/>
    <x v="0"/>
    <x v="0"/>
    <x v="3"/>
    <x v="3"/>
  </r>
  <r>
    <n v="826"/>
    <s v="SATARA REGION"/>
    <s v="SATARA"/>
    <s v="Maharashtra"/>
    <n v="8"/>
    <x v="7"/>
    <x v="8"/>
    <x v="0"/>
    <x v="0"/>
    <x v="1"/>
    <x v="1"/>
    <x v="3"/>
    <x v="0"/>
    <x v="3"/>
  </r>
  <r>
    <n v="235"/>
    <s v="CHANDIGARH REGION"/>
    <s v="CHANDIGARH"/>
    <s v="Punjab&amp;Haryana"/>
    <n v="10"/>
    <x v="3"/>
    <x v="3"/>
    <x v="0"/>
    <x v="1"/>
    <x v="4"/>
    <x v="1"/>
    <x v="2"/>
    <x v="3"/>
    <x v="3"/>
  </r>
  <r>
    <n v="602"/>
    <s v="PUNE CITY REGION"/>
    <s v="PUNE CITY"/>
    <s v="Maharashtra"/>
    <n v="8"/>
    <x v="13"/>
    <x v="14"/>
    <x v="0"/>
    <x v="0"/>
    <x v="0"/>
    <x v="3"/>
    <x v="2"/>
    <x v="2"/>
    <x v="4"/>
  </r>
  <r>
    <n v="2"/>
    <s v="PUNE CITY REGION"/>
    <s v="PUNE CITY"/>
    <s v="Maharashtra"/>
    <n v="8"/>
    <x v="13"/>
    <x v="14"/>
    <x v="0"/>
    <x v="0"/>
    <x v="0"/>
    <x v="0"/>
    <x v="0"/>
    <x v="2"/>
    <x v="4"/>
  </r>
  <r>
    <n v="1061"/>
    <s v="THANE REGION"/>
    <s v="THANE"/>
    <s v="Maharashtra"/>
    <n v="8"/>
    <x v="13"/>
    <x v="14"/>
    <x v="0"/>
    <x v="2"/>
    <x v="5"/>
    <x v="1"/>
    <x v="1"/>
    <x v="0"/>
    <x v="2"/>
  </r>
  <r>
    <n v="592"/>
    <s v="PUNE CITY REGION"/>
    <s v="PUNE CITY"/>
    <s v="Maharashtra"/>
    <n v="8"/>
    <x v="11"/>
    <x v="12"/>
    <x v="0"/>
    <x v="0"/>
    <x v="0"/>
    <x v="0"/>
    <x v="0"/>
    <x v="0"/>
    <x v="2"/>
  </r>
  <r>
    <n v="115"/>
    <s v="PUNE CITY REGION"/>
    <s v="PUNE CITY"/>
    <s v="Maharashtra"/>
    <n v="8"/>
    <x v="1"/>
    <x v="1"/>
    <x v="0"/>
    <x v="0"/>
    <x v="0"/>
    <x v="0"/>
    <x v="1"/>
    <x v="1"/>
    <x v="3"/>
  </r>
  <r>
    <n v="591"/>
    <s v="MUMBAI REGION"/>
    <s v="MUMBAI"/>
    <s v="Maharashtra"/>
    <n v="8"/>
    <x v="0"/>
    <x v="5"/>
    <x v="0"/>
    <x v="0"/>
    <x v="5"/>
    <x v="1"/>
    <x v="2"/>
    <x v="4"/>
    <x v="4"/>
  </r>
  <r>
    <n v="2485"/>
    <s v="PUNE CITY REGION"/>
    <s v="PUNE CITY"/>
    <s v="Maharashtra"/>
    <n v="8"/>
    <x v="9"/>
    <x v="10"/>
    <x v="0"/>
    <x v="0"/>
    <x v="0"/>
    <x v="2"/>
    <x v="3"/>
    <x v="1"/>
    <x v="2"/>
  </r>
  <r>
    <n v="3013"/>
    <s v="PUNE RURAL REGION"/>
    <s v="PUNE RURAL"/>
    <s v="Maharashtra"/>
    <n v="8"/>
    <x v="15"/>
    <x v="16"/>
    <x v="0"/>
    <x v="0"/>
    <x v="0"/>
    <x v="2"/>
    <x v="3"/>
    <x v="0"/>
    <x v="2"/>
  </r>
  <r>
    <n v="499"/>
    <s v="CHENNAI REGION"/>
    <s v="CHENNAI"/>
    <s v="Tamil Nadu"/>
    <n v="12"/>
    <x v="2"/>
    <x v="2"/>
    <x v="0"/>
    <x v="0"/>
    <x v="0"/>
    <x v="3"/>
    <x v="5"/>
    <x v="4"/>
    <x v="3"/>
  </r>
  <r>
    <n v="261"/>
    <s v="JALGAON  REGION"/>
    <s v="JALGAON"/>
    <s v="Maharashtra"/>
    <n v="8"/>
    <x v="0"/>
    <x v="5"/>
    <x v="0"/>
    <x v="0"/>
    <x v="1"/>
    <x v="2"/>
    <x v="3"/>
    <x v="0"/>
    <x v="0"/>
  </r>
  <r>
    <n v="2984"/>
    <s v="AURANGABAD REGION"/>
    <s v="AURANGABAD"/>
    <s v="Maharashtra"/>
    <n v="8"/>
    <x v="0"/>
    <x v="5"/>
    <x v="0"/>
    <x v="0"/>
    <x v="0"/>
    <x v="7"/>
    <x v="7"/>
    <x v="4"/>
    <x v="3"/>
  </r>
  <r>
    <n v="473"/>
    <s v="MUMBAI REGION"/>
    <s v="MUMBAI"/>
    <s v="Maharashtra"/>
    <n v="8"/>
    <x v="0"/>
    <x v="5"/>
    <x v="2"/>
    <x v="3"/>
    <x v="1"/>
    <x v="2"/>
    <x v="3"/>
    <x v="1"/>
    <x v="3"/>
  </r>
  <r>
    <n v="8"/>
    <s v="MUMBAI REGION"/>
    <s v="MUMBAI"/>
    <s v="Maharashtra"/>
    <n v="8"/>
    <x v="4"/>
    <x v="4"/>
    <x v="1"/>
    <x v="1"/>
    <x v="2"/>
    <x v="0"/>
    <x v="0"/>
    <x v="3"/>
    <x v="3"/>
  </r>
  <r>
    <n v="1399"/>
    <s v="MUMBAI REGION"/>
    <s v="MUMBAI"/>
    <s v="Maharashtra"/>
    <n v="8"/>
    <x v="1"/>
    <x v="1"/>
    <x v="0"/>
    <x v="0"/>
    <x v="0"/>
    <x v="0"/>
    <x v="0"/>
    <x v="0"/>
    <x v="0"/>
  </r>
  <r>
    <n v="3"/>
    <s v="MUMBAI REGION"/>
    <s v="MUMBAI"/>
    <s v="Maharashtra"/>
    <n v="8"/>
    <x v="1"/>
    <x v="1"/>
    <x v="2"/>
    <x v="3"/>
    <x v="1"/>
    <x v="2"/>
    <x v="3"/>
    <x v="0"/>
    <x v="4"/>
  </r>
  <r>
    <n v="82"/>
    <s v="MUMBAI REGION"/>
    <s v="MUMBAI"/>
    <s v="Maharashtra"/>
    <n v="8"/>
    <x v="7"/>
    <x v="8"/>
    <x v="0"/>
    <x v="3"/>
    <x v="1"/>
    <x v="0"/>
    <x v="0"/>
    <x v="3"/>
    <x v="3"/>
  </r>
  <r>
    <n v="597"/>
    <s v="PUNE CITY REGION"/>
    <s v="PUNE CITY"/>
    <s v="Maharashtra"/>
    <n v="8"/>
    <x v="15"/>
    <x v="16"/>
    <x v="0"/>
    <x v="0"/>
    <x v="0"/>
    <x v="2"/>
    <x v="3"/>
    <x v="0"/>
    <x v="3"/>
  </r>
  <r>
    <n v="204"/>
    <s v="MUMBAI REGION"/>
    <s v="MUMBAI"/>
    <s v="Maharashtra"/>
    <n v="8"/>
    <x v="15"/>
    <x v="16"/>
    <x v="0"/>
    <x v="0"/>
    <x v="0"/>
    <x v="1"/>
    <x v="2"/>
    <x v="2"/>
    <x v="4"/>
  </r>
  <r>
    <n v="216"/>
    <s v="MUMBAI REGION"/>
    <s v="MUMBAI"/>
    <s v="Maharashtra"/>
    <n v="8"/>
    <x v="15"/>
    <x v="16"/>
    <x v="0"/>
    <x v="0"/>
    <x v="0"/>
    <x v="0"/>
    <x v="2"/>
    <x v="2"/>
    <x v="4"/>
  </r>
  <r>
    <n v="131"/>
    <s v="PUNE CITY REGION"/>
    <s v="PUNE CITY"/>
    <s v="Maharashtra"/>
    <n v="8"/>
    <x v="2"/>
    <x v="2"/>
    <x v="2"/>
    <x v="3"/>
    <x v="2"/>
    <x v="2"/>
    <x v="3"/>
    <x v="3"/>
    <x v="3"/>
  </r>
  <r>
    <n v="1206"/>
    <s v="NASIK REGION"/>
    <s v="NASIK"/>
    <s v="Maharashtra"/>
    <n v="8"/>
    <x v="0"/>
    <x v="5"/>
    <x v="0"/>
    <x v="0"/>
    <x v="0"/>
    <x v="0"/>
    <x v="0"/>
    <x v="2"/>
    <x v="1"/>
  </r>
  <r>
    <n v="1078"/>
    <s v="MUMBAI REGION"/>
    <s v="MUMBAI"/>
    <s v="Maharashtra"/>
    <n v="8"/>
    <x v="0"/>
    <x v="5"/>
    <x v="0"/>
    <x v="0"/>
    <x v="0"/>
    <x v="3"/>
    <x v="1"/>
    <x v="8"/>
    <x v="3"/>
  </r>
  <r>
    <n v="400"/>
    <s v="PUNE CITY REGION"/>
    <s v="PUNE CITY"/>
    <s v="Maharashtra"/>
    <n v="8"/>
    <x v="0"/>
    <x v="5"/>
    <x v="0"/>
    <x v="0"/>
    <x v="0"/>
    <x v="0"/>
    <x v="0"/>
    <x v="2"/>
    <x v="2"/>
  </r>
  <r>
    <n v="102"/>
    <s v="BANGALORE REGION"/>
    <s v="BANGALORE"/>
    <s v="Karnataka"/>
    <n v="6"/>
    <x v="4"/>
    <x v="4"/>
    <x v="0"/>
    <x v="1"/>
    <x v="1"/>
    <x v="1"/>
    <x v="5"/>
    <x v="4"/>
    <x v="1"/>
  </r>
  <r>
    <n v="19"/>
    <s v="PUNE CITY REGION"/>
    <s v="PUNE CITY"/>
    <s v="Maharashtra"/>
    <n v="8"/>
    <x v="1"/>
    <x v="1"/>
    <x v="0"/>
    <x v="3"/>
    <x v="1"/>
    <x v="2"/>
    <x v="3"/>
    <x v="0"/>
    <x v="0"/>
  </r>
  <r>
    <n v="40"/>
    <s v="MUMBAI REGION"/>
    <s v="MUMBAI"/>
    <s v="Maharashtra"/>
    <n v="8"/>
    <x v="1"/>
    <x v="1"/>
    <x v="0"/>
    <x v="0"/>
    <x v="0"/>
    <x v="0"/>
    <x v="3"/>
    <x v="1"/>
    <x v="3"/>
  </r>
  <r>
    <n v="2829"/>
    <s v="SATARA REGION"/>
    <s v="SATARA"/>
    <s v="Maharashtra"/>
    <n v="8"/>
    <x v="7"/>
    <x v="8"/>
    <x v="0"/>
    <x v="0"/>
    <x v="5"/>
    <x v="7"/>
    <x v="1"/>
    <x v="4"/>
    <x v="8"/>
  </r>
  <r>
    <n v="1280"/>
    <s v="PUNE CITY REGION"/>
    <s v="PUNE CITY"/>
    <s v="Maharashtra"/>
    <n v="8"/>
    <x v="15"/>
    <x v="16"/>
    <x v="0"/>
    <x v="0"/>
    <x v="0"/>
    <x v="2"/>
    <x v="3"/>
    <x v="0"/>
    <x v="0"/>
  </r>
  <r>
    <n v="465"/>
    <s v="HYDERABAD REGION"/>
    <s v="HYDERABAD"/>
    <s v="Andhra Pradesh"/>
    <n v="1"/>
    <x v="15"/>
    <x v="16"/>
    <x v="2"/>
    <x v="3"/>
    <x v="1"/>
    <x v="2"/>
    <x v="3"/>
    <x v="1"/>
    <x v="2"/>
  </r>
  <r>
    <n v="584"/>
    <s v="MUMBAI REGION"/>
    <s v="MUMBAI"/>
    <s v="Maharashtra"/>
    <n v="8"/>
    <x v="16"/>
    <x v="17"/>
    <x v="1"/>
    <x v="6"/>
    <x v="7"/>
    <x v="0"/>
    <x v="0"/>
    <x v="3"/>
    <x v="3"/>
  </r>
  <r>
    <n v="212"/>
    <s v="PUNE CITY REGION"/>
    <s v="PUNE CITY"/>
    <s v="Maharashtra"/>
    <n v="8"/>
    <x v="11"/>
    <x v="12"/>
    <x v="5"/>
    <x v="1"/>
    <x v="1"/>
    <x v="5"/>
    <x v="5"/>
    <x v="2"/>
    <x v="4"/>
  </r>
  <r>
    <n v="41"/>
    <s v="PUNE CITY REGION"/>
    <s v="PUNE CITY"/>
    <s v="Maharashtra"/>
    <n v="8"/>
    <x v="11"/>
    <x v="12"/>
    <x v="5"/>
    <x v="1"/>
    <x v="1"/>
    <x v="0"/>
    <x v="0"/>
    <x v="3"/>
    <x v="3"/>
  </r>
  <r>
    <n v="2198"/>
    <s v="PUNE CITY REGION"/>
    <s v="PUNE CITY"/>
    <s v="Maharashtra"/>
    <n v="8"/>
    <x v="13"/>
    <x v="14"/>
    <x v="0"/>
    <x v="0"/>
    <x v="0"/>
    <x v="0"/>
    <x v="3"/>
    <x v="2"/>
    <x v="3"/>
  </r>
  <r>
    <n v="159"/>
    <s v="THANE REGION"/>
    <s v="THANE"/>
    <s v="Maharashtra"/>
    <n v="8"/>
    <x v="13"/>
    <x v="14"/>
    <x v="0"/>
    <x v="1"/>
    <x v="2"/>
    <x v="3"/>
    <x v="3"/>
    <x v="0"/>
    <x v="0"/>
  </r>
  <r>
    <n v="4"/>
    <s v="CHENNAI REGION"/>
    <s v="CHENNAI"/>
    <s v="Tamil Nadu"/>
    <n v="12"/>
    <x v="13"/>
    <x v="14"/>
    <x v="5"/>
    <x v="1"/>
    <x v="0"/>
    <x v="0"/>
    <x v="0"/>
    <x v="3"/>
    <x v="3"/>
  </r>
  <r>
    <n v="63"/>
    <s v="PUNE CITY REGION"/>
    <s v="PUNE CITY"/>
    <s v="Maharashtra"/>
    <n v="8"/>
    <x v="7"/>
    <x v="8"/>
    <x v="0"/>
    <x v="0"/>
    <x v="0"/>
    <x v="0"/>
    <x v="3"/>
    <x v="0"/>
    <x v="3"/>
  </r>
  <r>
    <n v="2190"/>
    <s v="PUNE RURAL REGION"/>
    <s v="PUNE RURAL"/>
    <s v="Maharashtra"/>
    <n v="8"/>
    <x v="7"/>
    <x v="8"/>
    <x v="0"/>
    <x v="0"/>
    <x v="0"/>
    <x v="0"/>
    <x v="0"/>
    <x v="0"/>
    <x v="0"/>
  </r>
  <r>
    <n v="48"/>
    <s v="THANE REGION"/>
    <s v="THANE"/>
    <s v="Maharashtra"/>
    <n v="8"/>
    <x v="2"/>
    <x v="2"/>
    <x v="0"/>
    <x v="4"/>
    <x v="5"/>
    <x v="7"/>
    <x v="4"/>
    <x v="3"/>
    <x v="3"/>
  </r>
  <r>
    <n v="3163"/>
    <s v="HYDERABAD REGION"/>
    <s v="HYDERABAD"/>
    <s v="Andhra Pradesh"/>
    <n v="1"/>
    <x v="0"/>
    <x v="5"/>
    <x v="0"/>
    <x v="0"/>
    <x v="0"/>
    <x v="4"/>
    <x v="6"/>
    <x v="6"/>
    <x v="8"/>
  </r>
  <r>
    <n v="1371"/>
    <s v="HYDERABAD REGION"/>
    <s v="HYDERABAD"/>
    <s v="Andhra Pradesh"/>
    <n v="1"/>
    <x v="1"/>
    <x v="1"/>
    <x v="0"/>
    <x v="0"/>
    <x v="1"/>
    <x v="3"/>
    <x v="3"/>
    <x v="0"/>
    <x v="0"/>
  </r>
  <r>
    <n v="367"/>
    <s v="PUNE CITY REGION"/>
    <s v="PUNE CITY"/>
    <s v="Maharashtra"/>
    <n v="8"/>
    <x v="1"/>
    <x v="1"/>
    <x v="0"/>
    <x v="1"/>
    <x v="1"/>
    <x v="2"/>
    <x v="1"/>
    <x v="0"/>
    <x v="3"/>
  </r>
  <r>
    <n v="446"/>
    <s v="DELHI REGION"/>
    <s v="DELHI"/>
    <s v="Delhi"/>
    <n v="3"/>
    <x v="1"/>
    <x v="1"/>
    <x v="5"/>
    <x v="3"/>
    <x v="0"/>
    <x v="2"/>
    <x v="1"/>
    <x v="1"/>
    <x v="4"/>
  </r>
  <r>
    <n v="2472"/>
    <s v="PUNE RURAL REGION"/>
    <s v="PUNE RURAL"/>
    <s v="Maharashtra"/>
    <n v="8"/>
    <x v="15"/>
    <x v="16"/>
    <x v="0"/>
    <x v="0"/>
    <x v="0"/>
    <x v="0"/>
    <x v="0"/>
    <x v="1"/>
    <x v="0"/>
  </r>
  <r>
    <n v="393"/>
    <s v="PUNE CITY REGION"/>
    <s v="PUNE CITY"/>
    <s v="Maharashtra"/>
    <n v="8"/>
    <x v="2"/>
    <x v="2"/>
    <x v="0"/>
    <x v="0"/>
    <x v="0"/>
    <x v="1"/>
    <x v="1"/>
    <x v="1"/>
    <x v="3"/>
  </r>
  <r>
    <n v="391"/>
    <s v="PUNE CITY REGION"/>
    <s v="PUNE CITY"/>
    <s v="Maharashtra"/>
    <n v="8"/>
    <x v="0"/>
    <x v="5"/>
    <x v="0"/>
    <x v="0"/>
    <x v="0"/>
    <x v="0"/>
    <x v="3"/>
    <x v="1"/>
    <x v="0"/>
  </r>
  <r>
    <n v="102"/>
    <s v="MUMBAI REGION"/>
    <s v="MUMBAI"/>
    <s v="Maharashtra"/>
    <n v="8"/>
    <x v="0"/>
    <x v="5"/>
    <x v="0"/>
    <x v="0"/>
    <x v="0"/>
    <x v="0"/>
    <x v="1"/>
    <x v="1"/>
    <x v="2"/>
  </r>
  <r>
    <n v="2704"/>
    <s v="PUNE CITY REGION"/>
    <s v="PUNE CITY"/>
    <s v="Maharashtra"/>
    <n v="8"/>
    <x v="0"/>
    <x v="5"/>
    <x v="0"/>
    <x v="0"/>
    <x v="0"/>
    <x v="0"/>
    <x v="5"/>
    <x v="4"/>
    <x v="3"/>
  </r>
  <r>
    <n v="30"/>
    <s v="PUNE CITY REGION"/>
    <s v="PUNE CITY"/>
    <s v="Maharashtra"/>
    <n v="8"/>
    <x v="4"/>
    <x v="4"/>
    <x v="2"/>
    <x v="1"/>
    <x v="2"/>
    <x v="1"/>
    <x v="1"/>
    <x v="1"/>
    <x v="2"/>
  </r>
  <r>
    <n v="3"/>
    <s v="PUNE CITY REGION"/>
    <s v="PUNE CITY"/>
    <s v="Maharashtra"/>
    <n v="8"/>
    <x v="1"/>
    <x v="1"/>
    <x v="0"/>
    <x v="0"/>
    <x v="4"/>
    <x v="7"/>
    <x v="2"/>
    <x v="0"/>
    <x v="0"/>
  </r>
  <r>
    <n v="97"/>
    <s v="THANE REGION"/>
    <s v="THANE"/>
    <s v="Maharashtra"/>
    <n v="8"/>
    <x v="1"/>
    <x v="1"/>
    <x v="0"/>
    <x v="0"/>
    <x v="0"/>
    <x v="0"/>
    <x v="3"/>
    <x v="1"/>
    <x v="3"/>
  </r>
  <r>
    <n v="18"/>
    <s v="LUCKNOW REGION"/>
    <s v="LUCKNOW"/>
    <s v="Uttar Pradesh"/>
    <n v="13"/>
    <x v="7"/>
    <x v="8"/>
    <x v="0"/>
    <x v="0"/>
    <x v="0"/>
    <x v="0"/>
    <x v="3"/>
    <x v="0"/>
    <x v="3"/>
  </r>
  <r>
    <n v="1580"/>
    <s v="HYDERABAD REGION"/>
    <s v="HYDERABAD"/>
    <s v="Andhra Pradesh"/>
    <n v="1"/>
    <x v="15"/>
    <x v="16"/>
    <x v="0"/>
    <x v="0"/>
    <x v="0"/>
    <x v="0"/>
    <x v="0"/>
    <x v="0"/>
    <x v="0"/>
  </r>
  <r>
    <n v="3030"/>
    <s v="SATARA REGION"/>
    <s v="SATARA"/>
    <s v="Maharashtra"/>
    <n v="8"/>
    <x v="15"/>
    <x v="16"/>
    <x v="0"/>
    <x v="0"/>
    <x v="0"/>
    <x v="0"/>
    <x v="0"/>
    <x v="1"/>
    <x v="5"/>
  </r>
  <r>
    <n v="604"/>
    <s v="KOLKATTA REGION"/>
    <s v="KOLKATA"/>
    <s v="West Bengal"/>
    <n v="14"/>
    <x v="15"/>
    <x v="16"/>
    <x v="0"/>
    <x v="0"/>
    <x v="0"/>
    <x v="0"/>
    <x v="0"/>
    <x v="4"/>
    <x v="1"/>
  </r>
  <r>
    <n v="9"/>
    <s v="MUMBAI REGION"/>
    <s v="MUMBAI"/>
    <s v="Maharashtra"/>
    <n v="8"/>
    <x v="11"/>
    <x v="12"/>
    <x v="0"/>
    <x v="0"/>
    <x v="0"/>
    <x v="0"/>
    <x v="0"/>
    <x v="1"/>
    <x v="4"/>
  </r>
  <r>
    <n v="136"/>
    <s v="PUNE RURAL REGION"/>
    <s v="PUNE RURAL"/>
    <s v="Maharashtra"/>
    <n v="8"/>
    <x v="17"/>
    <x v="18"/>
    <x v="0"/>
    <x v="0"/>
    <x v="0"/>
    <x v="0"/>
    <x v="0"/>
    <x v="1"/>
    <x v="0"/>
  </r>
  <r>
    <n v="475"/>
    <s v="MUMBAI REGION"/>
    <s v="MUMBAI"/>
    <s v="Maharashtra"/>
    <n v="8"/>
    <x v="17"/>
    <x v="18"/>
    <x v="4"/>
    <x v="1"/>
    <x v="2"/>
    <x v="1"/>
    <x v="1"/>
    <x v="2"/>
    <x v="1"/>
  </r>
  <r>
    <n v="787"/>
    <s v="THANE REGION"/>
    <s v="THANE"/>
    <s v="Maharashtra"/>
    <n v="8"/>
    <x v="15"/>
    <x v="16"/>
    <x v="0"/>
    <x v="0"/>
    <x v="0"/>
    <x v="0"/>
    <x v="0"/>
    <x v="0"/>
    <x v="2"/>
  </r>
  <r>
    <n v="1313"/>
    <s v="THANE REGION"/>
    <s v="THANE"/>
    <s v="Maharashtra"/>
    <n v="8"/>
    <x v="15"/>
    <x v="16"/>
    <x v="0"/>
    <x v="0"/>
    <x v="0"/>
    <x v="0"/>
    <x v="0"/>
    <x v="1"/>
    <x v="0"/>
  </r>
  <r>
    <n v="1848"/>
    <s v="SOLAPUR REGION"/>
    <s v="SOLAPUR"/>
    <s v="Maharashtra"/>
    <n v="8"/>
    <x v="15"/>
    <x v="16"/>
    <x v="0"/>
    <x v="0"/>
    <x v="0"/>
    <x v="0"/>
    <x v="1"/>
    <x v="2"/>
    <x v="4"/>
  </r>
  <r>
    <n v="1269"/>
    <s v="NASIK REGION"/>
    <s v="NASIK"/>
    <s v="Maharashtra"/>
    <n v="8"/>
    <x v="15"/>
    <x v="16"/>
    <x v="0"/>
    <x v="4"/>
    <x v="2"/>
    <x v="1"/>
    <x v="0"/>
    <x v="3"/>
    <x v="3"/>
  </r>
  <r>
    <n v="36"/>
    <s v="CHENNAI REGION"/>
    <s v="CHENNAI"/>
    <s v="Tamil Nadu"/>
    <n v="12"/>
    <x v="8"/>
    <x v="9"/>
    <x v="4"/>
    <x v="2"/>
    <x v="7"/>
    <x v="1"/>
    <x v="3"/>
    <x v="0"/>
    <x v="0"/>
  </r>
  <r>
    <n v="358"/>
    <s v="KOLKATTA REGION"/>
    <s v="KOLKATA"/>
    <s v="West Bengal"/>
    <n v="14"/>
    <x v="0"/>
    <x v="5"/>
    <x v="0"/>
    <x v="0"/>
    <x v="0"/>
    <x v="0"/>
    <x v="0"/>
    <x v="0"/>
    <x v="4"/>
  </r>
  <r>
    <n v="1803"/>
    <s v="NAGPUR REGION"/>
    <s v="NAGPUR"/>
    <s v="Maharashtra"/>
    <n v="8"/>
    <x v="0"/>
    <x v="5"/>
    <x v="0"/>
    <x v="0"/>
    <x v="2"/>
    <x v="3"/>
    <x v="1"/>
    <x v="3"/>
    <x v="3"/>
  </r>
  <r>
    <n v="2"/>
    <s v="NASIK REGION"/>
    <s v="NASIK"/>
    <s v="Maharashtra"/>
    <n v="8"/>
    <x v="13"/>
    <x v="14"/>
    <x v="0"/>
    <x v="0"/>
    <x v="0"/>
    <x v="8"/>
    <x v="8"/>
    <x v="2"/>
    <x v="4"/>
  </r>
  <r>
    <n v="1135"/>
    <s v="DELHI REGION"/>
    <s v="DELHI"/>
    <s v="Delhi"/>
    <n v="3"/>
    <x v="11"/>
    <x v="12"/>
    <x v="0"/>
    <x v="0"/>
    <x v="0"/>
    <x v="0"/>
    <x v="1"/>
    <x v="1"/>
    <x v="0"/>
  </r>
  <r>
    <n v="54"/>
    <s v="BANGALORE REGION"/>
    <s v="BANGALORE"/>
    <s v="Karnataka"/>
    <n v="6"/>
    <x v="10"/>
    <x v="11"/>
    <x v="2"/>
    <x v="3"/>
    <x v="1"/>
    <x v="2"/>
    <x v="3"/>
    <x v="2"/>
    <x v="2"/>
  </r>
  <r>
    <n v="45"/>
    <s v="PUNE CITY REGION"/>
    <s v="PUNE CITY"/>
    <s v="Maharashtra"/>
    <n v="8"/>
    <x v="10"/>
    <x v="11"/>
    <x v="0"/>
    <x v="0"/>
    <x v="1"/>
    <x v="2"/>
    <x v="2"/>
    <x v="0"/>
    <x v="0"/>
  </r>
  <r>
    <n v="9"/>
    <s v="KOLKATTA REGION"/>
    <s v="KOLKATA"/>
    <s v="West Bengal"/>
    <n v="14"/>
    <x v="7"/>
    <x v="8"/>
    <x v="0"/>
    <x v="0"/>
    <x v="0"/>
    <x v="3"/>
    <x v="1"/>
    <x v="1"/>
    <x v="5"/>
  </r>
  <r>
    <n v="1104"/>
    <s v="PUNE RURAL REGION"/>
    <s v="PUNE RURAL"/>
    <s v="Maharashtra"/>
    <n v="8"/>
    <x v="1"/>
    <x v="1"/>
    <x v="0"/>
    <x v="0"/>
    <x v="0"/>
    <x v="0"/>
    <x v="1"/>
    <x v="2"/>
    <x v="3"/>
  </r>
  <r>
    <n v="157"/>
    <s v="MUMBAI REGION"/>
    <s v="MUMBAI"/>
    <s v="Maharashtra"/>
    <n v="8"/>
    <x v="1"/>
    <x v="1"/>
    <x v="0"/>
    <x v="0"/>
    <x v="0"/>
    <x v="0"/>
    <x v="0"/>
    <x v="0"/>
    <x v="0"/>
  </r>
  <r>
    <n v="1148"/>
    <s v="KOLHAPUR REGION"/>
    <s v="KOLHAPUR"/>
    <s v="Maharashtra"/>
    <n v="8"/>
    <x v="1"/>
    <x v="1"/>
    <x v="5"/>
    <x v="2"/>
    <x v="5"/>
    <x v="4"/>
    <x v="0"/>
    <x v="3"/>
    <x v="3"/>
  </r>
  <r>
    <n v="64"/>
    <s v="INDORE REGION"/>
    <s v="INDORE"/>
    <s v="Madhya Pradesh"/>
    <n v="7"/>
    <x v="15"/>
    <x v="16"/>
    <x v="0"/>
    <x v="0"/>
    <x v="0"/>
    <x v="0"/>
    <x v="3"/>
    <x v="0"/>
    <x v="0"/>
  </r>
  <r>
    <n v="2"/>
    <s v="MUMBAI REGION"/>
    <s v="MUMBAI"/>
    <s v="Maharashtra"/>
    <n v="8"/>
    <x v="11"/>
    <x v="12"/>
    <x v="5"/>
    <x v="1"/>
    <x v="2"/>
    <x v="3"/>
    <x v="3"/>
    <x v="1"/>
    <x v="2"/>
  </r>
  <r>
    <n v="1019"/>
    <s v="CHENNAI REGION"/>
    <s v="CHENNAI"/>
    <s v="Tamil Nadu"/>
    <n v="12"/>
    <x v="17"/>
    <x v="18"/>
    <x v="0"/>
    <x v="1"/>
    <x v="4"/>
    <x v="3"/>
    <x v="5"/>
    <x v="2"/>
    <x v="2"/>
  </r>
  <r>
    <n v="2926"/>
    <s v="PUNE CITY REGION"/>
    <s v="PUNE CITY"/>
    <s v="Maharashtra"/>
    <n v="8"/>
    <x v="17"/>
    <x v="18"/>
    <x v="0"/>
    <x v="0"/>
    <x v="1"/>
    <x v="3"/>
    <x v="1"/>
    <x v="1"/>
    <x v="0"/>
  </r>
  <r>
    <n v="2431"/>
    <s v="RAIGAD REGION"/>
    <s v="RAIGAD"/>
    <s v="Maharashtra"/>
    <n v="8"/>
    <x v="15"/>
    <x v="16"/>
    <x v="0"/>
    <x v="0"/>
    <x v="0"/>
    <x v="0"/>
    <x v="0"/>
    <x v="2"/>
    <x v="1"/>
  </r>
  <r>
    <n v="269"/>
    <s v="MUMBAI REGION"/>
    <s v="MUMBAI"/>
    <s v="Maharashtra"/>
    <n v="8"/>
    <x v="15"/>
    <x v="16"/>
    <x v="0"/>
    <x v="0"/>
    <x v="0"/>
    <x v="2"/>
    <x v="3"/>
    <x v="3"/>
    <x v="3"/>
  </r>
  <r>
    <n v="3617"/>
    <s v="PUNE CITY REGION"/>
    <s v="PUNE CITY"/>
    <s v="Maharashtra"/>
    <n v="8"/>
    <x v="15"/>
    <x v="16"/>
    <x v="0"/>
    <x v="0"/>
    <x v="0"/>
    <x v="0"/>
    <x v="1"/>
    <x v="0"/>
    <x v="3"/>
  </r>
  <r>
    <n v="1581"/>
    <s v="PUNE CITY REGION"/>
    <s v="PUNE CITY"/>
    <s v="Maharashtra"/>
    <n v="8"/>
    <x v="15"/>
    <x v="16"/>
    <x v="0"/>
    <x v="0"/>
    <x v="2"/>
    <x v="3"/>
    <x v="2"/>
    <x v="0"/>
    <x v="2"/>
  </r>
  <r>
    <n v="13"/>
    <s v="PUNE CITY REGION"/>
    <s v="PUNE CITY"/>
    <s v="Maharashtra"/>
    <n v="8"/>
    <x v="8"/>
    <x v="9"/>
    <x v="5"/>
    <x v="1"/>
    <x v="0"/>
    <x v="0"/>
    <x v="0"/>
    <x v="3"/>
    <x v="3"/>
  </r>
  <r>
    <n v="2"/>
    <s v="MUMBAI REGION"/>
    <s v="MUMBAI"/>
    <s v="Maharashtra"/>
    <n v="8"/>
    <x v="0"/>
    <x v="5"/>
    <x v="7"/>
    <x v="1"/>
    <x v="4"/>
    <x v="7"/>
    <x v="2"/>
    <x v="0"/>
    <x v="4"/>
  </r>
  <r>
    <n v="761"/>
    <s v="DELHI REGION"/>
    <s v="DELHI"/>
    <s v="Delhi"/>
    <n v="3"/>
    <x v="0"/>
    <x v="5"/>
    <x v="0"/>
    <x v="0"/>
    <x v="0"/>
    <x v="0"/>
    <x v="3"/>
    <x v="2"/>
    <x v="2"/>
  </r>
  <r>
    <n v="2"/>
    <s v="MUMBAI REGION"/>
    <s v="MUMBAI"/>
    <s v="Maharashtra"/>
    <n v="8"/>
    <x v="13"/>
    <x v="14"/>
    <x v="6"/>
    <x v="1"/>
    <x v="2"/>
    <x v="2"/>
    <x v="0"/>
    <x v="3"/>
    <x v="3"/>
  </r>
  <r>
    <n v="20"/>
    <s v="KOLKATTA REGION"/>
    <s v="KOLKATA"/>
    <s v="West Bengal"/>
    <n v="14"/>
    <x v="11"/>
    <x v="12"/>
    <x v="1"/>
    <x v="1"/>
    <x v="4"/>
    <x v="7"/>
    <x v="4"/>
    <x v="3"/>
    <x v="3"/>
  </r>
  <r>
    <n v="457"/>
    <s v="KOLKATTA REGION"/>
    <s v="KOLKATA"/>
    <s v="West Bengal"/>
    <n v="14"/>
    <x v="10"/>
    <x v="11"/>
    <x v="0"/>
    <x v="0"/>
    <x v="0"/>
    <x v="0"/>
    <x v="1"/>
    <x v="2"/>
    <x v="3"/>
  </r>
  <r>
    <n v="1478"/>
    <s v="HYDERABAD REGION"/>
    <s v="HYDERABAD"/>
    <s v="Andhra Pradesh"/>
    <n v="1"/>
    <x v="10"/>
    <x v="11"/>
    <x v="0"/>
    <x v="0"/>
    <x v="0"/>
    <x v="2"/>
    <x v="3"/>
    <x v="0"/>
    <x v="0"/>
  </r>
  <r>
    <n v="180"/>
    <s v="CHENNAI REGION"/>
    <s v="CHENNAI"/>
    <s v="Tamil Nadu"/>
    <n v="12"/>
    <x v="7"/>
    <x v="8"/>
    <x v="0"/>
    <x v="0"/>
    <x v="0"/>
    <x v="3"/>
    <x v="3"/>
    <x v="1"/>
    <x v="3"/>
  </r>
  <r>
    <n v="151"/>
    <s v="KOLHAPUR REGION"/>
    <s v="KOLHAPUR"/>
    <s v="Maharashtra"/>
    <n v="8"/>
    <x v="1"/>
    <x v="1"/>
    <x v="0"/>
    <x v="0"/>
    <x v="0"/>
    <x v="0"/>
    <x v="3"/>
    <x v="1"/>
    <x v="0"/>
  </r>
  <r>
    <n v="1464"/>
    <s v="LATUR REGION"/>
    <s v="LATUR"/>
    <s v="Maharashtra"/>
    <n v="8"/>
    <x v="1"/>
    <x v="1"/>
    <x v="0"/>
    <x v="0"/>
    <x v="0"/>
    <x v="0"/>
    <x v="1"/>
    <x v="1"/>
    <x v="2"/>
  </r>
  <r>
    <n v="363"/>
    <s v="HYDERABAD REGION"/>
    <s v="HYDERABAD"/>
    <s v="Andhra Pradesh"/>
    <n v="1"/>
    <x v="1"/>
    <x v="1"/>
    <x v="5"/>
    <x v="3"/>
    <x v="2"/>
    <x v="1"/>
    <x v="1"/>
    <x v="4"/>
    <x v="4"/>
  </r>
  <r>
    <n v="1"/>
    <s v="GOA REGION"/>
    <s v="GOA"/>
    <s v="Goa"/>
    <n v="4"/>
    <x v="0"/>
    <x v="5"/>
    <x v="2"/>
    <x v="3"/>
    <x v="0"/>
    <x v="2"/>
    <x v="3"/>
    <x v="1"/>
    <x v="0"/>
  </r>
  <r>
    <n v="227"/>
    <s v="PUNE CITY REGION"/>
    <s v="PUNE CITY"/>
    <s v="Maharashtra"/>
    <n v="8"/>
    <x v="1"/>
    <x v="1"/>
    <x v="0"/>
    <x v="1"/>
    <x v="1"/>
    <x v="3"/>
    <x v="2"/>
    <x v="1"/>
    <x v="3"/>
  </r>
  <r>
    <n v="221"/>
    <s v="PUNE CITY REGION"/>
    <s v="PUNE CITY"/>
    <s v="Maharashtra"/>
    <n v="8"/>
    <x v="2"/>
    <x v="2"/>
    <x v="5"/>
    <x v="1"/>
    <x v="1"/>
    <x v="3"/>
    <x v="0"/>
    <x v="3"/>
    <x v="3"/>
  </r>
  <r>
    <n v="445"/>
    <s v="NAGPUR REGION"/>
    <s v="NAGPUR"/>
    <s v="Maharashtra"/>
    <n v="8"/>
    <x v="3"/>
    <x v="3"/>
    <x v="4"/>
    <x v="4"/>
    <x v="5"/>
    <x v="1"/>
    <x v="3"/>
    <x v="4"/>
    <x v="4"/>
  </r>
  <r>
    <n v="30"/>
    <s v="PUNE CITY REGION"/>
    <s v="PUNE CITY"/>
    <s v="Maharashtra"/>
    <n v="8"/>
    <x v="3"/>
    <x v="3"/>
    <x v="2"/>
    <x v="3"/>
    <x v="1"/>
    <x v="2"/>
    <x v="3"/>
    <x v="0"/>
    <x v="0"/>
  </r>
  <r>
    <n v="1092"/>
    <s v="LATUR REGION"/>
    <s v="LATUR"/>
    <s v="Maharashtra"/>
    <n v="8"/>
    <x v="1"/>
    <x v="1"/>
    <x v="5"/>
    <x v="4"/>
    <x v="1"/>
    <x v="0"/>
    <x v="0"/>
    <x v="3"/>
    <x v="3"/>
  </r>
  <r>
    <n v="723"/>
    <s v="MUMBAI REGION"/>
    <s v="MUMBAI"/>
    <s v="Maharashtra"/>
    <n v="8"/>
    <x v="4"/>
    <x v="4"/>
    <x v="0"/>
    <x v="0"/>
    <x v="0"/>
    <x v="0"/>
    <x v="2"/>
    <x v="1"/>
    <x v="3"/>
  </r>
  <r>
    <n v="402"/>
    <s v="PUNE CITY REGION"/>
    <s v="PUNE CITY"/>
    <s v="Maharashtra"/>
    <n v="8"/>
    <x v="0"/>
    <x v="5"/>
    <x v="0"/>
    <x v="0"/>
    <x v="0"/>
    <x v="0"/>
    <x v="0"/>
    <x v="2"/>
    <x v="0"/>
  </r>
  <r>
    <n v="1163"/>
    <s v="THANE REGION"/>
    <s v="THANE"/>
    <s v="Maharashtra"/>
    <n v="8"/>
    <x v="5"/>
    <x v="6"/>
    <x v="0"/>
    <x v="0"/>
    <x v="0"/>
    <x v="0"/>
    <x v="1"/>
    <x v="5"/>
    <x v="4"/>
  </r>
  <r>
    <n v="1198"/>
    <s v="CHENNAI REGION"/>
    <s v="CHENNAI"/>
    <s v="Tamil Nadu"/>
    <n v="12"/>
    <x v="6"/>
    <x v="7"/>
    <x v="2"/>
    <x v="3"/>
    <x v="1"/>
    <x v="2"/>
    <x v="3"/>
    <x v="1"/>
    <x v="3"/>
  </r>
  <r>
    <n v="345"/>
    <s v="AHMEDABAD  REGION"/>
    <s v="AHMEDABAD"/>
    <s v="Gujarat"/>
    <n v="5"/>
    <x v="7"/>
    <x v="8"/>
    <x v="0"/>
    <x v="6"/>
    <x v="7"/>
    <x v="8"/>
    <x v="4"/>
    <x v="3"/>
    <x v="3"/>
  </r>
  <r>
    <n v="1408"/>
    <s v="KOLHAPUR REGION"/>
    <s v="KOLHAPUR"/>
    <s v="Maharashtra"/>
    <n v="8"/>
    <x v="1"/>
    <x v="1"/>
    <x v="0"/>
    <x v="0"/>
    <x v="0"/>
    <x v="0"/>
    <x v="0"/>
    <x v="1"/>
    <x v="4"/>
  </r>
  <r>
    <n v="1907"/>
    <s v="KOLHAPUR REGION"/>
    <s v="KOLHAPUR"/>
    <s v="Maharashtra"/>
    <n v="8"/>
    <x v="1"/>
    <x v="1"/>
    <x v="0"/>
    <x v="0"/>
    <x v="0"/>
    <x v="0"/>
    <x v="2"/>
    <x v="2"/>
    <x v="2"/>
  </r>
  <r>
    <n v="1590"/>
    <s v="PUNE CITY REGION"/>
    <s v="PUNE CITY"/>
    <s v="Maharashtra"/>
    <n v="8"/>
    <x v="7"/>
    <x v="8"/>
    <x v="0"/>
    <x v="0"/>
    <x v="0"/>
    <x v="2"/>
    <x v="1"/>
    <x v="4"/>
    <x v="4"/>
  </r>
  <r>
    <n v="1176"/>
    <s v="CHANDIGARH REGION"/>
    <s v="CHANDIGARH"/>
    <s v="Punjab&amp;Haryana"/>
    <n v="10"/>
    <x v="1"/>
    <x v="1"/>
    <x v="0"/>
    <x v="0"/>
    <x v="0"/>
    <x v="0"/>
    <x v="1"/>
    <x v="2"/>
    <x v="3"/>
  </r>
  <r>
    <n v="293"/>
    <s v="NAGPUR REGION"/>
    <s v="NAGPUR"/>
    <s v="Maharashtra"/>
    <n v="8"/>
    <x v="7"/>
    <x v="8"/>
    <x v="2"/>
    <x v="1"/>
    <x v="1"/>
    <x v="2"/>
    <x v="1"/>
    <x v="1"/>
    <x v="2"/>
  </r>
  <r>
    <n v="911"/>
    <s v="PUNE CITY REGION"/>
    <s v="PUNE CITY"/>
    <s v="Maharashtra"/>
    <n v="8"/>
    <x v="1"/>
    <x v="1"/>
    <x v="0"/>
    <x v="0"/>
    <x v="0"/>
    <x v="0"/>
    <x v="0"/>
    <x v="4"/>
    <x v="1"/>
  </r>
  <r>
    <n v="39"/>
    <s v="NASIK REGION"/>
    <s v="NASIK"/>
    <s v="Maharashtra"/>
    <n v="8"/>
    <x v="1"/>
    <x v="1"/>
    <x v="0"/>
    <x v="0"/>
    <x v="3"/>
    <x v="8"/>
    <x v="5"/>
    <x v="5"/>
    <x v="1"/>
  </r>
  <r>
    <n v="19"/>
    <s v="NASIK REGION"/>
    <s v="NASIK"/>
    <s v="Maharashtra"/>
    <n v="8"/>
    <x v="1"/>
    <x v="1"/>
    <x v="0"/>
    <x v="0"/>
    <x v="0"/>
    <x v="2"/>
    <x v="3"/>
    <x v="0"/>
    <x v="0"/>
  </r>
  <r>
    <n v="929"/>
    <s v="PUNE CITY REGION"/>
    <s v="PUNE CITY"/>
    <s v="Maharashtra"/>
    <n v="8"/>
    <x v="8"/>
    <x v="9"/>
    <x v="0"/>
    <x v="0"/>
    <x v="0"/>
    <x v="3"/>
    <x v="5"/>
    <x v="2"/>
    <x v="2"/>
  </r>
  <r>
    <n v="1551"/>
    <s v="LATUR REGION"/>
    <s v="LATUR"/>
    <s v="Maharashtra"/>
    <n v="8"/>
    <x v="17"/>
    <x v="18"/>
    <x v="0"/>
    <x v="0"/>
    <x v="0"/>
    <x v="2"/>
    <x v="3"/>
    <x v="0"/>
    <x v="4"/>
  </r>
  <r>
    <n v="1413"/>
    <s v="INDORE REGION"/>
    <s v="INDORE"/>
    <s v="Madhya Pradesh"/>
    <n v="7"/>
    <x v="4"/>
    <x v="4"/>
    <x v="0"/>
    <x v="0"/>
    <x v="0"/>
    <x v="0"/>
    <x v="3"/>
    <x v="2"/>
    <x v="2"/>
  </r>
  <r>
    <n v="606"/>
    <s v="PUNE CITY REGION"/>
    <s v="PUNE CITY"/>
    <s v="Maharashtra"/>
    <n v="8"/>
    <x v="4"/>
    <x v="4"/>
    <x v="0"/>
    <x v="0"/>
    <x v="0"/>
    <x v="0"/>
    <x v="0"/>
    <x v="2"/>
    <x v="2"/>
  </r>
  <r>
    <n v="2687"/>
    <s v="PUNE RURAL REGION"/>
    <s v="PUNE RURAL"/>
    <s v="Maharashtra"/>
    <n v="8"/>
    <x v="15"/>
    <x v="16"/>
    <x v="0"/>
    <x v="0"/>
    <x v="0"/>
    <x v="0"/>
    <x v="1"/>
    <x v="1"/>
    <x v="5"/>
  </r>
  <r>
    <n v="1"/>
    <s v="PUNE CITY REGION"/>
    <s v="PUNE CITY"/>
    <s v="Maharashtra"/>
    <n v="8"/>
    <x v="11"/>
    <x v="12"/>
    <x v="0"/>
    <x v="3"/>
    <x v="1"/>
    <x v="2"/>
    <x v="2"/>
    <x v="0"/>
    <x v="0"/>
  </r>
  <r>
    <n v="6"/>
    <s v="HYDERABAD REGION"/>
    <s v="HYDERABAD"/>
    <s v="Andhra Pradesh"/>
    <n v="1"/>
    <x v="17"/>
    <x v="18"/>
    <x v="1"/>
    <x v="4"/>
    <x v="2"/>
    <x v="2"/>
    <x v="1"/>
    <x v="1"/>
    <x v="0"/>
  </r>
  <r>
    <n v="2657"/>
    <s v="PUNE RURAL REGION"/>
    <s v="PUNE RURAL"/>
    <s v="Maharashtra"/>
    <n v="8"/>
    <x v="17"/>
    <x v="18"/>
    <x v="0"/>
    <x v="0"/>
    <x v="0"/>
    <x v="3"/>
    <x v="1"/>
    <x v="2"/>
    <x v="5"/>
  </r>
  <r>
    <n v="78"/>
    <s v="KOLKATTA REGION"/>
    <s v="KOLKATA"/>
    <s v="West Bengal"/>
    <n v="14"/>
    <x v="15"/>
    <x v="16"/>
    <x v="0"/>
    <x v="0"/>
    <x v="1"/>
    <x v="3"/>
    <x v="2"/>
    <x v="4"/>
    <x v="5"/>
  </r>
  <r>
    <n v="352"/>
    <s v="NASIK REGION"/>
    <s v="NASIK"/>
    <s v="Maharashtra"/>
    <n v="8"/>
    <x v="15"/>
    <x v="16"/>
    <x v="0"/>
    <x v="0"/>
    <x v="0"/>
    <x v="0"/>
    <x v="3"/>
    <x v="1"/>
    <x v="2"/>
  </r>
  <r>
    <n v="1217"/>
    <s v="MUMBAI REGION"/>
    <s v="MUMBAI"/>
    <s v="Maharashtra"/>
    <n v="8"/>
    <x v="15"/>
    <x v="16"/>
    <x v="0"/>
    <x v="0"/>
    <x v="0"/>
    <x v="0"/>
    <x v="0"/>
    <x v="1"/>
    <x v="4"/>
  </r>
  <r>
    <n v="2652"/>
    <s v="HYDERABAD REGION"/>
    <s v="HYDERABAD"/>
    <s v="Andhra Pradesh"/>
    <n v="1"/>
    <x v="15"/>
    <x v="16"/>
    <x v="0"/>
    <x v="0"/>
    <x v="1"/>
    <x v="3"/>
    <x v="2"/>
    <x v="4"/>
    <x v="4"/>
  </r>
  <r>
    <n v="328"/>
    <s v="PUNE CITY REGION"/>
    <s v="PUNE CITY"/>
    <s v="Maharashtra"/>
    <n v="8"/>
    <x v="8"/>
    <x v="9"/>
    <x v="0"/>
    <x v="0"/>
    <x v="0"/>
    <x v="3"/>
    <x v="1"/>
    <x v="2"/>
    <x v="3"/>
  </r>
  <r>
    <n v="1712"/>
    <s v="CHENNAI REGION"/>
    <s v="CHENNAI"/>
    <s v="Tamil Nadu"/>
    <n v="12"/>
    <x v="0"/>
    <x v="5"/>
    <x v="0"/>
    <x v="0"/>
    <x v="0"/>
    <x v="0"/>
    <x v="3"/>
    <x v="0"/>
    <x v="0"/>
  </r>
  <r>
    <n v="569"/>
    <s v="AHMEDABAD  REGION"/>
    <s v="AHMEDABAD"/>
    <s v="Gujarat"/>
    <n v="5"/>
    <x v="0"/>
    <x v="5"/>
    <x v="0"/>
    <x v="0"/>
    <x v="0"/>
    <x v="0"/>
    <x v="3"/>
    <x v="1"/>
    <x v="0"/>
  </r>
  <r>
    <n v="1552"/>
    <s v="AMRAVATI REGION"/>
    <s v="AMRAVATI"/>
    <s v="Maharashtra"/>
    <n v="8"/>
    <x v="13"/>
    <x v="14"/>
    <x v="0"/>
    <x v="0"/>
    <x v="0"/>
    <x v="0"/>
    <x v="0"/>
    <x v="2"/>
    <x v="0"/>
  </r>
  <r>
    <n v="124"/>
    <s v="MUMBAI REGION"/>
    <s v="MUMBAI"/>
    <s v="Maharashtra"/>
    <n v="8"/>
    <x v="11"/>
    <x v="12"/>
    <x v="1"/>
    <x v="1"/>
    <x v="2"/>
    <x v="2"/>
    <x v="3"/>
    <x v="1"/>
    <x v="4"/>
  </r>
  <r>
    <n v="2094"/>
    <s v="NAGPUR REGION"/>
    <s v="NAGPUR"/>
    <s v="Maharashtra"/>
    <n v="8"/>
    <x v="10"/>
    <x v="11"/>
    <x v="0"/>
    <x v="0"/>
    <x v="4"/>
    <x v="1"/>
    <x v="0"/>
    <x v="3"/>
    <x v="3"/>
  </r>
  <r>
    <n v="1268"/>
    <s v="SOLAPUR REGION"/>
    <s v="SOLAPUR"/>
    <s v="Maharashtra"/>
    <n v="8"/>
    <x v="10"/>
    <x v="11"/>
    <x v="0"/>
    <x v="0"/>
    <x v="0"/>
    <x v="0"/>
    <x v="0"/>
    <x v="0"/>
    <x v="2"/>
  </r>
  <r>
    <n v="27"/>
    <s v="DELHI REGION"/>
    <s v="DELHI"/>
    <s v="Delhi"/>
    <n v="3"/>
    <x v="7"/>
    <x v="8"/>
    <x v="0"/>
    <x v="0"/>
    <x v="0"/>
    <x v="0"/>
    <x v="0"/>
    <x v="1"/>
    <x v="4"/>
  </r>
  <r>
    <n v="2653"/>
    <s v="HYDERABAD REGION"/>
    <s v="HYDERABAD"/>
    <s v="Andhra Pradesh"/>
    <n v="1"/>
    <x v="1"/>
    <x v="1"/>
    <x v="0"/>
    <x v="0"/>
    <x v="0"/>
    <x v="2"/>
    <x v="3"/>
    <x v="0"/>
    <x v="4"/>
  </r>
  <r>
    <n v="914"/>
    <s v="MUMBAI REGION"/>
    <s v="MUMBAI"/>
    <s v="Maharashtra"/>
    <n v="8"/>
    <x v="1"/>
    <x v="1"/>
    <x v="0"/>
    <x v="0"/>
    <x v="2"/>
    <x v="7"/>
    <x v="4"/>
    <x v="3"/>
    <x v="3"/>
  </r>
  <r>
    <n v="1548"/>
    <s v="PUNE CITY REGION"/>
    <s v="PUNE CITY"/>
    <s v="Maharashtra"/>
    <n v="8"/>
    <x v="1"/>
    <x v="1"/>
    <x v="0"/>
    <x v="0"/>
    <x v="0"/>
    <x v="0"/>
    <x v="7"/>
    <x v="5"/>
    <x v="1"/>
  </r>
  <r>
    <n v="817"/>
    <s v="PUNE CITY REGION"/>
    <s v="PUNE CITY"/>
    <s v="Maharashtra"/>
    <n v="8"/>
    <x v="0"/>
    <x v="5"/>
    <x v="0"/>
    <x v="0"/>
    <x v="0"/>
    <x v="0"/>
    <x v="3"/>
    <x v="1"/>
    <x v="4"/>
  </r>
  <r>
    <n v="1"/>
    <s v="MUMBAI REGION"/>
    <s v="MUMBAI"/>
    <s v="Maharashtra"/>
    <n v="8"/>
    <x v="1"/>
    <x v="1"/>
    <x v="5"/>
    <x v="1"/>
    <x v="4"/>
    <x v="3"/>
    <x v="3"/>
    <x v="1"/>
    <x v="2"/>
  </r>
  <r>
    <n v="505"/>
    <s v="AHMEDABAD  REGION"/>
    <s v="AHMEDABAD"/>
    <s v="Gujarat"/>
    <n v="5"/>
    <x v="2"/>
    <x v="2"/>
    <x v="0"/>
    <x v="0"/>
    <x v="1"/>
    <x v="3"/>
    <x v="3"/>
    <x v="0"/>
    <x v="2"/>
  </r>
  <r>
    <n v="659"/>
    <s v="HYDERABAD REGION"/>
    <s v="HYDERABAD"/>
    <s v="Andhra Pradesh"/>
    <n v="1"/>
    <x v="3"/>
    <x v="3"/>
    <x v="0"/>
    <x v="0"/>
    <x v="0"/>
    <x v="0"/>
    <x v="0"/>
    <x v="1"/>
    <x v="2"/>
  </r>
  <r>
    <n v="2431"/>
    <s v="BANGALORE REGION"/>
    <s v="BANGALORE"/>
    <s v="Karnataka"/>
    <n v="6"/>
    <x v="3"/>
    <x v="3"/>
    <x v="0"/>
    <x v="0"/>
    <x v="0"/>
    <x v="0"/>
    <x v="3"/>
    <x v="1"/>
    <x v="3"/>
  </r>
  <r>
    <n v="1065"/>
    <s v="PUNE CITY REGION"/>
    <s v="PUNE CITY"/>
    <s v="Maharashtra"/>
    <n v="8"/>
    <x v="1"/>
    <x v="1"/>
    <x v="0"/>
    <x v="0"/>
    <x v="2"/>
    <x v="2"/>
    <x v="2"/>
    <x v="1"/>
    <x v="2"/>
  </r>
  <r>
    <n v="73"/>
    <s v="NASIK REGION"/>
    <s v="NASIK"/>
    <s v="Maharashtra"/>
    <n v="8"/>
    <x v="4"/>
    <x v="4"/>
    <x v="0"/>
    <x v="0"/>
    <x v="1"/>
    <x v="2"/>
    <x v="2"/>
    <x v="3"/>
    <x v="3"/>
  </r>
  <r>
    <n v="1"/>
    <s v="PUNE CITY REGION"/>
    <s v="PUNE CITY"/>
    <s v="Maharashtra"/>
    <n v="8"/>
    <x v="0"/>
    <x v="5"/>
    <x v="0"/>
    <x v="0"/>
    <x v="2"/>
    <x v="3"/>
    <x v="3"/>
    <x v="1"/>
    <x v="4"/>
  </r>
  <r>
    <n v="326"/>
    <s v="PUNE CITY REGION"/>
    <s v="PUNE CITY"/>
    <s v="Maharashtra"/>
    <n v="8"/>
    <x v="5"/>
    <x v="6"/>
    <x v="0"/>
    <x v="0"/>
    <x v="0"/>
    <x v="0"/>
    <x v="1"/>
    <x v="0"/>
    <x v="4"/>
  </r>
  <r>
    <n v="354"/>
    <s v="PUNE CITY REGION"/>
    <s v="PUNE CITY"/>
    <s v="Maharashtra"/>
    <n v="8"/>
    <x v="6"/>
    <x v="7"/>
    <x v="0"/>
    <x v="0"/>
    <x v="0"/>
    <x v="0"/>
    <x v="0"/>
    <x v="1"/>
    <x v="4"/>
  </r>
  <r>
    <n v="1223"/>
    <s v="PUNE CITY REGION"/>
    <s v="PUNE CITY"/>
    <s v="Maharashtra"/>
    <n v="8"/>
    <x v="7"/>
    <x v="8"/>
    <x v="0"/>
    <x v="3"/>
    <x v="1"/>
    <x v="2"/>
    <x v="3"/>
    <x v="0"/>
    <x v="0"/>
  </r>
  <r>
    <n v="696"/>
    <s v="LUCKNOW REGION"/>
    <s v="LUCKNOW"/>
    <s v="Uttar Pradesh"/>
    <n v="13"/>
    <x v="1"/>
    <x v="1"/>
    <x v="0"/>
    <x v="0"/>
    <x v="0"/>
    <x v="0"/>
    <x v="3"/>
    <x v="2"/>
    <x v="3"/>
  </r>
  <r>
    <n v="507"/>
    <s v="PUNE CITY REGION"/>
    <s v="PUNE CITY"/>
    <s v="Maharashtra"/>
    <n v="8"/>
    <x v="1"/>
    <x v="1"/>
    <x v="0"/>
    <x v="0"/>
    <x v="0"/>
    <x v="0"/>
    <x v="1"/>
    <x v="1"/>
    <x v="0"/>
  </r>
  <r>
    <n v="1730"/>
    <s v="NASIK REGION"/>
    <s v="NASIK"/>
    <s v="Maharashtra"/>
    <n v="8"/>
    <x v="7"/>
    <x v="8"/>
    <x v="0"/>
    <x v="0"/>
    <x v="0"/>
    <x v="7"/>
    <x v="2"/>
    <x v="1"/>
    <x v="2"/>
  </r>
  <r>
    <n v="322"/>
    <s v="PUNE CITY REGION"/>
    <s v="PUNE CITY"/>
    <s v="Maharashtra"/>
    <n v="8"/>
    <x v="1"/>
    <x v="1"/>
    <x v="2"/>
    <x v="3"/>
    <x v="1"/>
    <x v="2"/>
    <x v="3"/>
    <x v="1"/>
    <x v="2"/>
  </r>
  <r>
    <n v="141"/>
    <s v="RAIPUR REGION"/>
    <s v="RAIPUR"/>
    <s v="Chhattisgarh"/>
    <n v="2"/>
    <x v="7"/>
    <x v="8"/>
    <x v="2"/>
    <x v="1"/>
    <x v="2"/>
    <x v="2"/>
    <x v="3"/>
    <x v="0"/>
    <x v="4"/>
  </r>
  <r>
    <n v="1239"/>
    <s v="NASIK REGION"/>
    <s v="NASIK"/>
    <s v="Maharashtra"/>
    <n v="8"/>
    <x v="1"/>
    <x v="1"/>
    <x v="0"/>
    <x v="0"/>
    <x v="0"/>
    <x v="0"/>
    <x v="0"/>
    <x v="4"/>
    <x v="5"/>
  </r>
  <r>
    <n v="20"/>
    <s v="MUMBAI REGION"/>
    <s v="MUMBAI"/>
    <s v="Maharashtra"/>
    <n v="8"/>
    <x v="1"/>
    <x v="1"/>
    <x v="1"/>
    <x v="4"/>
    <x v="1"/>
    <x v="2"/>
    <x v="0"/>
    <x v="3"/>
    <x v="3"/>
  </r>
  <r>
    <n v="2036"/>
    <s v="PUNE CITY REGION"/>
    <s v="PUNE CITY"/>
    <s v="Maharashtra"/>
    <n v="8"/>
    <x v="1"/>
    <x v="1"/>
    <x v="0"/>
    <x v="0"/>
    <x v="0"/>
    <x v="0"/>
    <x v="3"/>
    <x v="0"/>
    <x v="0"/>
  </r>
  <r>
    <n v="8"/>
    <s v="MUMBAI REGION"/>
    <s v="MUMBAI"/>
    <s v="Maharashtra"/>
    <n v="8"/>
    <x v="8"/>
    <x v="9"/>
    <x v="0"/>
    <x v="0"/>
    <x v="0"/>
    <x v="0"/>
    <x v="3"/>
    <x v="1"/>
    <x v="1"/>
  </r>
  <r>
    <n v="876"/>
    <s v="PUNE CITY REGION"/>
    <s v="PUNE CITY"/>
    <s v="Maharashtra"/>
    <n v="8"/>
    <x v="8"/>
    <x v="9"/>
    <x v="0"/>
    <x v="0"/>
    <x v="1"/>
    <x v="2"/>
    <x v="1"/>
    <x v="1"/>
    <x v="0"/>
  </r>
  <r>
    <n v="130"/>
    <s v="PUNE CITY REGION"/>
    <s v="PUNE CITY"/>
    <s v="Maharashtra"/>
    <n v="8"/>
    <x v="8"/>
    <x v="9"/>
    <x v="2"/>
    <x v="3"/>
    <x v="0"/>
    <x v="0"/>
    <x v="0"/>
    <x v="3"/>
    <x v="3"/>
  </r>
  <r>
    <n v="400"/>
    <s v="AHMEDABAD  REGION"/>
    <s v="AHMEDABAD"/>
    <s v="Gujarat"/>
    <n v="5"/>
    <x v="2"/>
    <x v="2"/>
    <x v="0"/>
    <x v="0"/>
    <x v="2"/>
    <x v="3"/>
    <x v="1"/>
    <x v="4"/>
    <x v="5"/>
  </r>
  <r>
    <n v="1"/>
    <s v="NASIK REGION"/>
    <s v="NASIK"/>
    <s v="Maharashtra"/>
    <n v="8"/>
    <x v="1"/>
    <x v="1"/>
    <x v="0"/>
    <x v="0"/>
    <x v="0"/>
    <x v="2"/>
    <x v="3"/>
    <x v="0"/>
    <x v="2"/>
  </r>
  <r>
    <n v="278"/>
    <s v="NAGPUR REGION"/>
    <s v="NAGPUR"/>
    <s v="Maharashtra"/>
    <n v="8"/>
    <x v="2"/>
    <x v="2"/>
    <x v="0"/>
    <x v="0"/>
    <x v="2"/>
    <x v="3"/>
    <x v="0"/>
    <x v="3"/>
    <x v="3"/>
  </r>
  <r>
    <n v="1129"/>
    <s v="PUNE CITY REGION"/>
    <s v="PUNE CITY"/>
    <s v="Maharashtra"/>
    <n v="8"/>
    <x v="0"/>
    <x v="5"/>
    <x v="0"/>
    <x v="0"/>
    <x v="0"/>
    <x v="0"/>
    <x v="5"/>
    <x v="2"/>
    <x v="4"/>
  </r>
  <r>
    <n v="544"/>
    <s v="AHMEDABAD  REGION"/>
    <s v="AHMEDABAD"/>
    <s v="Gujarat"/>
    <n v="5"/>
    <x v="8"/>
    <x v="9"/>
    <x v="0"/>
    <x v="0"/>
    <x v="0"/>
    <x v="0"/>
    <x v="0"/>
    <x v="0"/>
    <x v="0"/>
  </r>
  <r>
    <n v="430"/>
    <s v="MUMBAI REGION"/>
    <s v="MUMBAI"/>
    <s v="Maharashtra"/>
    <n v="8"/>
    <x v="9"/>
    <x v="10"/>
    <x v="0"/>
    <x v="3"/>
    <x v="1"/>
    <x v="2"/>
    <x v="3"/>
    <x v="1"/>
    <x v="0"/>
  </r>
  <r>
    <n v="2364"/>
    <s v="LATUR REGION"/>
    <s v="LATUR"/>
    <s v="Maharashtra"/>
    <n v="8"/>
    <x v="7"/>
    <x v="8"/>
    <x v="0"/>
    <x v="0"/>
    <x v="0"/>
    <x v="0"/>
    <x v="1"/>
    <x v="1"/>
    <x v="0"/>
  </r>
  <r>
    <n v="341"/>
    <s v="PUNE CITY REGION"/>
    <s v="PUNE CITY"/>
    <s v="Maharashtra"/>
    <n v="8"/>
    <x v="1"/>
    <x v="1"/>
    <x v="0"/>
    <x v="0"/>
    <x v="0"/>
    <x v="0"/>
    <x v="3"/>
    <x v="4"/>
    <x v="2"/>
  </r>
  <r>
    <n v="32"/>
    <s v="PUNE CITY REGION"/>
    <s v="PUNE CITY"/>
    <s v="Maharashtra"/>
    <n v="8"/>
    <x v="2"/>
    <x v="2"/>
    <x v="2"/>
    <x v="3"/>
    <x v="2"/>
    <x v="7"/>
    <x v="2"/>
    <x v="4"/>
    <x v="5"/>
  </r>
  <r>
    <n v="230"/>
    <s v="PUNE CITY REGION"/>
    <s v="PUNE CITY"/>
    <s v="Maharashtra"/>
    <n v="8"/>
    <x v="2"/>
    <x v="2"/>
    <x v="2"/>
    <x v="3"/>
    <x v="1"/>
    <x v="2"/>
    <x v="3"/>
    <x v="0"/>
    <x v="0"/>
  </r>
  <r>
    <n v="3486"/>
    <s v="PUNE CITY REGION"/>
    <s v="PUNE CITY"/>
    <s v="Maharashtra"/>
    <n v="8"/>
    <x v="3"/>
    <x v="3"/>
    <x v="0"/>
    <x v="0"/>
    <x v="0"/>
    <x v="3"/>
    <x v="3"/>
    <x v="0"/>
    <x v="3"/>
  </r>
  <r>
    <n v="1016"/>
    <s v="PUNE CITY REGION"/>
    <s v="PUNE CITY"/>
    <s v="Maharashtra"/>
    <n v="8"/>
    <x v="1"/>
    <x v="1"/>
    <x v="0"/>
    <x v="0"/>
    <x v="0"/>
    <x v="0"/>
    <x v="1"/>
    <x v="1"/>
    <x v="2"/>
  </r>
  <r>
    <n v="39"/>
    <s v="PUNE CITY REGION"/>
    <s v="PUNE CITY"/>
    <s v="Maharashtra"/>
    <n v="8"/>
    <x v="10"/>
    <x v="11"/>
    <x v="4"/>
    <x v="2"/>
    <x v="7"/>
    <x v="6"/>
    <x v="0"/>
    <x v="3"/>
    <x v="3"/>
  </r>
  <r>
    <n v="267"/>
    <s v="MUMBAI REGION"/>
    <s v="MUMBAI"/>
    <s v="Maharashtra"/>
    <n v="8"/>
    <x v="11"/>
    <x v="12"/>
    <x v="0"/>
    <x v="0"/>
    <x v="0"/>
    <x v="0"/>
    <x v="1"/>
    <x v="4"/>
    <x v="1"/>
  </r>
  <r>
    <n v="345"/>
    <s v="GOA REGION"/>
    <s v="GOA"/>
    <s v="Goa"/>
    <n v="4"/>
    <x v="12"/>
    <x v="13"/>
    <x v="0"/>
    <x v="1"/>
    <x v="4"/>
    <x v="3"/>
    <x v="0"/>
    <x v="3"/>
    <x v="3"/>
  </r>
  <r>
    <n v="1157"/>
    <s v="CHANDIGARH REGION"/>
    <s v="CHANDIGARH"/>
    <s v="Punjab&amp;Haryana"/>
    <n v="10"/>
    <x v="0"/>
    <x v="5"/>
    <x v="0"/>
    <x v="0"/>
    <x v="0"/>
    <x v="0"/>
    <x v="1"/>
    <x v="6"/>
    <x v="8"/>
  </r>
  <r>
    <n v="268"/>
    <s v="MUMBAI REGION"/>
    <s v="MUMBAI"/>
    <s v="Maharashtra"/>
    <n v="8"/>
    <x v="13"/>
    <x v="14"/>
    <x v="0"/>
    <x v="0"/>
    <x v="0"/>
    <x v="0"/>
    <x v="2"/>
    <x v="2"/>
    <x v="4"/>
  </r>
  <r>
    <n v="242"/>
    <s v="PUNE CITY REGION"/>
    <s v="PUNE CITY"/>
    <s v="Maharashtra"/>
    <n v="8"/>
    <x v="7"/>
    <x v="8"/>
    <x v="0"/>
    <x v="0"/>
    <x v="1"/>
    <x v="3"/>
    <x v="1"/>
    <x v="1"/>
    <x v="2"/>
  </r>
  <r>
    <n v="432"/>
    <s v="DELHI REGION"/>
    <s v="DELHI"/>
    <s v="Delhi"/>
    <n v="3"/>
    <x v="4"/>
    <x v="4"/>
    <x v="2"/>
    <x v="3"/>
    <x v="1"/>
    <x v="0"/>
    <x v="0"/>
    <x v="3"/>
    <x v="3"/>
  </r>
  <r>
    <n v="144"/>
    <s v="MUMBAI REGION"/>
    <s v="MUMBAI"/>
    <s v="Maharashtra"/>
    <n v="8"/>
    <x v="4"/>
    <x v="4"/>
    <x v="0"/>
    <x v="0"/>
    <x v="0"/>
    <x v="0"/>
    <x v="1"/>
    <x v="0"/>
    <x v="2"/>
  </r>
  <r>
    <n v="33"/>
    <s v="MUMBAI REGION"/>
    <s v="MUMBAI"/>
    <s v="Maharashtra"/>
    <n v="8"/>
    <x v="10"/>
    <x v="11"/>
    <x v="0"/>
    <x v="0"/>
    <x v="2"/>
    <x v="1"/>
    <x v="3"/>
    <x v="1"/>
    <x v="4"/>
  </r>
  <r>
    <n v="326"/>
    <s v="MUMBAI REGION"/>
    <s v="MUMBAI"/>
    <s v="Maharashtra"/>
    <n v="8"/>
    <x v="4"/>
    <x v="4"/>
    <x v="0"/>
    <x v="0"/>
    <x v="2"/>
    <x v="3"/>
    <x v="3"/>
    <x v="2"/>
    <x v="4"/>
  </r>
  <r>
    <n v="526"/>
    <s v="BANGALORE REGION"/>
    <s v="BANGALORE"/>
    <s v="Karnataka"/>
    <n v="6"/>
    <x v="14"/>
    <x v="15"/>
    <x v="0"/>
    <x v="0"/>
    <x v="0"/>
    <x v="0"/>
    <x v="3"/>
    <x v="0"/>
    <x v="0"/>
  </r>
  <r>
    <n v="1132"/>
    <s v="MUMBAI REGION"/>
    <s v="MUMBAI"/>
    <s v="Maharashtra"/>
    <n v="8"/>
    <x v="13"/>
    <x v="14"/>
    <x v="0"/>
    <x v="0"/>
    <x v="2"/>
    <x v="3"/>
    <x v="0"/>
    <x v="3"/>
    <x v="3"/>
  </r>
  <r>
    <n v="40"/>
    <s v="NASIK REGION"/>
    <s v="NASIK"/>
    <s v="Maharashtra"/>
    <n v="8"/>
    <x v="2"/>
    <x v="2"/>
    <x v="0"/>
    <x v="0"/>
    <x v="0"/>
    <x v="3"/>
    <x v="2"/>
    <x v="2"/>
    <x v="3"/>
  </r>
  <r>
    <n v="2139"/>
    <s v="NASIK REGION"/>
    <s v="NASIK"/>
    <s v="Maharashtra"/>
    <n v="8"/>
    <x v="1"/>
    <x v="1"/>
    <x v="0"/>
    <x v="0"/>
    <x v="0"/>
    <x v="0"/>
    <x v="0"/>
    <x v="2"/>
    <x v="2"/>
  </r>
  <r>
    <n v="64"/>
    <s v="BANGALORE REGION"/>
    <s v="BANGALORE"/>
    <s v="Karnataka"/>
    <n v="6"/>
    <x v="2"/>
    <x v="2"/>
    <x v="0"/>
    <x v="0"/>
    <x v="1"/>
    <x v="3"/>
    <x v="1"/>
    <x v="0"/>
    <x v="4"/>
  </r>
  <r>
    <n v="2628"/>
    <s v="KOLHAPUR REGION"/>
    <s v="KOLHAPUR"/>
    <s v="Maharashtra"/>
    <n v="8"/>
    <x v="3"/>
    <x v="3"/>
    <x v="0"/>
    <x v="0"/>
    <x v="0"/>
    <x v="0"/>
    <x v="0"/>
    <x v="1"/>
    <x v="2"/>
  </r>
  <r>
    <n v="779"/>
    <s v="MUMBAI REGION"/>
    <s v="MUMBAI"/>
    <s v="Maharashtra"/>
    <n v="8"/>
    <x v="0"/>
    <x v="5"/>
    <x v="0"/>
    <x v="0"/>
    <x v="0"/>
    <x v="0"/>
    <x v="0"/>
    <x v="1"/>
    <x v="0"/>
  </r>
  <r>
    <n v="20"/>
    <s v="PUNE CITY REGION"/>
    <s v="PUNE CITY"/>
    <s v="Maharashtra"/>
    <n v="8"/>
    <x v="0"/>
    <x v="5"/>
    <x v="2"/>
    <x v="3"/>
    <x v="1"/>
    <x v="2"/>
    <x v="3"/>
    <x v="0"/>
    <x v="4"/>
  </r>
  <r>
    <n v="1154"/>
    <s v="NASIK REGION"/>
    <s v="NASIK"/>
    <s v="Maharashtra"/>
    <n v="8"/>
    <x v="4"/>
    <x v="4"/>
    <x v="0"/>
    <x v="0"/>
    <x v="0"/>
    <x v="0"/>
    <x v="0"/>
    <x v="0"/>
    <x v="2"/>
  </r>
  <r>
    <n v="453"/>
    <s v="NASIK REGION"/>
    <s v="NASIK"/>
    <s v="Maharashtra"/>
    <n v="8"/>
    <x v="14"/>
    <x v="15"/>
    <x v="0"/>
    <x v="0"/>
    <x v="0"/>
    <x v="2"/>
    <x v="3"/>
    <x v="0"/>
    <x v="3"/>
  </r>
  <r>
    <n v="3417"/>
    <s v="PUNE CITY REGION"/>
    <s v="PUNE CITY"/>
    <s v="Maharashtra"/>
    <n v="8"/>
    <x v="14"/>
    <x v="15"/>
    <x v="0"/>
    <x v="0"/>
    <x v="5"/>
    <x v="7"/>
    <x v="7"/>
    <x v="5"/>
    <x v="6"/>
  </r>
  <r>
    <n v="487"/>
    <s v="CHENNAI"/>
    <s v="CHENNAI"/>
    <s v="Tamil Nadu"/>
    <n v="12"/>
    <x v="10"/>
    <x v="11"/>
    <x v="7"/>
    <x v="8"/>
    <x v="0"/>
    <x v="0"/>
    <x v="0"/>
    <x v="3"/>
    <x v="3"/>
  </r>
  <r>
    <n v="494"/>
    <s v="CHENNAI"/>
    <s v="CHENNAI"/>
    <s v="Tamil Nadu"/>
    <n v="12"/>
    <x v="7"/>
    <x v="8"/>
    <x v="3"/>
    <x v="8"/>
    <x v="0"/>
    <x v="0"/>
    <x v="0"/>
    <x v="3"/>
    <x v="3"/>
  </r>
  <r>
    <n v="253"/>
    <s v="KOLHAPUR"/>
    <s v="KOLHAPUR"/>
    <s v="Maharashtra"/>
    <n v="8"/>
    <x v="7"/>
    <x v="8"/>
    <x v="1"/>
    <x v="8"/>
    <x v="0"/>
    <x v="0"/>
    <x v="0"/>
    <x v="3"/>
    <x v="3"/>
  </r>
  <r>
    <n v="1091"/>
    <s v="KOLHAPUR"/>
    <s v="KOLHAPUR"/>
    <s v="Maharashtra"/>
    <n v="8"/>
    <x v="3"/>
    <x v="3"/>
    <x v="1"/>
    <x v="4"/>
    <x v="5"/>
    <x v="6"/>
    <x v="0"/>
    <x v="3"/>
    <x v="3"/>
  </r>
  <r>
    <n v="11"/>
    <s v="PUNE CITY"/>
    <s v="PUNE CITY"/>
    <s v="Maharashtra"/>
    <n v="8"/>
    <x v="4"/>
    <x v="4"/>
    <x v="3"/>
    <x v="8"/>
    <x v="0"/>
    <x v="0"/>
    <x v="0"/>
    <x v="3"/>
    <x v="3"/>
  </r>
  <r>
    <n v="71"/>
    <s v="PUNE CITY"/>
    <s v="PUNE CITY"/>
    <s v="Maharashtra"/>
    <n v="8"/>
    <x v="9"/>
    <x v="10"/>
    <x v="6"/>
    <x v="8"/>
    <x v="0"/>
    <x v="0"/>
    <x v="0"/>
    <x v="3"/>
    <x v="3"/>
  </r>
  <r>
    <n v="1189"/>
    <s v="PUNE CITY"/>
    <s v="PUNE CITY"/>
    <s v="Maharashtra"/>
    <n v="8"/>
    <x v="7"/>
    <x v="8"/>
    <x v="6"/>
    <x v="8"/>
    <x v="0"/>
    <x v="0"/>
    <x v="0"/>
    <x v="3"/>
    <x v="3"/>
  </r>
  <r>
    <n v="31"/>
    <s v="PUNE CITY"/>
    <s v="PUNE CITY"/>
    <s v="Maharashtra"/>
    <n v="8"/>
    <x v="7"/>
    <x v="8"/>
    <x v="7"/>
    <x v="8"/>
    <x v="0"/>
    <x v="0"/>
    <x v="0"/>
    <x v="3"/>
    <x v="3"/>
  </r>
  <r>
    <n v="3"/>
    <s v="PUNE CITY"/>
    <s v="PUNE CITY"/>
    <s v="Maharashtra"/>
    <n v="8"/>
    <x v="0"/>
    <x v="5"/>
    <x v="1"/>
    <x v="8"/>
    <x v="0"/>
    <x v="0"/>
    <x v="0"/>
    <x v="3"/>
    <x v="3"/>
  </r>
  <r>
    <n v="1019"/>
    <s v="SOLAPUR"/>
    <s v="SOLAPUR"/>
    <s v="Maharashtra"/>
    <n v="8"/>
    <x v="6"/>
    <x v="7"/>
    <x v="3"/>
    <x v="8"/>
    <x v="0"/>
    <x v="0"/>
    <x v="0"/>
    <x v="3"/>
    <x v="3"/>
  </r>
  <r>
    <n v="391"/>
    <s v="AHMEDABAD"/>
    <s v="AHMEDABAD"/>
    <s v="Gujarat"/>
    <n v="5"/>
    <x v="6"/>
    <x v="7"/>
    <x v="6"/>
    <x v="6"/>
    <x v="6"/>
    <x v="6"/>
    <x v="0"/>
    <x v="3"/>
    <x v="3"/>
  </r>
  <r>
    <n v="596"/>
    <s v="CHENNAI"/>
    <s v="CHENNAI"/>
    <s v="Tamil Nadu"/>
    <n v="12"/>
    <x v="5"/>
    <x v="6"/>
    <x v="1"/>
    <x v="6"/>
    <x v="6"/>
    <x v="0"/>
    <x v="0"/>
    <x v="3"/>
    <x v="3"/>
  </r>
  <r>
    <n v="181"/>
    <s v="MUMBAI CITY"/>
    <s v="MUMBAI"/>
    <s v="Maharashtra"/>
    <n v="8"/>
    <x v="11"/>
    <x v="12"/>
    <x v="3"/>
    <x v="5"/>
    <x v="6"/>
    <x v="0"/>
    <x v="0"/>
    <x v="3"/>
    <x v="3"/>
  </r>
  <r>
    <n v="242"/>
    <s v="PUNE CITY"/>
    <s v="PUNE CITY"/>
    <s v="Maharashtra"/>
    <n v="8"/>
    <x v="2"/>
    <x v="2"/>
    <x v="6"/>
    <x v="5"/>
    <x v="6"/>
    <x v="0"/>
    <x v="0"/>
    <x v="3"/>
    <x v="3"/>
  </r>
  <r>
    <n v="62"/>
    <s v="PUNE CITY"/>
    <s v="PUNE CITY"/>
    <s v="Maharashtra"/>
    <n v="8"/>
    <x v="10"/>
    <x v="11"/>
    <x v="6"/>
    <x v="7"/>
    <x v="6"/>
    <x v="0"/>
    <x v="0"/>
    <x v="3"/>
    <x v="3"/>
  </r>
  <r>
    <n v="314"/>
    <s v="PUNE RURAL"/>
    <s v="PUNE RURAL"/>
    <s v="Maharashtra"/>
    <n v="8"/>
    <x v="1"/>
    <x v="1"/>
    <x v="7"/>
    <x v="5"/>
    <x v="6"/>
    <x v="0"/>
    <x v="0"/>
    <x v="3"/>
    <x v="3"/>
  </r>
  <r>
    <n v="727"/>
    <s v="SOLAPUR"/>
    <s v="SOLAPUR"/>
    <s v="Maharashtra"/>
    <n v="8"/>
    <x v="7"/>
    <x v="8"/>
    <x v="4"/>
    <x v="6"/>
    <x v="6"/>
    <x v="0"/>
    <x v="0"/>
    <x v="3"/>
    <x v="3"/>
  </r>
  <r>
    <n v="415"/>
    <s v="AHMEDABAD"/>
    <s v="AHMEDABAD"/>
    <s v="Gujarat"/>
    <n v="5"/>
    <x v="14"/>
    <x v="15"/>
    <x v="1"/>
    <x v="4"/>
    <x v="8"/>
    <x v="6"/>
    <x v="0"/>
    <x v="3"/>
    <x v="3"/>
  </r>
  <r>
    <n v="262"/>
    <s v="CHENNAI"/>
    <s v="CHENNAI"/>
    <s v="Tamil Nadu"/>
    <n v="12"/>
    <x v="1"/>
    <x v="1"/>
    <x v="4"/>
    <x v="2"/>
    <x v="7"/>
    <x v="6"/>
    <x v="0"/>
    <x v="3"/>
    <x v="3"/>
  </r>
  <r>
    <n v="702"/>
    <s v="DELHI"/>
    <s v="DELHI"/>
    <s v="Delhi"/>
    <n v="3"/>
    <x v="12"/>
    <x v="13"/>
    <x v="0"/>
    <x v="5"/>
    <x v="8"/>
    <x v="6"/>
    <x v="0"/>
    <x v="3"/>
    <x v="3"/>
  </r>
  <r>
    <n v="588"/>
    <s v="MUMBAI CITY"/>
    <s v="MUMBAI"/>
    <s v="Maharashtra"/>
    <n v="8"/>
    <x v="5"/>
    <x v="6"/>
    <x v="4"/>
    <x v="2"/>
    <x v="7"/>
    <x v="6"/>
    <x v="0"/>
    <x v="3"/>
    <x v="3"/>
  </r>
  <r>
    <n v="42"/>
    <s v="MUMBAI CITY"/>
    <s v="MUMBAI"/>
    <s v="Maharashtra"/>
    <n v="8"/>
    <x v="3"/>
    <x v="3"/>
    <x v="1"/>
    <x v="5"/>
    <x v="8"/>
    <x v="6"/>
    <x v="0"/>
    <x v="3"/>
    <x v="3"/>
  </r>
  <r>
    <n v="506"/>
    <s v="MUMBAI CITY"/>
    <s v="MUMBAI"/>
    <s v="Maharashtra"/>
    <n v="8"/>
    <x v="0"/>
    <x v="5"/>
    <x v="0"/>
    <x v="5"/>
    <x v="8"/>
    <x v="6"/>
    <x v="0"/>
    <x v="3"/>
    <x v="3"/>
  </r>
  <r>
    <n v="1096"/>
    <s v="NAGPUR"/>
    <s v="NAGPUR"/>
    <s v="Maharashtra"/>
    <n v="8"/>
    <x v="2"/>
    <x v="2"/>
    <x v="0"/>
    <x v="0"/>
    <x v="2"/>
    <x v="6"/>
    <x v="0"/>
    <x v="3"/>
    <x v="3"/>
  </r>
  <r>
    <n v="274"/>
    <s v="PUNE CITY"/>
    <s v="PUNE CITY"/>
    <s v="Maharashtra"/>
    <n v="8"/>
    <x v="13"/>
    <x v="14"/>
    <x v="4"/>
    <x v="3"/>
    <x v="1"/>
    <x v="6"/>
    <x v="0"/>
    <x v="3"/>
    <x v="3"/>
  </r>
  <r>
    <n v="2200"/>
    <s v="AURANGABAD"/>
    <s v="AURANGABAD"/>
    <s v="Maharashtra"/>
    <n v="8"/>
    <x v="10"/>
    <x v="11"/>
    <x v="0"/>
    <x v="0"/>
    <x v="0"/>
    <x v="4"/>
    <x v="4"/>
    <x v="3"/>
    <x v="3"/>
  </r>
  <r>
    <n v="170"/>
    <s v="BHOPAL"/>
    <s v="BHOPAL"/>
    <s v="Madhya Pradesh"/>
    <n v="7"/>
    <x v="7"/>
    <x v="8"/>
    <x v="0"/>
    <x v="2"/>
    <x v="3"/>
    <x v="4"/>
    <x v="4"/>
    <x v="3"/>
    <x v="3"/>
  </r>
  <r>
    <n v="1117"/>
    <s v="MUMBAI CITY"/>
    <s v="MUMBAI"/>
    <s v="Maharashtra"/>
    <n v="8"/>
    <x v="2"/>
    <x v="2"/>
    <x v="0"/>
    <x v="0"/>
    <x v="7"/>
    <x v="5"/>
    <x v="4"/>
    <x v="3"/>
    <x v="3"/>
  </r>
  <r>
    <n v="472"/>
    <s v="MUMBAI CITY"/>
    <s v="MUMBAI"/>
    <s v="Maharashtra"/>
    <n v="8"/>
    <x v="2"/>
    <x v="2"/>
    <x v="0"/>
    <x v="3"/>
    <x v="5"/>
    <x v="7"/>
    <x v="4"/>
    <x v="3"/>
    <x v="3"/>
  </r>
  <r>
    <n v="304"/>
    <s v="THANE"/>
    <s v="THANE"/>
    <s v="Maharashtra"/>
    <n v="8"/>
    <x v="4"/>
    <x v="4"/>
    <x v="0"/>
    <x v="3"/>
    <x v="1"/>
    <x v="8"/>
    <x v="4"/>
    <x v="3"/>
    <x v="3"/>
  </r>
  <r>
    <n v="788"/>
    <s v="MUMBAI CITY"/>
    <s v="MUMBAI"/>
    <s v="Maharashtra"/>
    <n v="8"/>
    <x v="11"/>
    <x v="12"/>
    <x v="0"/>
    <x v="0"/>
    <x v="0"/>
    <x v="8"/>
    <x v="8"/>
    <x v="7"/>
    <x v="3"/>
  </r>
  <r>
    <n v="1252"/>
    <s v="MUMBAI CITY"/>
    <s v="MUMBAI"/>
    <s v="Maharashtra"/>
    <n v="8"/>
    <x v="10"/>
    <x v="11"/>
    <x v="0"/>
    <x v="0"/>
    <x v="0"/>
    <x v="8"/>
    <x v="8"/>
    <x v="7"/>
    <x v="3"/>
  </r>
  <r>
    <n v="1288"/>
    <s v="MUMBAI CITY"/>
    <s v="MUMBAI"/>
    <s v="Maharashtra"/>
    <n v="8"/>
    <x v="1"/>
    <x v="1"/>
    <x v="0"/>
    <x v="0"/>
    <x v="0"/>
    <x v="8"/>
    <x v="6"/>
    <x v="7"/>
    <x v="3"/>
  </r>
  <r>
    <n v="3091"/>
    <s v="SATARA"/>
    <s v="SATARA"/>
    <s v="Maharashtra"/>
    <n v="8"/>
    <x v="2"/>
    <x v="2"/>
    <x v="0"/>
    <x v="0"/>
    <x v="0"/>
    <x v="0"/>
    <x v="8"/>
    <x v="7"/>
    <x v="3"/>
  </r>
  <r>
    <n v="2279"/>
    <s v="SOLAPUR"/>
    <s v="SOLAPUR"/>
    <s v="Maharashtra"/>
    <n v="8"/>
    <x v="4"/>
    <x v="4"/>
    <x v="0"/>
    <x v="0"/>
    <x v="0"/>
    <x v="7"/>
    <x v="5"/>
    <x v="7"/>
    <x v="3"/>
  </r>
  <r>
    <n v="1670"/>
    <s v="HYDERABAD"/>
    <s v="HYDERABAD"/>
    <s v="Andhra Pradesh"/>
    <n v="1"/>
    <x v="9"/>
    <x v="10"/>
    <x v="0"/>
    <x v="0"/>
    <x v="0"/>
    <x v="0"/>
    <x v="3"/>
    <x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C48B4-6A06-4B35-ABFD-EA3BD7BEBC47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2015">
  <location ref="B49:L60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2"/>
        <item x="3"/>
        <item x="1"/>
        <item x="7"/>
        <item x="5"/>
        <item x="8"/>
        <item x="4"/>
        <item x="6"/>
        <item x="0"/>
        <item t="default"/>
      </items>
    </pivotField>
    <pivotField axis="axisCol" showAll="0">
      <items count="10">
        <item x="3"/>
        <item x="1"/>
        <item x="2"/>
        <item x="5"/>
        <item x="7"/>
        <item x="8"/>
        <item x="6"/>
        <item x="4"/>
        <item x="0"/>
        <item t="default"/>
      </items>
    </pivotField>
    <pivotField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2014" fld="10" subtotal="count" baseField="0" baseItem="0"/>
  </dataFields>
  <formats count="7">
    <format dxfId="6">
      <pivotArea field="11" type="button" dataOnly="0" labelOnly="1" outline="0" axis="axisCol" fieldPosition="0"/>
    </format>
    <format dxfId="5">
      <pivotArea field="11" type="button" dataOnly="0" labelOnly="1" outline="0" axis="axisCol" fieldPosition="0"/>
    </format>
    <format dxfId="4">
      <pivotArea field="11" type="button" dataOnly="0" labelOnly="1" outline="0" axis="axisCol" fieldPosition="0"/>
    </format>
    <format dxfId="3">
      <pivotArea field="11" type="button" dataOnly="0" labelOnly="1" outline="0" axis="axisCol" fieldPosition="0"/>
    </format>
    <format dxfId="2">
      <pivotArea field="10" type="button" dataOnly="0" labelOnly="1" outline="0" axis="axisRow" fieldPosition="0"/>
    </format>
    <format dxfId="1">
      <pivotArea dataOnly="0" labelOnly="1" fieldPosition="0">
        <references count="1">
          <reference field="1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D89B4-6B65-4F69-82B5-D0F87A12950F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2014">
  <location ref="B34:L45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1"/>
        <item x="2"/>
        <item x="4"/>
        <item x="5"/>
        <item x="7"/>
        <item x="3"/>
        <item x="8"/>
        <item x="6"/>
        <item x="0"/>
        <item t="default"/>
      </items>
    </pivotField>
    <pivotField axis="axisCol" showAll="0">
      <items count="10">
        <item x="2"/>
        <item x="3"/>
        <item x="1"/>
        <item x="7"/>
        <item x="5"/>
        <item x="8"/>
        <item x="4"/>
        <item x="6"/>
        <item x="0"/>
        <item t="default"/>
      </items>
    </pivotField>
    <pivotField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2013" fld="9" subtotal="count" baseField="0" baseItem="0"/>
  </dataFields>
  <formats count="21">
    <format dxfId="27">
      <pivotArea field="10" type="button" dataOnly="0" labelOnly="1" outline="0" axis="axisCol" fieldPosition="0"/>
    </format>
    <format dxfId="26">
      <pivotArea field="10" type="button" dataOnly="0" labelOnly="1" outline="0" axis="axisCol" fieldPosition="0"/>
    </format>
    <format dxfId="25">
      <pivotArea field="10" type="button" dataOnly="0" labelOnly="1" outline="0" axis="axisCol" fieldPosition="0"/>
    </format>
    <format dxfId="24">
      <pivotArea field="10" type="button" dataOnly="0" labelOnly="1" outline="0" axis="axisCol" fieldPosition="0"/>
    </format>
    <format dxfId="23">
      <pivotArea field="10" type="button" dataOnly="0" labelOnly="1" outline="0" axis="axisCol" fieldPosition="0"/>
    </format>
    <format dxfId="22">
      <pivotArea field="10" type="button" dataOnly="0" labelOnly="1" outline="0" axis="axisCol" fieldPosition="0"/>
    </format>
    <format dxfId="21">
      <pivotArea field="10" type="button" dataOnly="0" labelOnly="1" outline="0" axis="axisCol" fieldPosition="0"/>
    </format>
    <format dxfId="20">
      <pivotArea field="10" type="button" dataOnly="0" labelOnly="1" outline="0" axis="axisCol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0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9" type="button" dataOnly="0" labelOnly="1" outline="0" axis="axisRow" fieldPosition="0"/>
    </format>
    <format dxfId="13">
      <pivotArea dataOnly="0" labelOnly="1" fieldPosition="0">
        <references count="1">
          <reference field="9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0" count="0"/>
        </references>
      </pivotArea>
    </format>
    <format dxfId="10">
      <pivotArea dataOnly="0" labelOnly="1" grandCol="1" outline="0" fieldPosition="0"/>
    </format>
    <format dxfId="9">
      <pivotArea field="9" type="button" dataOnly="0" labelOnly="1" outline="0" axis="axisRow" fieldPosition="0"/>
    </format>
    <format dxfId="8">
      <pivotArea dataOnly="0" labelOnly="1" fieldPosition="0">
        <references count="1">
          <reference field="10" count="0"/>
        </references>
      </pivotArea>
    </format>
    <format dxfId="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1DE9A-710B-47F9-8DCB-6583CCE165F6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2013">
  <location ref="B19:L30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3"/>
        <item x="1"/>
        <item x="4"/>
        <item x="2"/>
        <item x="6"/>
        <item x="7"/>
        <item x="5"/>
        <item x="8"/>
        <item x="0"/>
        <item t="default"/>
      </items>
    </pivotField>
    <pivotField axis="axisCol" showAll="0">
      <items count="10">
        <item x="1"/>
        <item x="2"/>
        <item x="4"/>
        <item x="5"/>
        <item x="7"/>
        <item x="3"/>
        <item x="8"/>
        <item x="6"/>
        <item x="0"/>
        <item t="default"/>
      </items>
    </pivotField>
    <pivotField showAll="0"/>
    <pivotField showAll="0"/>
    <pivotField showAll="0"/>
    <pivotField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9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2012" fld="8" subtotal="count" baseField="0" baseItem="0"/>
  </dataFields>
  <formats count="14">
    <format dxfId="41">
      <pivotArea field="9" type="button" dataOnly="0" labelOnly="1" outline="0" axis="axisCol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9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8" type="button" dataOnly="0" labelOnly="1" outline="0" axis="axisRow" fieldPosition="0"/>
    </format>
    <format dxfId="34">
      <pivotArea dataOnly="0" labelOnly="1" fieldPosition="0">
        <references count="1">
          <reference field="8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1">
          <reference field="9" count="0"/>
        </references>
      </pivotArea>
    </format>
    <format dxfId="31">
      <pivotArea dataOnly="0" labelOnly="1" grandCol="1" outline="0" fieldPosition="0"/>
    </format>
    <format dxfId="30">
      <pivotArea field="8" type="button" dataOnly="0" labelOnly="1" outline="0" axis="axisRow" fieldPosition="0"/>
    </format>
    <format dxfId="29">
      <pivotArea dataOnly="0" labelOnly="1" fieldPosition="0">
        <references count="1">
          <reference field="9" count="0"/>
        </references>
      </pivotArea>
    </format>
    <format dxfId="2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CFF30-C675-4B33-8F4F-AECA4AA6622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2012">
  <location ref="B5:L15" firstHeaderRow="1" firstDataRow="2" firstDataCol="1"/>
  <pivotFields count="14">
    <pivotField showAll="0"/>
    <pivotField showAll="0"/>
    <pivotField showAll="0"/>
    <pivotField showAll="0"/>
    <pivotField showAll="0"/>
    <pivotField showAll="0">
      <items count="19">
        <item x="2"/>
        <item x="11"/>
        <item x="7"/>
        <item x="3"/>
        <item x="14"/>
        <item x="1"/>
        <item x="0"/>
        <item x="10"/>
        <item x="15"/>
        <item x="12"/>
        <item x="16"/>
        <item x="6"/>
        <item x="5"/>
        <item x="17"/>
        <item x="9"/>
        <item x="8"/>
        <item x="13"/>
        <item x="4"/>
        <item t="default"/>
      </items>
    </pivotField>
    <pivotField showAll="0">
      <items count="20">
        <item x="2"/>
        <item x="12"/>
        <item x="8"/>
        <item x="3"/>
        <item x="15"/>
        <item x="1"/>
        <item x="5"/>
        <item x="11"/>
        <item x="16"/>
        <item x="13"/>
        <item x="17"/>
        <item x="7"/>
        <item x="6"/>
        <item x="18"/>
        <item x="10"/>
        <item x="9"/>
        <item x="14"/>
        <item x="4"/>
        <item x="0"/>
        <item t="default"/>
      </items>
    </pivotField>
    <pivotField axis="axisRow" dataField="1" showAll="0">
      <items count="9">
        <item x="2"/>
        <item x="5"/>
        <item x="1"/>
        <item x="4"/>
        <item x="6"/>
        <item x="7"/>
        <item x="3"/>
        <item x="0"/>
        <item t="default"/>
      </items>
    </pivotField>
    <pivotField axis="axisCol" showAll="0">
      <items count="10">
        <item x="3"/>
        <item x="1"/>
        <item x="4"/>
        <item x="2"/>
        <item x="6"/>
        <item x="7"/>
        <item x="5"/>
        <item x="8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2011" fld="7" subtotal="count" baseField="0" baseItem="0"/>
  </dataFields>
  <formats count="6">
    <format dxfId="47">
      <pivotArea type="all" dataOnly="0" outline="0" fieldPosition="0"/>
    </format>
    <format dxfId="46">
      <pivotArea field="8" type="button" dataOnly="0" labelOnly="1" outline="0" axis="axisCol" fieldPosition="0"/>
    </format>
    <format dxfId="45">
      <pivotArea field="7" type="button" dataOnly="0" labelOnly="1" outline="0" axis="axisRow" fieldPosition="0"/>
    </format>
    <format dxfId="44">
      <pivotArea dataOnly="0" labelOnly="1" fieldPosition="0">
        <references count="1">
          <reference field="8" count="0"/>
        </references>
      </pivotArea>
    </format>
    <format dxfId="43">
      <pivotArea dataOnly="0" labelOnly="1" grandCol="1" outline="0" fieldPosition="0"/>
    </format>
    <format dxfId="4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73324-36D0-4B4E-8264-965AFAFFC9FA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2017">
  <location ref="B79:L90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0"/>
        <item x="1"/>
        <item x="2"/>
        <item x="4"/>
        <item x="5"/>
        <item x="6"/>
        <item x="8"/>
        <item x="7"/>
        <item x="3"/>
        <item t="default"/>
      </items>
    </pivotField>
    <pivotField axis="axisCol" showAll="0">
      <items count="10">
        <item x="0"/>
        <item x="2"/>
        <item x="4"/>
        <item x="1"/>
        <item x="5"/>
        <item x="8"/>
        <item x="7"/>
        <item x="6"/>
        <item x="3"/>
        <item t="default"/>
      </items>
    </pivotField>
  </pivotFields>
  <rowFields count="1">
    <field x="1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2016" fld="12" subtotal="count" baseField="0" baseItem="0"/>
  </dataFields>
  <formats count="9">
    <format dxfId="56">
      <pivotArea field="13" type="button" dataOnly="0" labelOnly="1" outline="0" axis="axisCol" fieldPosition="0"/>
    </format>
    <format dxfId="55">
      <pivotArea field="13" type="button" dataOnly="0" labelOnly="1" outline="0" axis="axisCol" fieldPosition="0"/>
    </format>
    <format dxfId="54">
      <pivotArea field="13" type="button" dataOnly="0" labelOnly="1" outline="0" axis="axisCol" fieldPosition="0"/>
    </format>
    <format dxfId="53">
      <pivotArea field="13" type="button" dataOnly="0" labelOnly="1" outline="0" axis="axisCol" fieldPosition="0"/>
    </format>
    <format dxfId="52">
      <pivotArea type="all" dataOnly="0" outline="0" fieldPosition="0"/>
    </format>
    <format dxfId="51">
      <pivotArea type="origin" dataOnly="0" labelOnly="1" outline="0" fieldPosition="0"/>
    </format>
    <format dxfId="50">
      <pivotArea field="12" type="button" dataOnly="0" labelOnly="1" outline="0" axis="axisRow" fieldPosition="0"/>
    </format>
    <format dxfId="49">
      <pivotArea dataOnly="0" labelOnly="1" fieldPosition="0">
        <references count="1">
          <reference field="12" count="0"/>
        </references>
      </pivotArea>
    </format>
    <format dxfId="4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8B311-F807-46F7-9642-D27487CF8FB1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2016">
  <location ref="B64:L75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3"/>
        <item x="1"/>
        <item x="2"/>
        <item x="5"/>
        <item x="7"/>
        <item x="8"/>
        <item x="6"/>
        <item x="4"/>
        <item x="0"/>
        <item t="default"/>
      </items>
    </pivotField>
    <pivotField axis="axisCol" showAll="0">
      <items count="10">
        <item x="0"/>
        <item x="1"/>
        <item x="2"/>
        <item x="4"/>
        <item x="5"/>
        <item x="6"/>
        <item x="8"/>
        <item x="7"/>
        <item x="3"/>
        <item t="default"/>
      </items>
    </pivotField>
    <pivotField showAll="0"/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2015" fld="11" subtotal="count" baseField="0" baseItem="0"/>
  </dataFields>
  <formats count="7">
    <format dxfId="63">
      <pivotArea field="12" type="button" dataOnly="0" labelOnly="1" outline="0" axis="axisCol" fieldPosition="0"/>
    </format>
    <format dxfId="62">
      <pivotArea field="12" type="button" dataOnly="0" labelOnly="1" outline="0" axis="axisCol" fieldPosition="0"/>
    </format>
    <format dxfId="61">
      <pivotArea field="12" type="button" dataOnly="0" labelOnly="1" outline="0" axis="axisCol" fieldPosition="0"/>
    </format>
    <format dxfId="60">
      <pivotArea field="12" type="button" dataOnly="0" labelOnly="1" outline="0" axis="axisCol" fieldPosition="0"/>
    </format>
    <format dxfId="59">
      <pivotArea field="11" type="button" dataOnly="0" labelOnly="1" outline="0" axis="axisRow" fieldPosition="0"/>
    </format>
    <format dxfId="58">
      <pivotArea dataOnly="0" labelOnly="1" fieldPosition="0">
        <references count="1">
          <reference field="12" count="0"/>
        </references>
      </pivotArea>
    </format>
    <format dxfId="5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E8DB-45FF-4746-85C4-CCCE38795210}">
  <sheetPr>
    <tabColor theme="3"/>
  </sheetPr>
  <dimension ref="B1:I12"/>
  <sheetViews>
    <sheetView tabSelected="1" workbookViewId="0">
      <selection activeCell="C5" sqref="C5"/>
    </sheetView>
  </sheetViews>
  <sheetFormatPr defaultRowHeight="14.4" x14ac:dyDescent="0.3"/>
  <cols>
    <col min="1" max="1" width="3.88671875" customWidth="1"/>
    <col min="3" max="3" width="85.88671875" bestFit="1" customWidth="1"/>
    <col min="9" max="9" width="12" bestFit="1" customWidth="1"/>
  </cols>
  <sheetData>
    <row r="1" spans="2:9" ht="15" thickBot="1" x14ac:dyDescent="0.35"/>
    <row r="2" spans="2:9" ht="15" thickBot="1" x14ac:dyDescent="0.35">
      <c r="B2" s="22" t="s">
        <v>161</v>
      </c>
      <c r="C2" s="13" t="s">
        <v>180</v>
      </c>
    </row>
    <row r="3" spans="2:9" ht="15" thickBot="1" x14ac:dyDescent="0.35">
      <c r="C3" s="11" t="s">
        <v>181</v>
      </c>
    </row>
    <row r="4" spans="2:9" ht="43.8" thickBot="1" x14ac:dyDescent="0.35">
      <c r="C4" s="99" t="s">
        <v>182</v>
      </c>
    </row>
    <row r="8" spans="2:9" x14ac:dyDescent="0.3">
      <c r="I8" s="23"/>
    </row>
    <row r="12" spans="2:9" x14ac:dyDescent="0.3">
      <c r="I12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1:Q1759"/>
  <sheetViews>
    <sheetView workbookViewId="0">
      <selection activeCell="E20" sqref="E20"/>
    </sheetView>
  </sheetViews>
  <sheetFormatPr defaultColWidth="8.77734375" defaultRowHeight="14.4" x14ac:dyDescent="0.3"/>
  <cols>
    <col min="2" max="2" width="13.5546875" bestFit="1" customWidth="1"/>
    <col min="3" max="3" width="20.33203125" bestFit="1" customWidth="1"/>
    <col min="4" max="4" width="13.21875" bestFit="1" customWidth="1"/>
    <col min="5" max="5" width="14.6640625" bestFit="1" customWidth="1"/>
    <col min="6" max="6" width="10.44140625" bestFit="1" customWidth="1"/>
    <col min="7" max="7" width="13.5546875" bestFit="1" customWidth="1"/>
    <col min="8" max="8" width="12.21875" bestFit="1" customWidth="1"/>
    <col min="9" max="15" width="5" bestFit="1" customWidth="1"/>
    <col min="17" max="17" width="17" bestFit="1" customWidth="1"/>
  </cols>
  <sheetData>
    <row r="1" spans="2:17" ht="15" thickBot="1" x14ac:dyDescent="0.35"/>
    <row r="2" spans="2:17" ht="15" thickBot="1" x14ac:dyDescent="0.35">
      <c r="B2" s="56" t="s">
        <v>2</v>
      </c>
      <c r="C2" s="57" t="s">
        <v>3</v>
      </c>
      <c r="D2" s="57" t="s">
        <v>4</v>
      </c>
      <c r="E2" s="57" t="s">
        <v>5</v>
      </c>
      <c r="F2" s="25" t="s">
        <v>6</v>
      </c>
      <c r="G2" s="57" t="s">
        <v>7</v>
      </c>
      <c r="H2" s="57" t="s">
        <v>8</v>
      </c>
      <c r="I2" s="57">
        <v>2011</v>
      </c>
      <c r="J2" s="57">
        <v>2012</v>
      </c>
      <c r="K2" s="57">
        <v>2013</v>
      </c>
      <c r="L2" s="57">
        <v>2014</v>
      </c>
      <c r="M2" s="57">
        <v>2015</v>
      </c>
      <c r="N2" s="57">
        <v>2016</v>
      </c>
      <c r="O2" s="43">
        <v>2017</v>
      </c>
      <c r="Q2" s="59" t="s">
        <v>170</v>
      </c>
    </row>
    <row r="3" spans="2:17" x14ac:dyDescent="0.3">
      <c r="B3" s="4">
        <v>1953</v>
      </c>
      <c r="C3" t="s">
        <v>9</v>
      </c>
      <c r="D3" t="s">
        <v>10</v>
      </c>
      <c r="E3" t="s">
        <v>11</v>
      </c>
      <c r="F3">
        <v>8</v>
      </c>
      <c r="G3" t="s">
        <v>12</v>
      </c>
      <c r="N3" t="s">
        <v>13</v>
      </c>
      <c r="O3" s="5" t="s">
        <v>13</v>
      </c>
      <c r="Q3" s="58" t="s">
        <v>13</v>
      </c>
    </row>
    <row r="4" spans="2:17" x14ac:dyDescent="0.3">
      <c r="B4" s="4">
        <v>195</v>
      </c>
      <c r="C4" t="s">
        <v>14</v>
      </c>
      <c r="D4" t="s">
        <v>15</v>
      </c>
      <c r="E4" t="s">
        <v>11</v>
      </c>
      <c r="F4">
        <v>8</v>
      </c>
      <c r="G4" t="s">
        <v>16</v>
      </c>
      <c r="H4">
        <v>6</v>
      </c>
      <c r="L4" t="s">
        <v>17</v>
      </c>
      <c r="M4" t="s">
        <v>18</v>
      </c>
      <c r="N4" t="s">
        <v>18</v>
      </c>
      <c r="O4" s="5" t="s">
        <v>19</v>
      </c>
      <c r="Q4" s="58" t="s">
        <v>18</v>
      </c>
    </row>
    <row r="5" spans="2:17" x14ac:dyDescent="0.3">
      <c r="B5" s="4">
        <v>153</v>
      </c>
      <c r="C5" t="s">
        <v>20</v>
      </c>
      <c r="D5" t="s">
        <v>21</v>
      </c>
      <c r="E5" t="s">
        <v>11</v>
      </c>
      <c r="F5">
        <v>8</v>
      </c>
      <c r="G5" t="s">
        <v>22</v>
      </c>
      <c r="H5">
        <v>1</v>
      </c>
      <c r="K5" t="s">
        <v>13</v>
      </c>
      <c r="L5" t="s">
        <v>13</v>
      </c>
      <c r="M5" t="s">
        <v>17</v>
      </c>
      <c r="N5" t="s">
        <v>17</v>
      </c>
      <c r="O5" s="5" t="s">
        <v>13</v>
      </c>
      <c r="Q5" s="58" t="s">
        <v>17</v>
      </c>
    </row>
    <row r="6" spans="2:17" x14ac:dyDescent="0.3">
      <c r="B6" s="4">
        <v>3106</v>
      </c>
      <c r="C6" t="s">
        <v>23</v>
      </c>
      <c r="D6" t="s">
        <v>24</v>
      </c>
      <c r="E6" t="s">
        <v>25</v>
      </c>
      <c r="F6">
        <v>1</v>
      </c>
      <c r="G6" t="s">
        <v>26</v>
      </c>
      <c r="H6">
        <v>4</v>
      </c>
      <c r="M6" t="s">
        <v>13</v>
      </c>
      <c r="N6" t="s">
        <v>17</v>
      </c>
      <c r="O6" s="5" t="s">
        <v>18</v>
      </c>
      <c r="Q6" s="58" t="s">
        <v>19</v>
      </c>
    </row>
    <row r="7" spans="2:17" x14ac:dyDescent="0.3">
      <c r="B7" s="4">
        <v>1298</v>
      </c>
      <c r="C7" t="s">
        <v>23</v>
      </c>
      <c r="D7" t="s">
        <v>24</v>
      </c>
      <c r="E7" t="s">
        <v>25</v>
      </c>
      <c r="F7">
        <v>1</v>
      </c>
      <c r="G7" t="s">
        <v>26</v>
      </c>
      <c r="H7">
        <v>4</v>
      </c>
      <c r="J7" t="s">
        <v>18</v>
      </c>
      <c r="K7" t="s">
        <v>18</v>
      </c>
      <c r="L7" t="s">
        <v>18</v>
      </c>
      <c r="M7" t="s">
        <v>18</v>
      </c>
      <c r="O7" s="5"/>
      <c r="Q7" s="58" t="s">
        <v>52</v>
      </c>
    </row>
    <row r="8" spans="2:17" x14ac:dyDescent="0.3">
      <c r="B8" s="4">
        <v>582</v>
      </c>
      <c r="C8" t="s">
        <v>27</v>
      </c>
      <c r="D8" t="s">
        <v>28</v>
      </c>
      <c r="E8" t="s">
        <v>29</v>
      </c>
      <c r="F8">
        <v>6</v>
      </c>
      <c r="G8" t="s">
        <v>16</v>
      </c>
      <c r="H8">
        <v>6</v>
      </c>
      <c r="M8" t="s">
        <v>13</v>
      </c>
      <c r="N8" t="s">
        <v>13</v>
      </c>
      <c r="O8" s="5" t="s">
        <v>13</v>
      </c>
      <c r="Q8" s="58" t="s">
        <v>33</v>
      </c>
    </row>
    <row r="9" spans="2:17" x14ac:dyDescent="0.3">
      <c r="B9" s="4">
        <v>1038</v>
      </c>
      <c r="C9" t="s">
        <v>14</v>
      </c>
      <c r="D9" t="s">
        <v>15</v>
      </c>
      <c r="E9" t="s">
        <v>11</v>
      </c>
      <c r="F9">
        <v>8</v>
      </c>
      <c r="G9" t="s">
        <v>30</v>
      </c>
      <c r="H9">
        <v>18</v>
      </c>
      <c r="L9" t="s">
        <v>18</v>
      </c>
      <c r="M9" t="s">
        <v>13</v>
      </c>
      <c r="N9" t="s">
        <v>18</v>
      </c>
      <c r="O9" s="5" t="s">
        <v>18</v>
      </c>
      <c r="Q9" s="58" t="s">
        <v>34</v>
      </c>
    </row>
    <row r="10" spans="2:17" ht="15" thickBot="1" x14ac:dyDescent="0.35">
      <c r="B10" s="4">
        <v>296</v>
      </c>
      <c r="C10" t="s">
        <v>31</v>
      </c>
      <c r="D10" t="s">
        <v>32</v>
      </c>
      <c r="E10" t="s">
        <v>11</v>
      </c>
      <c r="F10">
        <v>8</v>
      </c>
      <c r="G10" t="s">
        <v>12</v>
      </c>
      <c r="H10">
        <v>7</v>
      </c>
      <c r="I10" t="s">
        <v>17</v>
      </c>
      <c r="J10" t="s">
        <v>19</v>
      </c>
      <c r="K10" t="s">
        <v>33</v>
      </c>
      <c r="L10" t="s">
        <v>34</v>
      </c>
      <c r="M10" t="s">
        <v>35</v>
      </c>
      <c r="O10" s="5"/>
      <c r="Q10" s="10" t="s">
        <v>169</v>
      </c>
    </row>
    <row r="11" spans="2:17" x14ac:dyDescent="0.3">
      <c r="B11" s="4">
        <v>1</v>
      </c>
      <c r="C11" t="s">
        <v>36</v>
      </c>
      <c r="D11" t="s">
        <v>37</v>
      </c>
      <c r="E11" t="s">
        <v>11</v>
      </c>
      <c r="F11">
        <v>8</v>
      </c>
      <c r="G11" t="s">
        <v>38</v>
      </c>
      <c r="H11">
        <v>13</v>
      </c>
      <c r="I11" t="s">
        <v>13</v>
      </c>
      <c r="J11" t="s">
        <v>13</v>
      </c>
      <c r="K11" t="s">
        <v>13</v>
      </c>
      <c r="L11" t="s">
        <v>13</v>
      </c>
      <c r="M11" t="s">
        <v>13</v>
      </c>
      <c r="N11" t="s">
        <v>13</v>
      </c>
      <c r="O11" s="5" t="s">
        <v>18</v>
      </c>
    </row>
    <row r="12" spans="2:17" x14ac:dyDescent="0.3">
      <c r="B12" s="4">
        <v>62</v>
      </c>
      <c r="C12" t="s">
        <v>14</v>
      </c>
      <c r="D12" t="s">
        <v>15</v>
      </c>
      <c r="E12" t="s">
        <v>11</v>
      </c>
      <c r="F12">
        <v>8</v>
      </c>
      <c r="G12" t="s">
        <v>39</v>
      </c>
      <c r="H12">
        <v>12</v>
      </c>
      <c r="I12" t="s">
        <v>17</v>
      </c>
      <c r="J12" t="s">
        <v>17</v>
      </c>
      <c r="K12" t="s">
        <v>17</v>
      </c>
      <c r="L12" t="s">
        <v>17</v>
      </c>
      <c r="M12" t="s">
        <v>19</v>
      </c>
      <c r="O12" s="5"/>
    </row>
    <row r="13" spans="2:17" x14ac:dyDescent="0.3">
      <c r="B13" s="4">
        <v>4312</v>
      </c>
      <c r="C13" t="s">
        <v>14</v>
      </c>
      <c r="D13" t="s">
        <v>15</v>
      </c>
      <c r="E13" t="s">
        <v>11</v>
      </c>
      <c r="F13">
        <v>8</v>
      </c>
      <c r="G13" t="s">
        <v>40</v>
      </c>
      <c r="H13">
        <v>3</v>
      </c>
      <c r="N13" t="s">
        <v>19</v>
      </c>
      <c r="O13" s="5" t="s">
        <v>17</v>
      </c>
    </row>
    <row r="14" spans="2:17" x14ac:dyDescent="0.3">
      <c r="B14" s="4">
        <v>217</v>
      </c>
      <c r="C14" t="s">
        <v>14</v>
      </c>
      <c r="D14" t="s">
        <v>15</v>
      </c>
      <c r="E14" t="s">
        <v>11</v>
      </c>
      <c r="F14">
        <v>8</v>
      </c>
      <c r="G14" t="s">
        <v>16</v>
      </c>
      <c r="H14">
        <v>6</v>
      </c>
      <c r="M14" t="s">
        <v>18</v>
      </c>
      <c r="N14" t="s">
        <v>18</v>
      </c>
      <c r="O14" s="5" t="s">
        <v>18</v>
      </c>
    </row>
    <row r="15" spans="2:17" x14ac:dyDescent="0.3">
      <c r="B15" s="4">
        <v>7</v>
      </c>
      <c r="C15" t="s">
        <v>14</v>
      </c>
      <c r="D15" t="s">
        <v>15</v>
      </c>
      <c r="E15" t="s">
        <v>11</v>
      </c>
      <c r="F15">
        <v>8</v>
      </c>
      <c r="G15" t="s">
        <v>16</v>
      </c>
      <c r="H15">
        <v>6</v>
      </c>
      <c r="M15" t="s">
        <v>18</v>
      </c>
      <c r="N15" t="s">
        <v>17</v>
      </c>
      <c r="O15" s="5"/>
    </row>
    <row r="16" spans="2:17" x14ac:dyDescent="0.3">
      <c r="B16" s="4">
        <v>1491</v>
      </c>
      <c r="C16" t="s">
        <v>36</v>
      </c>
      <c r="D16" t="s">
        <v>37</v>
      </c>
      <c r="E16" t="s">
        <v>11</v>
      </c>
      <c r="F16">
        <v>8</v>
      </c>
      <c r="G16" t="s">
        <v>40</v>
      </c>
      <c r="H16">
        <v>3</v>
      </c>
      <c r="M16" t="s">
        <v>18</v>
      </c>
      <c r="N16" t="s">
        <v>18</v>
      </c>
      <c r="O16" s="5" t="s">
        <v>18</v>
      </c>
    </row>
    <row r="17" spans="2:15" x14ac:dyDescent="0.3">
      <c r="B17" s="4">
        <v>266</v>
      </c>
      <c r="C17" t="s">
        <v>41</v>
      </c>
      <c r="D17" t="s">
        <v>42</v>
      </c>
      <c r="E17" t="s">
        <v>11</v>
      </c>
      <c r="F17">
        <v>8</v>
      </c>
      <c r="G17" t="s">
        <v>16</v>
      </c>
      <c r="H17">
        <v>6</v>
      </c>
      <c r="K17" t="s">
        <v>17</v>
      </c>
      <c r="L17" t="s">
        <v>13</v>
      </c>
      <c r="O17" s="5"/>
    </row>
    <row r="18" spans="2:15" x14ac:dyDescent="0.3">
      <c r="B18" s="4">
        <v>549</v>
      </c>
      <c r="C18" t="s">
        <v>43</v>
      </c>
      <c r="D18" t="s">
        <v>44</v>
      </c>
      <c r="E18" t="s">
        <v>45</v>
      </c>
      <c r="F18">
        <v>5</v>
      </c>
      <c r="G18" t="s">
        <v>40</v>
      </c>
      <c r="H18">
        <v>3</v>
      </c>
      <c r="M18" t="s">
        <v>17</v>
      </c>
      <c r="N18" t="s">
        <v>17</v>
      </c>
      <c r="O18" s="5" t="s">
        <v>18</v>
      </c>
    </row>
    <row r="19" spans="2:15" x14ac:dyDescent="0.3">
      <c r="B19" s="4">
        <v>144</v>
      </c>
      <c r="C19" t="s">
        <v>46</v>
      </c>
      <c r="D19" t="s">
        <v>47</v>
      </c>
      <c r="E19" t="s">
        <v>11</v>
      </c>
      <c r="F19">
        <v>8</v>
      </c>
      <c r="G19" t="s">
        <v>16</v>
      </c>
      <c r="H19">
        <v>6</v>
      </c>
      <c r="K19" t="s">
        <v>13</v>
      </c>
      <c r="L19" t="s">
        <v>13</v>
      </c>
      <c r="O19" s="5"/>
    </row>
    <row r="20" spans="2:15" x14ac:dyDescent="0.3">
      <c r="B20" s="4">
        <v>395</v>
      </c>
      <c r="C20" t="s">
        <v>36</v>
      </c>
      <c r="D20" t="s">
        <v>37</v>
      </c>
      <c r="E20" t="s">
        <v>11</v>
      </c>
      <c r="F20">
        <v>8</v>
      </c>
      <c r="G20" t="s">
        <v>16</v>
      </c>
      <c r="H20">
        <v>6</v>
      </c>
      <c r="N20" t="s">
        <v>13</v>
      </c>
      <c r="O20" s="5" t="s">
        <v>19</v>
      </c>
    </row>
    <row r="21" spans="2:15" x14ac:dyDescent="0.3">
      <c r="B21" s="4">
        <v>210</v>
      </c>
      <c r="C21" t="s">
        <v>14</v>
      </c>
      <c r="D21" t="s">
        <v>15</v>
      </c>
      <c r="E21" t="s">
        <v>11</v>
      </c>
      <c r="F21">
        <v>8</v>
      </c>
      <c r="G21" t="s">
        <v>16</v>
      </c>
      <c r="H21">
        <v>6</v>
      </c>
      <c r="I21" t="s">
        <v>13</v>
      </c>
      <c r="J21" t="s">
        <v>13</v>
      </c>
      <c r="L21" t="s">
        <v>13</v>
      </c>
      <c r="M21" t="s">
        <v>13</v>
      </c>
      <c r="N21" t="s">
        <v>18</v>
      </c>
      <c r="O21" s="5"/>
    </row>
    <row r="22" spans="2:15" x14ac:dyDescent="0.3">
      <c r="B22" s="4">
        <v>208</v>
      </c>
      <c r="C22" t="s">
        <v>14</v>
      </c>
      <c r="D22" t="s">
        <v>15</v>
      </c>
      <c r="E22" t="s">
        <v>11</v>
      </c>
      <c r="F22">
        <v>8</v>
      </c>
      <c r="G22" t="s">
        <v>48</v>
      </c>
      <c r="H22">
        <v>16</v>
      </c>
      <c r="I22" t="s">
        <v>13</v>
      </c>
      <c r="J22" t="s">
        <v>13</v>
      </c>
      <c r="K22" t="s">
        <v>18</v>
      </c>
      <c r="L22" t="s">
        <v>13</v>
      </c>
      <c r="M22" t="s">
        <v>13</v>
      </c>
      <c r="N22" t="s">
        <v>13</v>
      </c>
      <c r="O22" s="5"/>
    </row>
    <row r="23" spans="2:15" x14ac:dyDescent="0.3">
      <c r="B23" s="4">
        <v>1858</v>
      </c>
      <c r="C23" t="s">
        <v>49</v>
      </c>
      <c r="D23" t="s">
        <v>50</v>
      </c>
      <c r="E23" t="s">
        <v>51</v>
      </c>
      <c r="F23">
        <v>3</v>
      </c>
      <c r="G23" t="s">
        <v>48</v>
      </c>
      <c r="H23">
        <v>16</v>
      </c>
      <c r="L23" t="s">
        <v>13</v>
      </c>
      <c r="M23" t="s">
        <v>13</v>
      </c>
      <c r="N23" t="s">
        <v>17</v>
      </c>
      <c r="O23" s="5" t="s">
        <v>17</v>
      </c>
    </row>
    <row r="24" spans="2:15" x14ac:dyDescent="0.3">
      <c r="B24" s="4">
        <v>167</v>
      </c>
      <c r="C24" t="s">
        <v>49</v>
      </c>
      <c r="D24" t="s">
        <v>50</v>
      </c>
      <c r="E24" t="s">
        <v>51</v>
      </c>
      <c r="F24">
        <v>3</v>
      </c>
      <c r="G24" t="s">
        <v>48</v>
      </c>
      <c r="H24">
        <v>16</v>
      </c>
      <c r="I24" t="s">
        <v>13</v>
      </c>
      <c r="J24" t="s">
        <v>19</v>
      </c>
      <c r="K24" t="s">
        <v>19</v>
      </c>
      <c r="L24" t="s">
        <v>52</v>
      </c>
      <c r="M24" t="s">
        <v>19</v>
      </c>
      <c r="N24" t="s">
        <v>52</v>
      </c>
      <c r="O24" s="5" t="s">
        <v>19</v>
      </c>
    </row>
    <row r="25" spans="2:15" x14ac:dyDescent="0.3">
      <c r="B25" s="4">
        <v>166</v>
      </c>
      <c r="C25" t="s">
        <v>49</v>
      </c>
      <c r="D25" t="s">
        <v>50</v>
      </c>
      <c r="E25" t="s">
        <v>51</v>
      </c>
      <c r="F25">
        <v>3</v>
      </c>
      <c r="G25" t="s">
        <v>22</v>
      </c>
      <c r="H25">
        <v>1</v>
      </c>
      <c r="I25" t="s">
        <v>13</v>
      </c>
      <c r="J25" t="s">
        <v>18</v>
      </c>
      <c r="K25" t="s">
        <v>13</v>
      </c>
      <c r="L25" t="s">
        <v>18</v>
      </c>
      <c r="M25" t="s">
        <v>18</v>
      </c>
      <c r="N25" t="s">
        <v>18</v>
      </c>
      <c r="O25" s="5" t="s">
        <v>17</v>
      </c>
    </row>
    <row r="26" spans="2:15" x14ac:dyDescent="0.3">
      <c r="B26" s="4">
        <v>2559</v>
      </c>
      <c r="C26" t="s">
        <v>31</v>
      </c>
      <c r="D26" t="s">
        <v>32</v>
      </c>
      <c r="E26" t="s">
        <v>11</v>
      </c>
      <c r="F26">
        <v>8</v>
      </c>
      <c r="G26" t="s">
        <v>16</v>
      </c>
      <c r="H26">
        <v>6</v>
      </c>
      <c r="M26" t="s">
        <v>18</v>
      </c>
      <c r="N26" t="s">
        <v>18</v>
      </c>
      <c r="O26" s="5" t="s">
        <v>18</v>
      </c>
    </row>
    <row r="27" spans="2:15" x14ac:dyDescent="0.3">
      <c r="B27" s="4">
        <v>1517</v>
      </c>
      <c r="C27" t="s">
        <v>46</v>
      </c>
      <c r="D27" t="s">
        <v>47</v>
      </c>
      <c r="E27" t="s">
        <v>11</v>
      </c>
      <c r="F27">
        <v>8</v>
      </c>
      <c r="G27" t="s">
        <v>22</v>
      </c>
      <c r="H27">
        <v>1</v>
      </c>
      <c r="M27" t="s">
        <v>13</v>
      </c>
      <c r="N27" t="s">
        <v>13</v>
      </c>
      <c r="O27" s="5" t="s">
        <v>13</v>
      </c>
    </row>
    <row r="28" spans="2:15" x14ac:dyDescent="0.3">
      <c r="B28" s="4">
        <v>1720</v>
      </c>
      <c r="C28" t="s">
        <v>14</v>
      </c>
      <c r="D28" t="s">
        <v>15</v>
      </c>
      <c r="E28" t="s">
        <v>11</v>
      </c>
      <c r="F28">
        <v>8</v>
      </c>
      <c r="G28" t="s">
        <v>12</v>
      </c>
      <c r="H28">
        <v>7</v>
      </c>
      <c r="M28" t="s">
        <v>19</v>
      </c>
      <c r="N28" t="s">
        <v>52</v>
      </c>
      <c r="O28" s="5" t="s">
        <v>52</v>
      </c>
    </row>
    <row r="29" spans="2:15" x14ac:dyDescent="0.3">
      <c r="B29" s="4">
        <v>44</v>
      </c>
      <c r="C29" t="s">
        <v>41</v>
      </c>
      <c r="D29" t="s">
        <v>42</v>
      </c>
      <c r="E29" t="s">
        <v>11</v>
      </c>
      <c r="F29">
        <v>8</v>
      </c>
      <c r="G29" t="s">
        <v>48</v>
      </c>
      <c r="H29">
        <v>16</v>
      </c>
      <c r="L29" t="s">
        <v>17</v>
      </c>
      <c r="M29" t="s">
        <v>19</v>
      </c>
      <c r="N29" t="s">
        <v>52</v>
      </c>
      <c r="O29" s="5" t="s">
        <v>35</v>
      </c>
    </row>
    <row r="30" spans="2:15" x14ac:dyDescent="0.3">
      <c r="B30" s="4">
        <v>778</v>
      </c>
      <c r="C30" t="s">
        <v>41</v>
      </c>
      <c r="D30" t="s">
        <v>42</v>
      </c>
      <c r="E30" t="s">
        <v>11</v>
      </c>
      <c r="F30">
        <v>8</v>
      </c>
      <c r="G30" t="s">
        <v>53</v>
      </c>
      <c r="H30">
        <v>15</v>
      </c>
      <c r="M30" t="s">
        <v>13</v>
      </c>
      <c r="N30" t="s">
        <v>13</v>
      </c>
      <c r="O30" s="5" t="s">
        <v>13</v>
      </c>
    </row>
    <row r="31" spans="2:15" x14ac:dyDescent="0.3">
      <c r="B31" s="4">
        <v>1318</v>
      </c>
      <c r="C31" t="s">
        <v>23</v>
      </c>
      <c r="D31" t="s">
        <v>24</v>
      </c>
      <c r="E31" t="s">
        <v>25</v>
      </c>
      <c r="F31">
        <v>1</v>
      </c>
      <c r="G31" t="s">
        <v>40</v>
      </c>
      <c r="H31">
        <v>3</v>
      </c>
      <c r="M31" t="s">
        <v>34</v>
      </c>
      <c r="N31" t="s">
        <v>52</v>
      </c>
      <c r="O31" s="5" t="s">
        <v>52</v>
      </c>
    </row>
    <row r="32" spans="2:15" x14ac:dyDescent="0.3">
      <c r="B32" s="4">
        <v>2841</v>
      </c>
      <c r="C32" t="s">
        <v>14</v>
      </c>
      <c r="D32" t="s">
        <v>15</v>
      </c>
      <c r="E32" t="s">
        <v>11</v>
      </c>
      <c r="F32">
        <v>8</v>
      </c>
      <c r="G32" t="s">
        <v>16</v>
      </c>
      <c r="H32">
        <v>6</v>
      </c>
      <c r="K32" t="s">
        <v>17</v>
      </c>
      <c r="L32" t="s">
        <v>52</v>
      </c>
      <c r="M32" t="s">
        <v>17</v>
      </c>
      <c r="N32" t="s">
        <v>17</v>
      </c>
      <c r="O32" s="5"/>
    </row>
    <row r="33" spans="2:15" x14ac:dyDescent="0.3">
      <c r="B33" s="4">
        <v>314</v>
      </c>
      <c r="C33" t="s">
        <v>43</v>
      </c>
      <c r="D33" t="s">
        <v>44</v>
      </c>
      <c r="E33" t="s">
        <v>45</v>
      </c>
      <c r="F33">
        <v>5</v>
      </c>
      <c r="G33" t="s">
        <v>22</v>
      </c>
      <c r="H33">
        <v>1</v>
      </c>
      <c r="I33" t="s">
        <v>34</v>
      </c>
      <c r="J33" t="s">
        <v>34</v>
      </c>
      <c r="K33" t="s">
        <v>35</v>
      </c>
      <c r="L33" t="s">
        <v>35</v>
      </c>
      <c r="M33" t="s">
        <v>35</v>
      </c>
      <c r="O33" s="5"/>
    </row>
    <row r="34" spans="2:15" x14ac:dyDescent="0.3">
      <c r="B34" s="4">
        <v>321</v>
      </c>
      <c r="C34" t="s">
        <v>14</v>
      </c>
      <c r="D34" t="s">
        <v>15</v>
      </c>
      <c r="E34" t="s">
        <v>11</v>
      </c>
      <c r="F34">
        <v>8</v>
      </c>
      <c r="G34" t="s">
        <v>22</v>
      </c>
      <c r="H34">
        <v>1</v>
      </c>
      <c r="M34" t="s">
        <v>19</v>
      </c>
      <c r="N34" t="s">
        <v>19</v>
      </c>
      <c r="O34" s="5" t="s">
        <v>19</v>
      </c>
    </row>
    <row r="35" spans="2:15" x14ac:dyDescent="0.3">
      <c r="B35" s="4">
        <v>285</v>
      </c>
      <c r="C35" t="s">
        <v>31</v>
      </c>
      <c r="D35" t="s">
        <v>32</v>
      </c>
      <c r="E35" t="s">
        <v>11</v>
      </c>
      <c r="F35">
        <v>8</v>
      </c>
      <c r="G35" t="s">
        <v>26</v>
      </c>
      <c r="H35">
        <v>4</v>
      </c>
      <c r="I35" t="s">
        <v>17</v>
      </c>
      <c r="J35" t="s">
        <v>13</v>
      </c>
      <c r="K35" t="s">
        <v>18</v>
      </c>
      <c r="L35" t="s">
        <v>18</v>
      </c>
      <c r="M35" t="s">
        <v>18</v>
      </c>
      <c r="N35" t="s">
        <v>17</v>
      </c>
      <c r="O35" s="5" t="s">
        <v>19</v>
      </c>
    </row>
    <row r="36" spans="2:15" x14ac:dyDescent="0.3">
      <c r="B36" s="4">
        <v>2038</v>
      </c>
      <c r="C36" t="s">
        <v>9</v>
      </c>
      <c r="D36" t="s">
        <v>10</v>
      </c>
      <c r="E36" t="s">
        <v>11</v>
      </c>
      <c r="F36">
        <v>8</v>
      </c>
      <c r="G36" t="s">
        <v>16</v>
      </c>
      <c r="H36">
        <v>6</v>
      </c>
      <c r="N36" t="s">
        <v>19</v>
      </c>
      <c r="O36" s="5" t="s">
        <v>17</v>
      </c>
    </row>
    <row r="37" spans="2:15" x14ac:dyDescent="0.3">
      <c r="B37" s="4">
        <v>1473</v>
      </c>
      <c r="C37" t="s">
        <v>41</v>
      </c>
      <c r="D37" t="s">
        <v>42</v>
      </c>
      <c r="E37" t="s">
        <v>11</v>
      </c>
      <c r="F37">
        <v>8</v>
      </c>
      <c r="G37" t="s">
        <v>54</v>
      </c>
      <c r="H37">
        <v>8</v>
      </c>
      <c r="M37" t="s">
        <v>13</v>
      </c>
      <c r="N37" t="s">
        <v>13</v>
      </c>
      <c r="O37" s="5" t="s">
        <v>13</v>
      </c>
    </row>
    <row r="38" spans="2:15" x14ac:dyDescent="0.3">
      <c r="B38" s="4">
        <v>4002</v>
      </c>
      <c r="C38" t="s">
        <v>14</v>
      </c>
      <c r="D38" t="s">
        <v>15</v>
      </c>
      <c r="E38" t="s">
        <v>11</v>
      </c>
      <c r="F38">
        <v>8</v>
      </c>
      <c r="G38" t="s">
        <v>55</v>
      </c>
      <c r="H38">
        <v>2</v>
      </c>
      <c r="M38" t="s">
        <v>18</v>
      </c>
      <c r="N38" t="s">
        <v>17</v>
      </c>
      <c r="O38" s="5" t="s">
        <v>56</v>
      </c>
    </row>
    <row r="39" spans="2:15" x14ac:dyDescent="0.3">
      <c r="B39" s="4">
        <v>94</v>
      </c>
      <c r="C39" t="s">
        <v>49</v>
      </c>
      <c r="D39" t="s">
        <v>50</v>
      </c>
      <c r="E39" t="s">
        <v>51</v>
      </c>
      <c r="F39">
        <v>3</v>
      </c>
      <c r="G39" t="s">
        <v>57</v>
      </c>
      <c r="H39">
        <v>10</v>
      </c>
      <c r="J39" t="s">
        <v>18</v>
      </c>
      <c r="K39" t="s">
        <v>13</v>
      </c>
      <c r="L39" t="s">
        <v>13</v>
      </c>
      <c r="O39" s="5"/>
    </row>
    <row r="40" spans="2:15" x14ac:dyDescent="0.3">
      <c r="B40" s="4">
        <v>536</v>
      </c>
      <c r="C40" t="s">
        <v>43</v>
      </c>
      <c r="D40" t="s">
        <v>44</v>
      </c>
      <c r="E40" t="s">
        <v>45</v>
      </c>
      <c r="F40">
        <v>5</v>
      </c>
      <c r="G40" t="s">
        <v>12</v>
      </c>
      <c r="H40">
        <v>7</v>
      </c>
      <c r="J40" t="s">
        <v>13</v>
      </c>
      <c r="K40" t="s">
        <v>18</v>
      </c>
      <c r="L40" t="s">
        <v>13</v>
      </c>
      <c r="M40" t="s">
        <v>13</v>
      </c>
      <c r="O40" s="5"/>
    </row>
    <row r="41" spans="2:15" x14ac:dyDescent="0.3">
      <c r="B41" s="4">
        <v>347</v>
      </c>
      <c r="C41" t="s">
        <v>46</v>
      </c>
      <c r="D41" t="s">
        <v>47</v>
      </c>
      <c r="E41" t="s">
        <v>11</v>
      </c>
      <c r="F41">
        <v>8</v>
      </c>
      <c r="G41" t="s">
        <v>58</v>
      </c>
      <c r="H41">
        <v>17</v>
      </c>
      <c r="K41" t="s">
        <v>17</v>
      </c>
      <c r="L41" t="s">
        <v>18</v>
      </c>
      <c r="M41" t="s">
        <v>52</v>
      </c>
      <c r="N41" t="s">
        <v>19</v>
      </c>
      <c r="O41" s="5" t="s">
        <v>52</v>
      </c>
    </row>
    <row r="42" spans="2:15" x14ac:dyDescent="0.3">
      <c r="B42" s="4">
        <v>693</v>
      </c>
      <c r="C42" t="s">
        <v>46</v>
      </c>
      <c r="D42" t="s">
        <v>47</v>
      </c>
      <c r="E42" t="s">
        <v>11</v>
      </c>
      <c r="F42">
        <v>8</v>
      </c>
      <c r="G42" t="s">
        <v>40</v>
      </c>
      <c r="H42">
        <v>3</v>
      </c>
      <c r="L42" t="s">
        <v>19</v>
      </c>
      <c r="M42" t="s">
        <v>17</v>
      </c>
      <c r="N42" t="s">
        <v>17</v>
      </c>
      <c r="O42" s="5"/>
    </row>
    <row r="43" spans="2:15" x14ac:dyDescent="0.3">
      <c r="B43" s="4">
        <v>2837</v>
      </c>
      <c r="C43" t="s">
        <v>59</v>
      </c>
      <c r="D43" t="s">
        <v>60</v>
      </c>
      <c r="E43" t="s">
        <v>11</v>
      </c>
      <c r="F43">
        <v>8</v>
      </c>
      <c r="G43" t="s">
        <v>30</v>
      </c>
      <c r="H43">
        <v>18</v>
      </c>
      <c r="N43" t="s">
        <v>18</v>
      </c>
      <c r="O43" s="5" t="s">
        <v>18</v>
      </c>
    </row>
    <row r="44" spans="2:15" x14ac:dyDescent="0.3">
      <c r="B44" s="4">
        <v>521</v>
      </c>
      <c r="C44" t="s">
        <v>36</v>
      </c>
      <c r="D44" t="s">
        <v>37</v>
      </c>
      <c r="E44" t="s">
        <v>11</v>
      </c>
      <c r="F44">
        <v>8</v>
      </c>
      <c r="G44" t="s">
        <v>30</v>
      </c>
      <c r="H44">
        <v>18</v>
      </c>
      <c r="L44" t="s">
        <v>18</v>
      </c>
      <c r="M44" t="s">
        <v>18</v>
      </c>
      <c r="O44" s="5"/>
    </row>
    <row r="45" spans="2:15" x14ac:dyDescent="0.3">
      <c r="B45" s="4">
        <v>2369</v>
      </c>
      <c r="C45" t="s">
        <v>61</v>
      </c>
      <c r="D45" t="s">
        <v>62</v>
      </c>
      <c r="E45" t="s">
        <v>11</v>
      </c>
      <c r="F45">
        <v>8</v>
      </c>
      <c r="G45" t="s">
        <v>54</v>
      </c>
      <c r="H45">
        <v>8</v>
      </c>
      <c r="L45" t="s">
        <v>13</v>
      </c>
      <c r="M45" t="s">
        <v>18</v>
      </c>
      <c r="N45" t="s">
        <v>18</v>
      </c>
      <c r="O45" s="5"/>
    </row>
    <row r="46" spans="2:15" x14ac:dyDescent="0.3">
      <c r="B46" s="4">
        <v>126</v>
      </c>
      <c r="C46" t="s">
        <v>63</v>
      </c>
      <c r="D46" t="s">
        <v>64</v>
      </c>
      <c r="E46" t="s">
        <v>65</v>
      </c>
      <c r="F46">
        <v>14</v>
      </c>
      <c r="G46" t="s">
        <v>30</v>
      </c>
      <c r="H46">
        <v>18</v>
      </c>
      <c r="J46" t="s">
        <v>18</v>
      </c>
      <c r="K46" t="s">
        <v>17</v>
      </c>
      <c r="L46" t="s">
        <v>13</v>
      </c>
      <c r="M46" t="s">
        <v>18</v>
      </c>
      <c r="N46" t="s">
        <v>18</v>
      </c>
      <c r="O46" s="5" t="s">
        <v>17</v>
      </c>
    </row>
    <row r="47" spans="2:15" x14ac:dyDescent="0.3">
      <c r="B47" s="4">
        <v>9</v>
      </c>
      <c r="C47" t="s">
        <v>46</v>
      </c>
      <c r="D47" t="s">
        <v>47</v>
      </c>
      <c r="E47" t="s">
        <v>11</v>
      </c>
      <c r="F47">
        <v>8</v>
      </c>
      <c r="G47" t="s">
        <v>66</v>
      </c>
      <c r="H47">
        <v>5</v>
      </c>
      <c r="M47" t="s">
        <v>13</v>
      </c>
      <c r="N47" t="s">
        <v>13</v>
      </c>
      <c r="O47" s="5" t="s">
        <v>18</v>
      </c>
    </row>
    <row r="48" spans="2:15" x14ac:dyDescent="0.3">
      <c r="B48" s="4">
        <v>3045</v>
      </c>
      <c r="C48" t="s">
        <v>14</v>
      </c>
      <c r="D48" t="s">
        <v>15</v>
      </c>
      <c r="E48" t="s">
        <v>11</v>
      </c>
      <c r="F48">
        <v>8</v>
      </c>
      <c r="G48" t="s">
        <v>58</v>
      </c>
      <c r="H48">
        <v>17</v>
      </c>
      <c r="L48" t="s">
        <v>17</v>
      </c>
      <c r="M48" t="s">
        <v>18</v>
      </c>
      <c r="O48" s="5"/>
    </row>
    <row r="49" spans="2:15" x14ac:dyDescent="0.3">
      <c r="B49" s="4">
        <v>3242</v>
      </c>
      <c r="C49" t="s">
        <v>20</v>
      </c>
      <c r="D49" t="s">
        <v>21</v>
      </c>
      <c r="E49" t="s">
        <v>11</v>
      </c>
      <c r="F49">
        <v>8</v>
      </c>
      <c r="G49" t="s">
        <v>22</v>
      </c>
      <c r="H49">
        <v>1</v>
      </c>
      <c r="N49" t="s">
        <v>18</v>
      </c>
      <c r="O49" s="5" t="s">
        <v>18</v>
      </c>
    </row>
    <row r="50" spans="2:15" x14ac:dyDescent="0.3">
      <c r="B50" s="4">
        <v>308</v>
      </c>
      <c r="C50" t="s">
        <v>14</v>
      </c>
      <c r="D50" t="s">
        <v>15</v>
      </c>
      <c r="E50" t="s">
        <v>11</v>
      </c>
      <c r="F50">
        <v>8</v>
      </c>
      <c r="G50" t="s">
        <v>16</v>
      </c>
      <c r="H50">
        <v>6</v>
      </c>
      <c r="M50" t="s">
        <v>18</v>
      </c>
      <c r="N50" t="s">
        <v>52</v>
      </c>
      <c r="O50" s="5" t="s">
        <v>34</v>
      </c>
    </row>
    <row r="51" spans="2:15" x14ac:dyDescent="0.3">
      <c r="B51" s="4">
        <v>691</v>
      </c>
      <c r="C51" t="s">
        <v>67</v>
      </c>
      <c r="D51" t="s">
        <v>68</v>
      </c>
      <c r="E51" t="s">
        <v>69</v>
      </c>
      <c r="F51">
        <v>11</v>
      </c>
      <c r="G51" t="s">
        <v>22</v>
      </c>
      <c r="H51">
        <v>1</v>
      </c>
      <c r="L51" t="s">
        <v>13</v>
      </c>
      <c r="M51" t="s">
        <v>13</v>
      </c>
      <c r="N51" t="s">
        <v>18</v>
      </c>
      <c r="O51" s="5" t="s">
        <v>17</v>
      </c>
    </row>
    <row r="52" spans="2:15" x14ac:dyDescent="0.3">
      <c r="B52" s="4">
        <v>629</v>
      </c>
      <c r="C52" t="s">
        <v>36</v>
      </c>
      <c r="D52" t="s">
        <v>37</v>
      </c>
      <c r="E52" t="s">
        <v>11</v>
      </c>
      <c r="F52">
        <v>8</v>
      </c>
      <c r="G52" t="s">
        <v>26</v>
      </c>
      <c r="H52">
        <v>4</v>
      </c>
      <c r="K52" t="s">
        <v>13</v>
      </c>
      <c r="L52" t="s">
        <v>33</v>
      </c>
      <c r="M52" t="s">
        <v>35</v>
      </c>
      <c r="O52" s="5"/>
    </row>
    <row r="53" spans="2:15" x14ac:dyDescent="0.3">
      <c r="B53" s="4">
        <v>1</v>
      </c>
      <c r="C53" t="s">
        <v>9</v>
      </c>
      <c r="D53" t="s">
        <v>10</v>
      </c>
      <c r="E53" t="s">
        <v>11</v>
      </c>
      <c r="F53">
        <v>8</v>
      </c>
      <c r="G53" t="s">
        <v>12</v>
      </c>
      <c r="H53">
        <v>7</v>
      </c>
      <c r="I53" t="s">
        <v>19</v>
      </c>
      <c r="J53" t="s">
        <v>13</v>
      </c>
      <c r="K53" t="s">
        <v>13</v>
      </c>
      <c r="L53" t="s">
        <v>13</v>
      </c>
      <c r="M53" t="s">
        <v>13</v>
      </c>
      <c r="N53" t="s">
        <v>18</v>
      </c>
      <c r="O53" s="5" t="s">
        <v>17</v>
      </c>
    </row>
    <row r="54" spans="2:15" x14ac:dyDescent="0.3">
      <c r="B54" s="4">
        <v>45</v>
      </c>
      <c r="C54" t="s">
        <v>14</v>
      </c>
      <c r="D54" t="s">
        <v>15</v>
      </c>
      <c r="E54" t="s">
        <v>11</v>
      </c>
      <c r="F54">
        <v>8</v>
      </c>
      <c r="G54" t="s">
        <v>12</v>
      </c>
      <c r="H54">
        <v>7</v>
      </c>
      <c r="I54" t="s">
        <v>13</v>
      </c>
      <c r="J54" t="s">
        <v>13</v>
      </c>
      <c r="K54" t="s">
        <v>13</v>
      </c>
      <c r="L54" t="s">
        <v>13</v>
      </c>
      <c r="M54" t="s">
        <v>18</v>
      </c>
      <c r="N54" t="s">
        <v>13</v>
      </c>
      <c r="O54" s="5" t="s">
        <v>13</v>
      </c>
    </row>
    <row r="55" spans="2:15" x14ac:dyDescent="0.3">
      <c r="B55" s="4">
        <v>581</v>
      </c>
      <c r="C55" t="s">
        <v>49</v>
      </c>
      <c r="D55" t="s">
        <v>50</v>
      </c>
      <c r="E55" t="s">
        <v>51</v>
      </c>
      <c r="F55">
        <v>3</v>
      </c>
      <c r="G55" t="s">
        <v>30</v>
      </c>
      <c r="H55">
        <v>18</v>
      </c>
      <c r="K55" t="s">
        <v>17</v>
      </c>
      <c r="L55" t="s">
        <v>18</v>
      </c>
      <c r="M55" t="s">
        <v>33</v>
      </c>
      <c r="N55" t="s">
        <v>33</v>
      </c>
      <c r="O55" s="5"/>
    </row>
    <row r="56" spans="2:15" x14ac:dyDescent="0.3">
      <c r="B56" s="4">
        <v>22</v>
      </c>
      <c r="C56" t="s">
        <v>46</v>
      </c>
      <c r="D56" t="s">
        <v>47</v>
      </c>
      <c r="E56" t="s">
        <v>11</v>
      </c>
      <c r="F56">
        <v>8</v>
      </c>
      <c r="G56" t="s">
        <v>22</v>
      </c>
      <c r="H56">
        <v>1</v>
      </c>
      <c r="I56" t="s">
        <v>13</v>
      </c>
      <c r="J56" t="s">
        <v>18</v>
      </c>
      <c r="K56" t="s">
        <v>18</v>
      </c>
      <c r="L56" t="s">
        <v>13</v>
      </c>
      <c r="N56" t="s">
        <v>35</v>
      </c>
      <c r="O56" s="5"/>
    </row>
    <row r="57" spans="2:15" x14ac:dyDescent="0.3">
      <c r="B57" s="4">
        <v>1232</v>
      </c>
      <c r="C57" t="s">
        <v>63</v>
      </c>
      <c r="D57" t="s">
        <v>64</v>
      </c>
      <c r="E57" t="s">
        <v>65</v>
      </c>
      <c r="F57">
        <v>14</v>
      </c>
      <c r="G57" t="s">
        <v>54</v>
      </c>
      <c r="H57">
        <v>8</v>
      </c>
      <c r="N57" t="s">
        <v>18</v>
      </c>
      <c r="O57" s="5" t="s">
        <v>18</v>
      </c>
    </row>
    <row r="58" spans="2:15" x14ac:dyDescent="0.3">
      <c r="B58" s="4">
        <v>183</v>
      </c>
      <c r="C58" t="s">
        <v>46</v>
      </c>
      <c r="D58" t="s">
        <v>47</v>
      </c>
      <c r="E58" t="s">
        <v>11</v>
      </c>
      <c r="F58">
        <v>8</v>
      </c>
      <c r="G58" t="s">
        <v>16</v>
      </c>
      <c r="H58">
        <v>6</v>
      </c>
      <c r="J58" t="s">
        <v>13</v>
      </c>
      <c r="K58" t="s">
        <v>13</v>
      </c>
      <c r="L58" t="s">
        <v>13</v>
      </c>
      <c r="M58" t="s">
        <v>13</v>
      </c>
      <c r="N58" t="s">
        <v>18</v>
      </c>
      <c r="O58" s="5" t="s">
        <v>17</v>
      </c>
    </row>
    <row r="59" spans="2:15" x14ac:dyDescent="0.3">
      <c r="B59" s="4">
        <v>78</v>
      </c>
      <c r="C59" t="s">
        <v>46</v>
      </c>
      <c r="D59" t="s">
        <v>47</v>
      </c>
      <c r="E59" t="s">
        <v>11</v>
      </c>
      <c r="F59">
        <v>8</v>
      </c>
      <c r="G59" t="s">
        <v>40</v>
      </c>
      <c r="H59">
        <v>3</v>
      </c>
      <c r="L59" t="s">
        <v>52</v>
      </c>
      <c r="M59" t="s">
        <v>52</v>
      </c>
      <c r="O59" s="5"/>
    </row>
    <row r="60" spans="2:15" x14ac:dyDescent="0.3">
      <c r="B60" s="4">
        <v>646</v>
      </c>
      <c r="C60" t="s">
        <v>41</v>
      </c>
      <c r="D60" t="s">
        <v>42</v>
      </c>
      <c r="E60" t="s">
        <v>11</v>
      </c>
      <c r="F60">
        <v>8</v>
      </c>
      <c r="G60" t="s">
        <v>66</v>
      </c>
      <c r="H60">
        <v>5</v>
      </c>
      <c r="I60" t="s">
        <v>13</v>
      </c>
      <c r="J60" t="s">
        <v>17</v>
      </c>
      <c r="K60" t="s">
        <v>17</v>
      </c>
      <c r="L60" t="s">
        <v>19</v>
      </c>
      <c r="M60" t="s">
        <v>52</v>
      </c>
      <c r="N60" t="s">
        <v>33</v>
      </c>
      <c r="O60" s="5" t="s">
        <v>34</v>
      </c>
    </row>
    <row r="61" spans="2:15" x14ac:dyDescent="0.3">
      <c r="B61" s="4">
        <v>3</v>
      </c>
      <c r="C61" t="s">
        <v>46</v>
      </c>
      <c r="D61" t="s">
        <v>47</v>
      </c>
      <c r="E61" t="s">
        <v>11</v>
      </c>
      <c r="F61">
        <v>8</v>
      </c>
      <c r="G61" t="s">
        <v>16</v>
      </c>
      <c r="H61">
        <v>6</v>
      </c>
      <c r="N61" t="s">
        <v>18</v>
      </c>
      <c r="O61" s="5" t="s">
        <v>18</v>
      </c>
    </row>
    <row r="62" spans="2:15" x14ac:dyDescent="0.3">
      <c r="B62" s="4">
        <v>46</v>
      </c>
      <c r="C62" t="s">
        <v>9</v>
      </c>
      <c r="D62" t="s">
        <v>10</v>
      </c>
      <c r="E62" t="s">
        <v>11</v>
      </c>
      <c r="F62">
        <v>8</v>
      </c>
      <c r="G62" t="s">
        <v>57</v>
      </c>
      <c r="H62">
        <v>10</v>
      </c>
      <c r="K62" t="s">
        <v>18</v>
      </c>
      <c r="L62" t="s">
        <v>18</v>
      </c>
      <c r="M62" t="s">
        <v>18</v>
      </c>
      <c r="N62" t="s">
        <v>18</v>
      </c>
      <c r="O62" s="5"/>
    </row>
    <row r="63" spans="2:15" x14ac:dyDescent="0.3">
      <c r="B63" s="4">
        <v>1193</v>
      </c>
      <c r="C63" t="s">
        <v>23</v>
      </c>
      <c r="D63" t="s">
        <v>24</v>
      </c>
      <c r="E63" t="s">
        <v>25</v>
      </c>
      <c r="F63">
        <v>1</v>
      </c>
      <c r="G63" t="s">
        <v>38</v>
      </c>
      <c r="H63">
        <v>13</v>
      </c>
      <c r="L63" t="s">
        <v>17</v>
      </c>
      <c r="M63" t="s">
        <v>18</v>
      </c>
      <c r="N63" t="s">
        <v>13</v>
      </c>
      <c r="O63" s="5" t="s">
        <v>17</v>
      </c>
    </row>
    <row r="64" spans="2:15" x14ac:dyDescent="0.3">
      <c r="B64" s="4">
        <v>752</v>
      </c>
      <c r="C64" t="s">
        <v>67</v>
      </c>
      <c r="D64" t="s">
        <v>68</v>
      </c>
      <c r="E64" t="s">
        <v>69</v>
      </c>
      <c r="F64">
        <v>11</v>
      </c>
      <c r="G64" t="s">
        <v>26</v>
      </c>
      <c r="H64">
        <v>4</v>
      </c>
      <c r="N64" t="s">
        <v>18</v>
      </c>
      <c r="O64" s="5" t="s">
        <v>18</v>
      </c>
    </row>
    <row r="65" spans="2:15" x14ac:dyDescent="0.3">
      <c r="B65" s="4">
        <v>142</v>
      </c>
      <c r="C65" t="s">
        <v>49</v>
      </c>
      <c r="D65" t="s">
        <v>50</v>
      </c>
      <c r="E65" t="s">
        <v>51</v>
      </c>
      <c r="F65">
        <v>3</v>
      </c>
      <c r="G65" t="s">
        <v>12</v>
      </c>
      <c r="H65">
        <v>7</v>
      </c>
      <c r="N65" t="s">
        <v>18</v>
      </c>
      <c r="O65" s="5" t="s">
        <v>18</v>
      </c>
    </row>
    <row r="66" spans="2:15" x14ac:dyDescent="0.3">
      <c r="B66" s="4">
        <v>1624</v>
      </c>
      <c r="C66" t="s">
        <v>14</v>
      </c>
      <c r="D66" t="s">
        <v>15</v>
      </c>
      <c r="E66" t="s">
        <v>11</v>
      </c>
      <c r="F66">
        <v>8</v>
      </c>
      <c r="G66" t="s">
        <v>22</v>
      </c>
      <c r="H66">
        <v>1</v>
      </c>
      <c r="I66" t="s">
        <v>13</v>
      </c>
      <c r="J66" t="s">
        <v>13</v>
      </c>
      <c r="L66" t="s">
        <v>18</v>
      </c>
      <c r="M66" t="s">
        <v>18</v>
      </c>
      <c r="O66" s="5"/>
    </row>
    <row r="67" spans="2:15" x14ac:dyDescent="0.3">
      <c r="B67" s="4">
        <v>346</v>
      </c>
      <c r="C67" t="s">
        <v>46</v>
      </c>
      <c r="D67" t="s">
        <v>47</v>
      </c>
      <c r="E67" t="s">
        <v>11</v>
      </c>
      <c r="F67">
        <v>8</v>
      </c>
      <c r="G67" t="s">
        <v>58</v>
      </c>
      <c r="H67">
        <v>17</v>
      </c>
      <c r="J67" t="s">
        <v>18</v>
      </c>
      <c r="K67" t="s">
        <v>17</v>
      </c>
      <c r="L67" t="s">
        <v>18</v>
      </c>
      <c r="M67" t="s">
        <v>17</v>
      </c>
      <c r="N67" t="s">
        <v>13</v>
      </c>
      <c r="O67" s="5" t="s">
        <v>13</v>
      </c>
    </row>
    <row r="68" spans="2:15" x14ac:dyDescent="0.3">
      <c r="B68" s="4">
        <v>876</v>
      </c>
      <c r="C68" t="s">
        <v>49</v>
      </c>
      <c r="D68" t="s">
        <v>50</v>
      </c>
      <c r="E68" t="s">
        <v>51</v>
      </c>
      <c r="F68">
        <v>3</v>
      </c>
      <c r="G68" t="s">
        <v>54</v>
      </c>
      <c r="H68">
        <v>8</v>
      </c>
      <c r="M68" t="s">
        <v>18</v>
      </c>
      <c r="N68" t="s">
        <v>13</v>
      </c>
      <c r="O68" s="5" t="s">
        <v>19</v>
      </c>
    </row>
    <row r="69" spans="2:15" x14ac:dyDescent="0.3">
      <c r="B69" s="4">
        <v>697</v>
      </c>
      <c r="C69" t="s">
        <v>49</v>
      </c>
      <c r="D69" t="s">
        <v>50</v>
      </c>
      <c r="E69" t="s">
        <v>51</v>
      </c>
      <c r="F69">
        <v>3</v>
      </c>
      <c r="G69" t="s">
        <v>40</v>
      </c>
      <c r="H69">
        <v>3</v>
      </c>
      <c r="L69" t="s">
        <v>17</v>
      </c>
      <c r="M69" t="s">
        <v>18</v>
      </c>
      <c r="N69" t="s">
        <v>18</v>
      </c>
      <c r="O69" s="5" t="s">
        <v>17</v>
      </c>
    </row>
    <row r="70" spans="2:15" x14ac:dyDescent="0.3">
      <c r="B70" s="4">
        <v>309</v>
      </c>
      <c r="C70" t="s">
        <v>46</v>
      </c>
      <c r="D70" t="s">
        <v>47</v>
      </c>
      <c r="E70" t="s">
        <v>11</v>
      </c>
      <c r="F70">
        <v>8</v>
      </c>
      <c r="G70" t="s">
        <v>22</v>
      </c>
      <c r="H70">
        <v>1</v>
      </c>
      <c r="J70" t="s">
        <v>18</v>
      </c>
      <c r="K70" t="s">
        <v>13</v>
      </c>
      <c r="L70" t="s">
        <v>18</v>
      </c>
      <c r="M70" t="s">
        <v>13</v>
      </c>
      <c r="N70" t="s">
        <v>18</v>
      </c>
      <c r="O70" s="5" t="s">
        <v>19</v>
      </c>
    </row>
    <row r="71" spans="2:15" x14ac:dyDescent="0.3">
      <c r="B71" s="4">
        <v>800</v>
      </c>
      <c r="C71" t="s">
        <v>70</v>
      </c>
      <c r="D71" t="s">
        <v>71</v>
      </c>
      <c r="E71" t="s">
        <v>11</v>
      </c>
      <c r="F71">
        <v>8</v>
      </c>
      <c r="G71" t="s">
        <v>22</v>
      </c>
      <c r="H71">
        <v>1</v>
      </c>
      <c r="L71" t="s">
        <v>13</v>
      </c>
      <c r="M71" t="s">
        <v>13</v>
      </c>
      <c r="N71" t="s">
        <v>13</v>
      </c>
      <c r="O71" s="5" t="s">
        <v>18</v>
      </c>
    </row>
    <row r="72" spans="2:15" x14ac:dyDescent="0.3">
      <c r="B72" s="4">
        <v>415</v>
      </c>
      <c r="C72" t="s">
        <v>46</v>
      </c>
      <c r="D72" t="s">
        <v>47</v>
      </c>
      <c r="E72" t="s">
        <v>11</v>
      </c>
      <c r="F72">
        <v>8</v>
      </c>
      <c r="G72" t="s">
        <v>30</v>
      </c>
      <c r="H72">
        <v>18</v>
      </c>
      <c r="L72" t="s">
        <v>19</v>
      </c>
      <c r="M72" t="s">
        <v>18</v>
      </c>
      <c r="O72" s="5"/>
    </row>
    <row r="73" spans="2:15" x14ac:dyDescent="0.3">
      <c r="B73" s="4">
        <v>1773</v>
      </c>
      <c r="C73" t="s">
        <v>14</v>
      </c>
      <c r="D73" t="s">
        <v>15</v>
      </c>
      <c r="E73" t="s">
        <v>11</v>
      </c>
      <c r="F73">
        <v>8</v>
      </c>
      <c r="G73" t="s">
        <v>55</v>
      </c>
      <c r="H73">
        <v>2</v>
      </c>
      <c r="L73" t="s">
        <v>17</v>
      </c>
      <c r="M73" t="s">
        <v>19</v>
      </c>
      <c r="N73" t="s">
        <v>19</v>
      </c>
      <c r="O73" s="5" t="s">
        <v>18</v>
      </c>
    </row>
    <row r="74" spans="2:15" x14ac:dyDescent="0.3">
      <c r="B74" s="4">
        <v>6</v>
      </c>
      <c r="C74" t="s">
        <v>46</v>
      </c>
      <c r="D74" t="s">
        <v>47</v>
      </c>
      <c r="E74" t="s">
        <v>11</v>
      </c>
      <c r="F74">
        <v>8</v>
      </c>
      <c r="G74" t="s">
        <v>54</v>
      </c>
      <c r="H74">
        <v>8</v>
      </c>
      <c r="I74" t="s">
        <v>13</v>
      </c>
      <c r="J74" t="s">
        <v>18</v>
      </c>
      <c r="K74" t="s">
        <v>17</v>
      </c>
      <c r="L74" t="s">
        <v>18</v>
      </c>
      <c r="M74" t="s">
        <v>17</v>
      </c>
      <c r="N74" t="s">
        <v>17</v>
      </c>
      <c r="O74" s="5" t="s">
        <v>17</v>
      </c>
    </row>
    <row r="75" spans="2:15" x14ac:dyDescent="0.3">
      <c r="B75" s="4">
        <v>72</v>
      </c>
      <c r="C75" t="s">
        <v>46</v>
      </c>
      <c r="D75" t="s">
        <v>47</v>
      </c>
      <c r="E75" t="s">
        <v>11</v>
      </c>
      <c r="F75">
        <v>8</v>
      </c>
      <c r="G75" t="s">
        <v>16</v>
      </c>
      <c r="H75">
        <v>6</v>
      </c>
      <c r="L75" t="s">
        <v>19</v>
      </c>
      <c r="M75" t="s">
        <v>52</v>
      </c>
      <c r="O75" s="5"/>
    </row>
    <row r="76" spans="2:15" x14ac:dyDescent="0.3">
      <c r="B76" s="4">
        <v>719</v>
      </c>
      <c r="C76" t="s">
        <v>46</v>
      </c>
      <c r="D76" t="s">
        <v>47</v>
      </c>
      <c r="E76" t="s">
        <v>11</v>
      </c>
      <c r="F76">
        <v>8</v>
      </c>
      <c r="G76" t="s">
        <v>22</v>
      </c>
      <c r="H76">
        <v>1</v>
      </c>
      <c r="K76" t="s">
        <v>13</v>
      </c>
      <c r="L76" t="s">
        <v>18</v>
      </c>
      <c r="M76" t="s">
        <v>18</v>
      </c>
      <c r="N76" t="s">
        <v>13</v>
      </c>
      <c r="O76" s="5" t="s">
        <v>13</v>
      </c>
    </row>
    <row r="77" spans="2:15" x14ac:dyDescent="0.3">
      <c r="B77" s="4">
        <v>1800</v>
      </c>
      <c r="C77" t="s">
        <v>72</v>
      </c>
      <c r="D77" t="s">
        <v>73</v>
      </c>
      <c r="E77" t="s">
        <v>11</v>
      </c>
      <c r="F77">
        <v>8</v>
      </c>
      <c r="G77" t="s">
        <v>30</v>
      </c>
      <c r="H77">
        <v>18</v>
      </c>
      <c r="J77" t="s">
        <v>13</v>
      </c>
      <c r="K77" t="s">
        <v>13</v>
      </c>
      <c r="L77" t="s">
        <v>13</v>
      </c>
      <c r="M77" t="s">
        <v>17</v>
      </c>
      <c r="N77" t="s">
        <v>18</v>
      </c>
      <c r="O77" s="5" t="s">
        <v>13</v>
      </c>
    </row>
    <row r="78" spans="2:15" x14ac:dyDescent="0.3">
      <c r="B78" s="4">
        <v>432</v>
      </c>
      <c r="C78" t="s">
        <v>49</v>
      </c>
      <c r="D78" t="s">
        <v>50</v>
      </c>
      <c r="E78" t="s">
        <v>51</v>
      </c>
      <c r="F78">
        <v>3</v>
      </c>
      <c r="G78" t="s">
        <v>74</v>
      </c>
      <c r="H78">
        <v>15</v>
      </c>
      <c r="M78" t="s">
        <v>18</v>
      </c>
      <c r="N78" t="s">
        <v>17</v>
      </c>
      <c r="O78" s="5" t="s">
        <v>17</v>
      </c>
    </row>
    <row r="79" spans="2:15" x14ac:dyDescent="0.3">
      <c r="B79" s="4">
        <v>669</v>
      </c>
      <c r="C79" t="s">
        <v>63</v>
      </c>
      <c r="D79" t="s">
        <v>64</v>
      </c>
      <c r="E79" t="s">
        <v>65</v>
      </c>
      <c r="F79">
        <v>14</v>
      </c>
      <c r="G79" t="s">
        <v>26</v>
      </c>
      <c r="H79">
        <v>4</v>
      </c>
      <c r="L79" t="s">
        <v>17</v>
      </c>
      <c r="M79" t="s">
        <v>18</v>
      </c>
      <c r="N79" t="s">
        <v>18</v>
      </c>
      <c r="O79" s="5" t="s">
        <v>19</v>
      </c>
    </row>
    <row r="80" spans="2:15" x14ac:dyDescent="0.3">
      <c r="B80" s="4">
        <v>14</v>
      </c>
      <c r="C80" t="s">
        <v>75</v>
      </c>
      <c r="D80" t="s">
        <v>76</v>
      </c>
      <c r="E80" t="s">
        <v>77</v>
      </c>
      <c r="F80">
        <v>7</v>
      </c>
      <c r="G80" t="s">
        <v>55</v>
      </c>
      <c r="H80">
        <v>2</v>
      </c>
      <c r="K80" t="s">
        <v>13</v>
      </c>
      <c r="L80" t="s">
        <v>13</v>
      </c>
      <c r="M80" t="s">
        <v>13</v>
      </c>
      <c r="N80" t="s">
        <v>13</v>
      </c>
      <c r="O80" s="5" t="s">
        <v>13</v>
      </c>
    </row>
    <row r="81" spans="2:15" x14ac:dyDescent="0.3">
      <c r="B81" s="4">
        <v>303</v>
      </c>
      <c r="C81" t="s">
        <v>78</v>
      </c>
      <c r="D81" t="s">
        <v>79</v>
      </c>
      <c r="E81" t="s">
        <v>80</v>
      </c>
      <c r="F81">
        <v>10</v>
      </c>
      <c r="G81" t="s">
        <v>48</v>
      </c>
      <c r="H81">
        <v>16</v>
      </c>
      <c r="I81" t="s">
        <v>13</v>
      </c>
      <c r="J81" t="s">
        <v>17</v>
      </c>
      <c r="O81" s="5"/>
    </row>
    <row r="82" spans="2:15" x14ac:dyDescent="0.3">
      <c r="B82" s="4">
        <v>9</v>
      </c>
      <c r="C82" t="s">
        <v>46</v>
      </c>
      <c r="D82" t="s">
        <v>47</v>
      </c>
      <c r="E82" t="s">
        <v>11</v>
      </c>
      <c r="F82">
        <v>8</v>
      </c>
      <c r="G82" t="s">
        <v>81</v>
      </c>
      <c r="H82">
        <v>7</v>
      </c>
      <c r="I82" t="s">
        <v>18</v>
      </c>
      <c r="J82" t="s">
        <v>17</v>
      </c>
      <c r="K82" t="s">
        <v>18</v>
      </c>
      <c r="L82" t="s">
        <v>13</v>
      </c>
      <c r="M82" t="s">
        <v>13</v>
      </c>
      <c r="O82" s="5"/>
    </row>
    <row r="83" spans="2:15" x14ac:dyDescent="0.3">
      <c r="B83" s="4">
        <v>2873</v>
      </c>
      <c r="C83" t="s">
        <v>20</v>
      </c>
      <c r="D83" t="s">
        <v>21</v>
      </c>
      <c r="E83" t="s">
        <v>11</v>
      </c>
      <c r="F83">
        <v>8</v>
      </c>
      <c r="G83" t="s">
        <v>54</v>
      </c>
      <c r="H83">
        <v>8</v>
      </c>
      <c r="M83" t="s">
        <v>17</v>
      </c>
      <c r="N83" t="s">
        <v>17</v>
      </c>
      <c r="O83" s="5" t="s">
        <v>17</v>
      </c>
    </row>
    <row r="84" spans="2:15" x14ac:dyDescent="0.3">
      <c r="B84" s="4">
        <v>547</v>
      </c>
      <c r="C84" t="s">
        <v>9</v>
      </c>
      <c r="D84" t="s">
        <v>10</v>
      </c>
      <c r="E84" t="s">
        <v>11</v>
      </c>
      <c r="F84">
        <v>8</v>
      </c>
      <c r="G84" t="s">
        <v>54</v>
      </c>
      <c r="H84">
        <v>8</v>
      </c>
      <c r="L84" t="s">
        <v>17</v>
      </c>
      <c r="M84" t="s">
        <v>13</v>
      </c>
      <c r="O84" s="5"/>
    </row>
    <row r="85" spans="2:15" x14ac:dyDescent="0.3">
      <c r="B85" s="4">
        <v>1213</v>
      </c>
      <c r="C85" t="s">
        <v>9</v>
      </c>
      <c r="D85" t="s">
        <v>10</v>
      </c>
      <c r="E85" t="s">
        <v>11</v>
      </c>
      <c r="F85">
        <v>8</v>
      </c>
      <c r="G85" t="s">
        <v>22</v>
      </c>
      <c r="H85">
        <v>1</v>
      </c>
      <c r="K85" t="s">
        <v>13</v>
      </c>
      <c r="L85" t="s">
        <v>13</v>
      </c>
      <c r="M85" t="s">
        <v>13</v>
      </c>
      <c r="N85" t="s">
        <v>13</v>
      </c>
      <c r="O85" s="5" t="s">
        <v>13</v>
      </c>
    </row>
    <row r="86" spans="2:15" x14ac:dyDescent="0.3">
      <c r="B86" s="4">
        <v>1093</v>
      </c>
      <c r="C86" t="s">
        <v>31</v>
      </c>
      <c r="D86" t="s">
        <v>32</v>
      </c>
      <c r="E86" t="s">
        <v>11</v>
      </c>
      <c r="F86">
        <v>8</v>
      </c>
      <c r="G86" t="s">
        <v>22</v>
      </c>
      <c r="H86">
        <v>1</v>
      </c>
      <c r="K86" t="s">
        <v>18</v>
      </c>
      <c r="L86" t="s">
        <v>17</v>
      </c>
      <c r="M86" t="s">
        <v>19</v>
      </c>
      <c r="O86" s="5"/>
    </row>
    <row r="87" spans="2:15" x14ac:dyDescent="0.3">
      <c r="B87" s="4">
        <v>3925</v>
      </c>
      <c r="C87" t="s">
        <v>14</v>
      </c>
      <c r="D87" t="s">
        <v>15</v>
      </c>
      <c r="E87" t="s">
        <v>11</v>
      </c>
      <c r="F87">
        <v>8</v>
      </c>
      <c r="G87" t="s">
        <v>22</v>
      </c>
      <c r="H87">
        <v>1</v>
      </c>
      <c r="M87" t="s">
        <v>13</v>
      </c>
      <c r="N87" t="s">
        <v>18</v>
      </c>
      <c r="O87" s="5" t="s">
        <v>13</v>
      </c>
    </row>
    <row r="88" spans="2:15" x14ac:dyDescent="0.3">
      <c r="B88" s="4">
        <v>1</v>
      </c>
      <c r="C88" t="s">
        <v>9</v>
      </c>
      <c r="D88" t="s">
        <v>10</v>
      </c>
      <c r="E88" t="s">
        <v>11</v>
      </c>
      <c r="F88">
        <v>8</v>
      </c>
      <c r="G88" t="s">
        <v>55</v>
      </c>
      <c r="H88">
        <v>2</v>
      </c>
      <c r="I88" t="s">
        <v>17</v>
      </c>
      <c r="J88" t="s">
        <v>18</v>
      </c>
      <c r="K88" t="s">
        <v>52</v>
      </c>
      <c r="O88" s="5"/>
    </row>
    <row r="89" spans="2:15" x14ac:dyDescent="0.3">
      <c r="B89" s="4">
        <v>1416</v>
      </c>
      <c r="C89" t="s">
        <v>82</v>
      </c>
      <c r="D89" t="s">
        <v>83</v>
      </c>
      <c r="E89" t="s">
        <v>11</v>
      </c>
      <c r="F89">
        <v>8</v>
      </c>
      <c r="G89" t="s">
        <v>81</v>
      </c>
      <c r="H89">
        <v>7</v>
      </c>
      <c r="M89" t="s">
        <v>17</v>
      </c>
      <c r="N89" t="s">
        <v>17</v>
      </c>
      <c r="O89" s="5" t="s">
        <v>17</v>
      </c>
    </row>
    <row r="90" spans="2:15" x14ac:dyDescent="0.3">
      <c r="B90" s="4">
        <v>444</v>
      </c>
      <c r="C90" t="s">
        <v>14</v>
      </c>
      <c r="D90" t="s">
        <v>15</v>
      </c>
      <c r="E90" t="s">
        <v>11</v>
      </c>
      <c r="F90">
        <v>8</v>
      </c>
      <c r="G90" t="s">
        <v>48</v>
      </c>
      <c r="H90">
        <v>16</v>
      </c>
      <c r="I90" t="s">
        <v>13</v>
      </c>
      <c r="J90" t="s">
        <v>13</v>
      </c>
      <c r="K90" t="s">
        <v>13</v>
      </c>
      <c r="L90" t="s">
        <v>18</v>
      </c>
      <c r="M90" t="s">
        <v>18</v>
      </c>
      <c r="N90" t="s">
        <v>18</v>
      </c>
      <c r="O90" s="5" t="s">
        <v>18</v>
      </c>
    </row>
    <row r="91" spans="2:15" x14ac:dyDescent="0.3">
      <c r="B91" s="4">
        <v>600</v>
      </c>
      <c r="C91" t="s">
        <v>84</v>
      </c>
      <c r="D91" t="s">
        <v>85</v>
      </c>
      <c r="E91" t="s">
        <v>86</v>
      </c>
      <c r="F91">
        <v>12</v>
      </c>
      <c r="G91" t="s">
        <v>87</v>
      </c>
      <c r="H91">
        <v>9</v>
      </c>
      <c r="L91" t="s">
        <v>13</v>
      </c>
      <c r="M91" t="s">
        <v>13</v>
      </c>
      <c r="N91" t="s">
        <v>13</v>
      </c>
      <c r="O91" s="5"/>
    </row>
    <row r="92" spans="2:15" x14ac:dyDescent="0.3">
      <c r="B92" s="4">
        <v>355</v>
      </c>
      <c r="C92" t="s">
        <v>43</v>
      </c>
      <c r="D92" t="s">
        <v>44</v>
      </c>
      <c r="E92" t="s">
        <v>45</v>
      </c>
      <c r="F92">
        <v>5</v>
      </c>
      <c r="G92" t="s">
        <v>87</v>
      </c>
      <c r="H92">
        <v>9</v>
      </c>
      <c r="L92" t="s">
        <v>13</v>
      </c>
      <c r="M92" t="s">
        <v>13</v>
      </c>
      <c r="N92" t="s">
        <v>18</v>
      </c>
      <c r="O92" s="5"/>
    </row>
    <row r="93" spans="2:15" x14ac:dyDescent="0.3">
      <c r="B93" s="4">
        <v>3</v>
      </c>
      <c r="C93" t="s">
        <v>84</v>
      </c>
      <c r="D93" t="s">
        <v>85</v>
      </c>
      <c r="E93" t="s">
        <v>86</v>
      </c>
      <c r="F93">
        <v>12</v>
      </c>
      <c r="G93" t="s">
        <v>22</v>
      </c>
      <c r="H93">
        <v>1</v>
      </c>
      <c r="I93" t="s">
        <v>18</v>
      </c>
      <c r="J93" t="s">
        <v>18</v>
      </c>
      <c r="K93" t="s">
        <v>17</v>
      </c>
      <c r="L93" t="s">
        <v>17</v>
      </c>
      <c r="M93" t="s">
        <v>17</v>
      </c>
      <c r="O93" s="5"/>
    </row>
    <row r="94" spans="2:15" x14ac:dyDescent="0.3">
      <c r="B94" s="4">
        <v>239</v>
      </c>
      <c r="C94" t="s">
        <v>46</v>
      </c>
      <c r="D94" t="s">
        <v>47</v>
      </c>
      <c r="E94" t="s">
        <v>11</v>
      </c>
      <c r="F94">
        <v>8</v>
      </c>
      <c r="G94" t="s">
        <v>16</v>
      </c>
      <c r="H94">
        <v>6</v>
      </c>
      <c r="K94" t="s">
        <v>17</v>
      </c>
      <c r="L94" t="s">
        <v>18</v>
      </c>
      <c r="M94" t="s">
        <v>17</v>
      </c>
      <c r="N94" t="s">
        <v>17</v>
      </c>
      <c r="O94" s="5"/>
    </row>
    <row r="95" spans="2:15" x14ac:dyDescent="0.3">
      <c r="B95" s="4">
        <v>47</v>
      </c>
      <c r="C95" t="s">
        <v>61</v>
      </c>
      <c r="D95" t="s">
        <v>62</v>
      </c>
      <c r="E95" t="s">
        <v>11</v>
      </c>
      <c r="F95">
        <v>8</v>
      </c>
      <c r="G95" t="s">
        <v>81</v>
      </c>
      <c r="H95">
        <v>7</v>
      </c>
      <c r="I95" t="s">
        <v>13</v>
      </c>
      <c r="J95" t="s">
        <v>18</v>
      </c>
      <c r="K95" t="s">
        <v>13</v>
      </c>
      <c r="L95" t="s">
        <v>13</v>
      </c>
      <c r="M95" t="s">
        <v>18</v>
      </c>
      <c r="N95" t="s">
        <v>52</v>
      </c>
      <c r="O95" s="5" t="s">
        <v>19</v>
      </c>
    </row>
    <row r="96" spans="2:15" x14ac:dyDescent="0.3">
      <c r="B96" s="4">
        <v>107</v>
      </c>
      <c r="C96" t="s">
        <v>14</v>
      </c>
      <c r="D96" t="s">
        <v>15</v>
      </c>
      <c r="E96" t="s">
        <v>11</v>
      </c>
      <c r="F96">
        <v>8</v>
      </c>
      <c r="G96" t="s">
        <v>22</v>
      </c>
      <c r="H96">
        <v>1</v>
      </c>
      <c r="I96" t="s">
        <v>18</v>
      </c>
      <c r="J96" t="s">
        <v>13</v>
      </c>
      <c r="K96" t="s">
        <v>13</v>
      </c>
      <c r="L96" t="s">
        <v>13</v>
      </c>
      <c r="M96" t="s">
        <v>18</v>
      </c>
      <c r="N96" t="s">
        <v>13</v>
      </c>
      <c r="O96" s="5" t="s">
        <v>13</v>
      </c>
    </row>
    <row r="97" spans="2:15" x14ac:dyDescent="0.3">
      <c r="B97" s="4">
        <v>8</v>
      </c>
      <c r="C97" t="s">
        <v>23</v>
      </c>
      <c r="D97" t="s">
        <v>24</v>
      </c>
      <c r="E97" t="s">
        <v>25</v>
      </c>
      <c r="F97">
        <v>1</v>
      </c>
      <c r="G97" t="s">
        <v>88</v>
      </c>
      <c r="H97">
        <v>12</v>
      </c>
      <c r="M97" t="s">
        <v>13</v>
      </c>
      <c r="N97" t="s">
        <v>13</v>
      </c>
      <c r="O97" s="5" t="s">
        <v>13</v>
      </c>
    </row>
    <row r="98" spans="2:15" x14ac:dyDescent="0.3">
      <c r="B98" s="4">
        <v>362</v>
      </c>
      <c r="C98" t="s">
        <v>49</v>
      </c>
      <c r="D98" t="s">
        <v>50</v>
      </c>
      <c r="E98" t="s">
        <v>51</v>
      </c>
      <c r="F98">
        <v>3</v>
      </c>
      <c r="G98" t="s">
        <v>89</v>
      </c>
      <c r="H98">
        <v>11</v>
      </c>
      <c r="L98" t="s">
        <v>13</v>
      </c>
      <c r="M98" t="s">
        <v>18</v>
      </c>
      <c r="N98" t="s">
        <v>18</v>
      </c>
      <c r="O98" s="5" t="s">
        <v>18</v>
      </c>
    </row>
    <row r="99" spans="2:15" x14ac:dyDescent="0.3">
      <c r="B99" s="4">
        <v>1219</v>
      </c>
      <c r="C99" t="s">
        <v>43</v>
      </c>
      <c r="D99" t="s">
        <v>44</v>
      </c>
      <c r="E99" t="s">
        <v>45</v>
      </c>
      <c r="F99">
        <v>5</v>
      </c>
      <c r="G99" t="s">
        <v>89</v>
      </c>
      <c r="H99">
        <v>11</v>
      </c>
      <c r="N99" t="s">
        <v>13</v>
      </c>
      <c r="O99" s="5" t="s">
        <v>18</v>
      </c>
    </row>
    <row r="100" spans="2:15" x14ac:dyDescent="0.3">
      <c r="B100" s="4">
        <v>313</v>
      </c>
      <c r="C100" t="s">
        <v>46</v>
      </c>
      <c r="D100" t="s">
        <v>47</v>
      </c>
      <c r="E100" t="s">
        <v>11</v>
      </c>
      <c r="F100">
        <v>8</v>
      </c>
      <c r="G100" t="s">
        <v>88</v>
      </c>
      <c r="H100">
        <v>12</v>
      </c>
      <c r="M100" t="s">
        <v>18</v>
      </c>
      <c r="N100" t="s">
        <v>18</v>
      </c>
      <c r="O100" s="5"/>
    </row>
    <row r="101" spans="2:15" x14ac:dyDescent="0.3">
      <c r="B101" s="4">
        <v>836</v>
      </c>
      <c r="C101" t="s">
        <v>23</v>
      </c>
      <c r="D101" t="s">
        <v>24</v>
      </c>
      <c r="E101" t="s">
        <v>25</v>
      </c>
      <c r="F101">
        <v>1</v>
      </c>
      <c r="G101" t="s">
        <v>88</v>
      </c>
      <c r="H101">
        <v>12</v>
      </c>
      <c r="I101" t="s">
        <v>17</v>
      </c>
      <c r="J101" t="s">
        <v>17</v>
      </c>
      <c r="K101" t="s">
        <v>18</v>
      </c>
      <c r="L101" t="s">
        <v>18</v>
      </c>
      <c r="M101" t="s">
        <v>18</v>
      </c>
      <c r="N101" t="s">
        <v>13</v>
      </c>
      <c r="O101" s="5" t="s">
        <v>18</v>
      </c>
    </row>
    <row r="102" spans="2:15" x14ac:dyDescent="0.3">
      <c r="B102" s="4">
        <v>88</v>
      </c>
      <c r="C102" t="s">
        <v>41</v>
      </c>
      <c r="D102" t="s">
        <v>42</v>
      </c>
      <c r="E102" t="s">
        <v>11</v>
      </c>
      <c r="F102">
        <v>8</v>
      </c>
      <c r="G102" t="s">
        <v>55</v>
      </c>
      <c r="H102">
        <v>2</v>
      </c>
      <c r="I102" t="s">
        <v>18</v>
      </c>
      <c r="J102" t="s">
        <v>13</v>
      </c>
      <c r="K102" t="s">
        <v>18</v>
      </c>
      <c r="L102" t="s">
        <v>13</v>
      </c>
      <c r="M102" t="s">
        <v>18</v>
      </c>
      <c r="N102" t="s">
        <v>18</v>
      </c>
      <c r="O102" s="5" t="s">
        <v>17</v>
      </c>
    </row>
    <row r="103" spans="2:15" x14ac:dyDescent="0.3">
      <c r="B103" s="4">
        <v>12</v>
      </c>
      <c r="C103" t="s">
        <v>23</v>
      </c>
      <c r="D103" t="s">
        <v>24</v>
      </c>
      <c r="E103" t="s">
        <v>25</v>
      </c>
      <c r="F103">
        <v>1</v>
      </c>
      <c r="G103" t="s">
        <v>22</v>
      </c>
      <c r="H103">
        <v>1</v>
      </c>
      <c r="M103" t="s">
        <v>18</v>
      </c>
      <c r="N103" t="s">
        <v>19</v>
      </c>
      <c r="O103" s="5" t="s">
        <v>19</v>
      </c>
    </row>
    <row r="104" spans="2:15" x14ac:dyDescent="0.3">
      <c r="B104" s="4">
        <v>16</v>
      </c>
      <c r="C104" t="s">
        <v>23</v>
      </c>
      <c r="D104" t="s">
        <v>24</v>
      </c>
      <c r="E104" t="s">
        <v>25</v>
      </c>
      <c r="F104">
        <v>1</v>
      </c>
      <c r="G104" t="s">
        <v>54</v>
      </c>
      <c r="H104">
        <v>8</v>
      </c>
      <c r="I104" t="s">
        <v>13</v>
      </c>
      <c r="J104" t="s">
        <v>13</v>
      </c>
      <c r="K104" t="s">
        <v>17</v>
      </c>
      <c r="L104" t="s">
        <v>13</v>
      </c>
      <c r="M104" t="s">
        <v>17</v>
      </c>
      <c r="N104" t="s">
        <v>18</v>
      </c>
      <c r="O104" s="5" t="s">
        <v>18</v>
      </c>
    </row>
    <row r="105" spans="2:15" x14ac:dyDescent="0.3">
      <c r="B105" s="4">
        <v>1416</v>
      </c>
      <c r="C105" t="s">
        <v>23</v>
      </c>
      <c r="D105" t="s">
        <v>24</v>
      </c>
      <c r="E105" t="s">
        <v>25</v>
      </c>
      <c r="F105">
        <v>1</v>
      </c>
      <c r="G105" t="s">
        <v>16</v>
      </c>
      <c r="H105">
        <v>6</v>
      </c>
      <c r="K105" t="s">
        <v>13</v>
      </c>
      <c r="L105" t="s">
        <v>13</v>
      </c>
      <c r="M105" t="s">
        <v>13</v>
      </c>
      <c r="N105" t="s">
        <v>13</v>
      </c>
      <c r="O105" s="5" t="s">
        <v>18</v>
      </c>
    </row>
    <row r="106" spans="2:15" x14ac:dyDescent="0.3">
      <c r="B106" s="4">
        <v>32</v>
      </c>
      <c r="C106" t="s">
        <v>46</v>
      </c>
      <c r="D106" t="s">
        <v>47</v>
      </c>
      <c r="E106" t="s">
        <v>11</v>
      </c>
      <c r="F106">
        <v>8</v>
      </c>
      <c r="G106" t="s">
        <v>40</v>
      </c>
      <c r="H106">
        <v>3</v>
      </c>
      <c r="I106" t="s">
        <v>17</v>
      </c>
      <c r="J106" t="s">
        <v>13</v>
      </c>
      <c r="K106" t="s">
        <v>13</v>
      </c>
      <c r="L106" t="s">
        <v>13</v>
      </c>
      <c r="M106" t="s">
        <v>13</v>
      </c>
      <c r="N106" t="s">
        <v>13</v>
      </c>
      <c r="O106" s="5"/>
    </row>
    <row r="107" spans="2:15" x14ac:dyDescent="0.3">
      <c r="B107" s="4">
        <v>626</v>
      </c>
      <c r="C107" t="s">
        <v>46</v>
      </c>
      <c r="D107" t="s">
        <v>47</v>
      </c>
      <c r="E107" t="s">
        <v>11</v>
      </c>
      <c r="F107">
        <v>8</v>
      </c>
      <c r="G107" t="s">
        <v>66</v>
      </c>
      <c r="H107">
        <v>5</v>
      </c>
      <c r="K107" t="s">
        <v>13</v>
      </c>
      <c r="L107" t="s">
        <v>17</v>
      </c>
      <c r="M107" t="s">
        <v>17</v>
      </c>
      <c r="N107" t="s">
        <v>19</v>
      </c>
      <c r="O107" s="5" t="s">
        <v>19</v>
      </c>
    </row>
    <row r="108" spans="2:15" x14ac:dyDescent="0.3">
      <c r="B108" s="4">
        <v>3107</v>
      </c>
      <c r="C108" t="s">
        <v>23</v>
      </c>
      <c r="D108" t="s">
        <v>24</v>
      </c>
      <c r="E108" t="s">
        <v>25</v>
      </c>
      <c r="F108">
        <v>1</v>
      </c>
      <c r="G108" t="s">
        <v>16</v>
      </c>
      <c r="H108">
        <v>6</v>
      </c>
      <c r="M108" t="s">
        <v>13</v>
      </c>
      <c r="N108" t="s">
        <v>18</v>
      </c>
      <c r="O108" s="5" t="s">
        <v>17</v>
      </c>
    </row>
    <row r="109" spans="2:15" x14ac:dyDescent="0.3">
      <c r="B109" s="4">
        <v>388</v>
      </c>
      <c r="C109" t="s">
        <v>14</v>
      </c>
      <c r="D109" t="s">
        <v>15</v>
      </c>
      <c r="E109" t="s">
        <v>11</v>
      </c>
      <c r="F109">
        <v>8</v>
      </c>
      <c r="G109" t="s">
        <v>57</v>
      </c>
      <c r="H109">
        <v>10</v>
      </c>
      <c r="I109" t="s">
        <v>13</v>
      </c>
      <c r="J109" t="s">
        <v>13</v>
      </c>
      <c r="K109" t="s">
        <v>13</v>
      </c>
      <c r="L109" t="s">
        <v>13</v>
      </c>
      <c r="M109" t="s">
        <v>13</v>
      </c>
      <c r="N109" t="s">
        <v>18</v>
      </c>
      <c r="O109" s="5" t="s">
        <v>17</v>
      </c>
    </row>
    <row r="110" spans="2:15" x14ac:dyDescent="0.3">
      <c r="B110" s="4">
        <v>1531</v>
      </c>
      <c r="C110" t="s">
        <v>46</v>
      </c>
      <c r="D110" t="s">
        <v>47</v>
      </c>
      <c r="E110" t="s">
        <v>11</v>
      </c>
      <c r="F110">
        <v>8</v>
      </c>
      <c r="G110" t="s">
        <v>38</v>
      </c>
      <c r="H110">
        <v>13</v>
      </c>
      <c r="M110" t="s">
        <v>19</v>
      </c>
      <c r="N110" t="s">
        <v>19</v>
      </c>
      <c r="O110" s="5" t="s">
        <v>18</v>
      </c>
    </row>
    <row r="111" spans="2:15" x14ac:dyDescent="0.3">
      <c r="B111" s="4">
        <v>217</v>
      </c>
      <c r="C111" t="s">
        <v>46</v>
      </c>
      <c r="D111" t="s">
        <v>47</v>
      </c>
      <c r="E111" t="s">
        <v>11</v>
      </c>
      <c r="F111">
        <v>8</v>
      </c>
      <c r="G111" t="s">
        <v>26</v>
      </c>
      <c r="H111">
        <v>4</v>
      </c>
      <c r="I111" t="s">
        <v>13</v>
      </c>
      <c r="J111" t="s">
        <v>13</v>
      </c>
      <c r="K111" t="s">
        <v>13</v>
      </c>
      <c r="L111" t="s">
        <v>13</v>
      </c>
      <c r="M111" t="s">
        <v>13</v>
      </c>
      <c r="N111" t="s">
        <v>13</v>
      </c>
      <c r="O111" s="5" t="s">
        <v>13</v>
      </c>
    </row>
    <row r="112" spans="2:15" x14ac:dyDescent="0.3">
      <c r="B112" s="4">
        <v>309</v>
      </c>
      <c r="C112" t="s">
        <v>84</v>
      </c>
      <c r="D112" t="s">
        <v>85</v>
      </c>
      <c r="E112" t="s">
        <v>86</v>
      </c>
      <c r="F112">
        <v>12</v>
      </c>
      <c r="G112" t="s">
        <v>12</v>
      </c>
      <c r="H112">
        <v>7</v>
      </c>
      <c r="I112" t="s">
        <v>13</v>
      </c>
      <c r="J112" t="s">
        <v>13</v>
      </c>
      <c r="K112" t="s">
        <v>18</v>
      </c>
      <c r="L112" t="s">
        <v>13</v>
      </c>
      <c r="M112" t="s">
        <v>17</v>
      </c>
      <c r="N112" t="s">
        <v>17</v>
      </c>
      <c r="O112" s="5"/>
    </row>
    <row r="113" spans="2:15" x14ac:dyDescent="0.3">
      <c r="B113" s="4">
        <v>1139</v>
      </c>
      <c r="C113" t="s">
        <v>14</v>
      </c>
      <c r="D113" t="s">
        <v>15</v>
      </c>
      <c r="E113" t="s">
        <v>11</v>
      </c>
      <c r="F113">
        <v>8</v>
      </c>
      <c r="G113" t="s">
        <v>22</v>
      </c>
      <c r="H113">
        <v>1</v>
      </c>
      <c r="N113" t="s">
        <v>18</v>
      </c>
      <c r="O113" s="5" t="s">
        <v>17</v>
      </c>
    </row>
    <row r="114" spans="2:15" x14ac:dyDescent="0.3">
      <c r="B114" s="4">
        <v>9</v>
      </c>
      <c r="C114" t="s">
        <v>14</v>
      </c>
      <c r="D114" t="s">
        <v>15</v>
      </c>
      <c r="E114" t="s">
        <v>11</v>
      </c>
      <c r="F114">
        <v>8</v>
      </c>
      <c r="G114" t="s">
        <v>58</v>
      </c>
      <c r="H114">
        <v>17</v>
      </c>
      <c r="K114" t="s">
        <v>13</v>
      </c>
      <c r="L114" t="s">
        <v>13</v>
      </c>
      <c r="M114" t="s">
        <v>17</v>
      </c>
      <c r="N114" t="s">
        <v>17</v>
      </c>
      <c r="O114" s="5"/>
    </row>
    <row r="115" spans="2:15" x14ac:dyDescent="0.3">
      <c r="B115" s="4">
        <v>246</v>
      </c>
      <c r="C115" t="s">
        <v>46</v>
      </c>
      <c r="D115" t="s">
        <v>47</v>
      </c>
      <c r="E115" t="s">
        <v>11</v>
      </c>
      <c r="F115">
        <v>8</v>
      </c>
      <c r="G115" t="s">
        <v>54</v>
      </c>
      <c r="H115">
        <v>8</v>
      </c>
      <c r="N115" t="s">
        <v>19</v>
      </c>
      <c r="O115" s="5" t="s">
        <v>18</v>
      </c>
    </row>
    <row r="116" spans="2:15" x14ac:dyDescent="0.3">
      <c r="B116" s="4">
        <v>441</v>
      </c>
      <c r="C116" t="s">
        <v>41</v>
      </c>
      <c r="D116" t="s">
        <v>42</v>
      </c>
      <c r="E116" t="s">
        <v>11</v>
      </c>
      <c r="F116">
        <v>8</v>
      </c>
      <c r="G116" t="s">
        <v>40</v>
      </c>
      <c r="H116">
        <v>3</v>
      </c>
      <c r="I116" t="s">
        <v>18</v>
      </c>
      <c r="J116" t="s">
        <v>18</v>
      </c>
      <c r="K116" t="s">
        <v>19</v>
      </c>
      <c r="L116" t="s">
        <v>17</v>
      </c>
      <c r="M116" t="s">
        <v>13</v>
      </c>
      <c r="N116" t="s">
        <v>33</v>
      </c>
      <c r="O116" s="5"/>
    </row>
    <row r="117" spans="2:15" x14ac:dyDescent="0.3">
      <c r="B117" s="4">
        <v>5</v>
      </c>
      <c r="C117" t="s">
        <v>90</v>
      </c>
      <c r="D117" t="s">
        <v>91</v>
      </c>
      <c r="E117" t="s">
        <v>11</v>
      </c>
      <c r="F117">
        <v>8</v>
      </c>
      <c r="G117" t="s">
        <v>22</v>
      </c>
      <c r="H117">
        <v>1</v>
      </c>
      <c r="J117" t="s">
        <v>17</v>
      </c>
      <c r="K117" t="s">
        <v>17</v>
      </c>
      <c r="L117" t="s">
        <v>19</v>
      </c>
      <c r="M117" t="s">
        <v>19</v>
      </c>
      <c r="N117" t="s">
        <v>52</v>
      </c>
      <c r="O117" s="5" t="s">
        <v>52</v>
      </c>
    </row>
    <row r="118" spans="2:15" x14ac:dyDescent="0.3">
      <c r="B118" s="4">
        <v>448</v>
      </c>
      <c r="C118" t="s">
        <v>92</v>
      </c>
      <c r="D118" t="s">
        <v>93</v>
      </c>
      <c r="E118" t="s">
        <v>11</v>
      </c>
      <c r="F118">
        <v>8</v>
      </c>
      <c r="G118" t="s">
        <v>22</v>
      </c>
      <c r="H118">
        <v>1</v>
      </c>
      <c r="I118" t="s">
        <v>17</v>
      </c>
      <c r="J118" t="s">
        <v>17</v>
      </c>
      <c r="K118" t="s">
        <v>17</v>
      </c>
      <c r="O118" s="5"/>
    </row>
    <row r="119" spans="2:15" x14ac:dyDescent="0.3">
      <c r="B119" s="4">
        <v>752</v>
      </c>
      <c r="C119" t="s">
        <v>14</v>
      </c>
      <c r="D119" t="s">
        <v>15</v>
      </c>
      <c r="E119" t="s">
        <v>11</v>
      </c>
      <c r="F119">
        <v>8</v>
      </c>
      <c r="G119" t="s">
        <v>30</v>
      </c>
      <c r="H119">
        <v>18</v>
      </c>
      <c r="L119" t="s">
        <v>18</v>
      </c>
      <c r="M119" t="s">
        <v>17</v>
      </c>
      <c r="N119" t="s">
        <v>18</v>
      </c>
      <c r="O119" s="5"/>
    </row>
    <row r="120" spans="2:15" x14ac:dyDescent="0.3">
      <c r="B120" s="4">
        <v>1671</v>
      </c>
      <c r="C120" t="s">
        <v>14</v>
      </c>
      <c r="D120" t="s">
        <v>15</v>
      </c>
      <c r="E120" t="s">
        <v>11</v>
      </c>
      <c r="F120">
        <v>8</v>
      </c>
      <c r="G120" t="s">
        <v>55</v>
      </c>
      <c r="H120">
        <v>2</v>
      </c>
      <c r="L120" t="s">
        <v>18</v>
      </c>
      <c r="M120" t="s">
        <v>13</v>
      </c>
      <c r="N120" t="s">
        <v>13</v>
      </c>
      <c r="O120" s="5"/>
    </row>
    <row r="121" spans="2:15" x14ac:dyDescent="0.3">
      <c r="B121" s="4">
        <v>1352</v>
      </c>
      <c r="C121" t="s">
        <v>92</v>
      </c>
      <c r="D121" t="s">
        <v>93</v>
      </c>
      <c r="E121" t="s">
        <v>11</v>
      </c>
      <c r="F121">
        <v>8</v>
      </c>
      <c r="G121" t="s">
        <v>54</v>
      </c>
      <c r="H121">
        <v>8</v>
      </c>
      <c r="J121" t="s">
        <v>13</v>
      </c>
      <c r="K121" t="s">
        <v>13</v>
      </c>
      <c r="O121" s="5"/>
    </row>
    <row r="122" spans="2:15" x14ac:dyDescent="0.3">
      <c r="B122" s="4">
        <v>393</v>
      </c>
      <c r="C122" t="s">
        <v>63</v>
      </c>
      <c r="D122" t="s">
        <v>64</v>
      </c>
      <c r="E122" t="s">
        <v>65</v>
      </c>
      <c r="F122">
        <v>14</v>
      </c>
      <c r="G122" t="s">
        <v>16</v>
      </c>
      <c r="H122">
        <v>6</v>
      </c>
      <c r="L122" t="s">
        <v>18</v>
      </c>
      <c r="M122" t="s">
        <v>13</v>
      </c>
      <c r="N122" t="s">
        <v>13</v>
      </c>
      <c r="O122" s="5" t="s">
        <v>17</v>
      </c>
    </row>
    <row r="123" spans="2:15" x14ac:dyDescent="0.3">
      <c r="B123" s="4">
        <v>1164</v>
      </c>
      <c r="C123" t="s">
        <v>9</v>
      </c>
      <c r="D123" t="s">
        <v>10</v>
      </c>
      <c r="E123" t="s">
        <v>11</v>
      </c>
      <c r="F123">
        <v>8</v>
      </c>
      <c r="G123" t="s">
        <v>22</v>
      </c>
      <c r="H123">
        <v>1</v>
      </c>
      <c r="M123" t="s">
        <v>13</v>
      </c>
      <c r="N123" t="s">
        <v>13</v>
      </c>
      <c r="O123" s="5" t="s">
        <v>13</v>
      </c>
    </row>
    <row r="124" spans="2:15" x14ac:dyDescent="0.3">
      <c r="B124" s="4">
        <v>2326</v>
      </c>
      <c r="C124" t="s">
        <v>9</v>
      </c>
      <c r="D124" t="s">
        <v>10</v>
      </c>
      <c r="E124" t="s">
        <v>11</v>
      </c>
      <c r="F124">
        <v>8</v>
      </c>
      <c r="G124" t="s">
        <v>30</v>
      </c>
      <c r="H124">
        <v>18</v>
      </c>
      <c r="N124" t="s">
        <v>18</v>
      </c>
      <c r="O124" s="5" t="s">
        <v>19</v>
      </c>
    </row>
    <row r="125" spans="2:15" x14ac:dyDescent="0.3">
      <c r="B125" s="4">
        <v>3</v>
      </c>
      <c r="C125" t="s">
        <v>46</v>
      </c>
      <c r="D125" t="s">
        <v>47</v>
      </c>
      <c r="E125" t="s">
        <v>11</v>
      </c>
      <c r="F125">
        <v>8</v>
      </c>
      <c r="G125" t="s">
        <v>74</v>
      </c>
      <c r="H125">
        <v>15</v>
      </c>
      <c r="I125" t="s">
        <v>18</v>
      </c>
      <c r="J125" t="s">
        <v>18</v>
      </c>
      <c r="K125" t="s">
        <v>18</v>
      </c>
      <c r="L125" t="s">
        <v>13</v>
      </c>
      <c r="M125" t="s">
        <v>17</v>
      </c>
      <c r="N125" t="s">
        <v>18</v>
      </c>
      <c r="O125" s="5" t="s">
        <v>19</v>
      </c>
    </row>
    <row r="126" spans="2:15" x14ac:dyDescent="0.3">
      <c r="B126" s="4">
        <v>65</v>
      </c>
      <c r="C126" t="s">
        <v>67</v>
      </c>
      <c r="D126" t="s">
        <v>68</v>
      </c>
      <c r="E126" t="s">
        <v>69</v>
      </c>
      <c r="F126">
        <v>11</v>
      </c>
      <c r="G126" t="s">
        <v>54</v>
      </c>
      <c r="H126">
        <v>8</v>
      </c>
      <c r="I126" t="s">
        <v>17</v>
      </c>
      <c r="J126" t="s">
        <v>18</v>
      </c>
      <c r="K126" t="s">
        <v>17</v>
      </c>
      <c r="L126" t="s">
        <v>18</v>
      </c>
      <c r="M126" t="s">
        <v>18</v>
      </c>
      <c r="N126" t="s">
        <v>18</v>
      </c>
      <c r="O126" s="5" t="s">
        <v>52</v>
      </c>
    </row>
    <row r="127" spans="2:15" x14ac:dyDescent="0.3">
      <c r="B127" s="4">
        <v>1</v>
      </c>
      <c r="C127" t="s">
        <v>31</v>
      </c>
      <c r="D127" t="s">
        <v>32</v>
      </c>
      <c r="E127" t="s">
        <v>11</v>
      </c>
      <c r="F127">
        <v>8</v>
      </c>
      <c r="G127" t="s">
        <v>54</v>
      </c>
      <c r="H127">
        <v>8</v>
      </c>
      <c r="I127" t="s">
        <v>18</v>
      </c>
      <c r="J127" t="s">
        <v>18</v>
      </c>
      <c r="K127" t="s">
        <v>13</v>
      </c>
      <c r="L127" t="s">
        <v>18</v>
      </c>
      <c r="O127" s="5"/>
    </row>
    <row r="128" spans="2:15" x14ac:dyDescent="0.3">
      <c r="B128" s="4">
        <v>1395</v>
      </c>
      <c r="C128" t="s">
        <v>49</v>
      </c>
      <c r="D128" t="s">
        <v>50</v>
      </c>
      <c r="E128" t="s">
        <v>51</v>
      </c>
      <c r="F128">
        <v>3</v>
      </c>
      <c r="G128" t="s">
        <v>30</v>
      </c>
      <c r="H128">
        <v>18</v>
      </c>
      <c r="M128" t="s">
        <v>13</v>
      </c>
      <c r="N128" t="s">
        <v>13</v>
      </c>
      <c r="O128" s="5" t="s">
        <v>18</v>
      </c>
    </row>
    <row r="129" spans="2:15" x14ac:dyDescent="0.3">
      <c r="B129" s="4">
        <v>212</v>
      </c>
      <c r="C129" t="s">
        <v>63</v>
      </c>
      <c r="D129" t="s">
        <v>64</v>
      </c>
      <c r="E129" t="s">
        <v>65</v>
      </c>
      <c r="F129">
        <v>14</v>
      </c>
      <c r="G129" t="s">
        <v>30</v>
      </c>
      <c r="H129">
        <v>18</v>
      </c>
      <c r="M129" t="s">
        <v>18</v>
      </c>
      <c r="N129" t="s">
        <v>19</v>
      </c>
      <c r="O129" s="5" t="s">
        <v>18</v>
      </c>
    </row>
    <row r="130" spans="2:15" x14ac:dyDescent="0.3">
      <c r="B130" s="4">
        <v>1833</v>
      </c>
      <c r="C130" t="s">
        <v>20</v>
      </c>
      <c r="D130" t="s">
        <v>21</v>
      </c>
      <c r="E130" t="s">
        <v>11</v>
      </c>
      <c r="F130">
        <v>8</v>
      </c>
      <c r="G130" t="s">
        <v>40</v>
      </c>
      <c r="H130">
        <v>3</v>
      </c>
      <c r="L130" t="s">
        <v>19</v>
      </c>
      <c r="M130" t="s">
        <v>17</v>
      </c>
      <c r="N130" t="s">
        <v>17</v>
      </c>
      <c r="O130" s="5" t="s">
        <v>19</v>
      </c>
    </row>
    <row r="131" spans="2:15" x14ac:dyDescent="0.3">
      <c r="B131" s="4">
        <v>785</v>
      </c>
      <c r="C131" t="s">
        <v>46</v>
      </c>
      <c r="D131" t="s">
        <v>47</v>
      </c>
      <c r="E131" t="s">
        <v>11</v>
      </c>
      <c r="F131">
        <v>8</v>
      </c>
      <c r="G131" t="s">
        <v>30</v>
      </c>
      <c r="H131">
        <v>18</v>
      </c>
      <c r="K131" t="s">
        <v>17</v>
      </c>
      <c r="L131" t="s">
        <v>17</v>
      </c>
      <c r="M131" t="s">
        <v>19</v>
      </c>
      <c r="O131" s="5"/>
    </row>
    <row r="132" spans="2:15" x14ac:dyDescent="0.3">
      <c r="B132" s="4">
        <v>8</v>
      </c>
      <c r="C132" t="s">
        <v>46</v>
      </c>
      <c r="D132" t="s">
        <v>47</v>
      </c>
      <c r="E132" t="s">
        <v>11</v>
      </c>
      <c r="F132">
        <v>8</v>
      </c>
      <c r="G132" t="s">
        <v>57</v>
      </c>
      <c r="H132">
        <v>10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  <c r="O132" s="5" t="s">
        <v>18</v>
      </c>
    </row>
    <row r="133" spans="2:15" x14ac:dyDescent="0.3">
      <c r="B133" s="4">
        <v>1584</v>
      </c>
      <c r="C133" t="s">
        <v>14</v>
      </c>
      <c r="D133" t="s">
        <v>15</v>
      </c>
      <c r="E133" t="s">
        <v>11</v>
      </c>
      <c r="F133">
        <v>8</v>
      </c>
      <c r="G133" t="s">
        <v>57</v>
      </c>
      <c r="H133">
        <v>10</v>
      </c>
      <c r="I133" t="s">
        <v>52</v>
      </c>
      <c r="J133" t="s">
        <v>17</v>
      </c>
      <c r="K133" t="s">
        <v>17</v>
      </c>
      <c r="L133" t="s">
        <v>52</v>
      </c>
      <c r="M133" t="s">
        <v>34</v>
      </c>
      <c r="N133" t="s">
        <v>35</v>
      </c>
      <c r="O133" s="5"/>
    </row>
    <row r="134" spans="2:15" x14ac:dyDescent="0.3">
      <c r="B134" s="4">
        <v>2741</v>
      </c>
      <c r="C134" t="s">
        <v>70</v>
      </c>
      <c r="D134" t="s">
        <v>71</v>
      </c>
      <c r="E134" t="s">
        <v>11</v>
      </c>
      <c r="F134">
        <v>8</v>
      </c>
      <c r="G134" t="s">
        <v>88</v>
      </c>
      <c r="H134">
        <v>12</v>
      </c>
      <c r="L134" t="s">
        <v>18</v>
      </c>
      <c r="M134" t="s">
        <v>17</v>
      </c>
      <c r="O134" s="5"/>
    </row>
    <row r="135" spans="2:15" x14ac:dyDescent="0.3">
      <c r="B135" s="4">
        <v>1654</v>
      </c>
      <c r="C135" t="s">
        <v>9</v>
      </c>
      <c r="D135" t="s">
        <v>10</v>
      </c>
      <c r="E135" t="s">
        <v>11</v>
      </c>
      <c r="F135">
        <v>8</v>
      </c>
      <c r="G135" t="s">
        <v>88</v>
      </c>
      <c r="H135">
        <v>12</v>
      </c>
      <c r="L135" t="s">
        <v>13</v>
      </c>
      <c r="M135" t="s">
        <v>18</v>
      </c>
      <c r="N135" t="s">
        <v>17</v>
      </c>
      <c r="O135" s="5" t="s">
        <v>18</v>
      </c>
    </row>
    <row r="136" spans="2:15" x14ac:dyDescent="0.3">
      <c r="B136" s="4">
        <v>886</v>
      </c>
      <c r="C136" t="s">
        <v>36</v>
      </c>
      <c r="D136" t="s">
        <v>37</v>
      </c>
      <c r="E136" t="s">
        <v>11</v>
      </c>
      <c r="F136">
        <v>8</v>
      </c>
      <c r="G136" t="s">
        <v>16</v>
      </c>
      <c r="H136">
        <v>6</v>
      </c>
      <c r="I136" t="s">
        <v>18</v>
      </c>
      <c r="J136" t="s">
        <v>18</v>
      </c>
      <c r="K136" t="s">
        <v>18</v>
      </c>
      <c r="L136" t="s">
        <v>18</v>
      </c>
      <c r="M136" t="s">
        <v>19</v>
      </c>
      <c r="N136" t="s">
        <v>17</v>
      </c>
      <c r="O136" s="5" t="s">
        <v>19</v>
      </c>
    </row>
    <row r="137" spans="2:15" x14ac:dyDescent="0.3">
      <c r="B137" s="4">
        <v>600</v>
      </c>
      <c r="C137" t="s">
        <v>14</v>
      </c>
      <c r="D137" t="s">
        <v>15</v>
      </c>
      <c r="E137" t="s">
        <v>11</v>
      </c>
      <c r="F137">
        <v>8</v>
      </c>
      <c r="G137" t="s">
        <v>16</v>
      </c>
      <c r="H137">
        <v>6</v>
      </c>
      <c r="I137" t="s">
        <v>33</v>
      </c>
      <c r="J137" t="s">
        <v>34</v>
      </c>
      <c r="K137" t="s">
        <v>35</v>
      </c>
      <c r="O137" s="5"/>
    </row>
    <row r="138" spans="2:15" x14ac:dyDescent="0.3">
      <c r="B138" s="4">
        <v>14</v>
      </c>
      <c r="C138" t="s">
        <v>84</v>
      </c>
      <c r="D138" t="s">
        <v>85</v>
      </c>
      <c r="E138" t="s">
        <v>86</v>
      </c>
      <c r="F138">
        <v>12</v>
      </c>
      <c r="G138" t="s">
        <v>40</v>
      </c>
      <c r="H138">
        <v>3</v>
      </c>
      <c r="J138" t="s">
        <v>52</v>
      </c>
      <c r="K138" t="s">
        <v>52</v>
      </c>
      <c r="O138" s="5"/>
    </row>
    <row r="139" spans="2:15" x14ac:dyDescent="0.3">
      <c r="B139" s="4">
        <v>442</v>
      </c>
      <c r="C139" t="s">
        <v>36</v>
      </c>
      <c r="D139" t="s">
        <v>37</v>
      </c>
      <c r="E139" t="s">
        <v>11</v>
      </c>
      <c r="F139">
        <v>8</v>
      </c>
      <c r="G139" t="s">
        <v>87</v>
      </c>
      <c r="H139">
        <v>9</v>
      </c>
      <c r="J139" t="s">
        <v>13</v>
      </c>
      <c r="K139" t="s">
        <v>13</v>
      </c>
      <c r="L139" t="s">
        <v>13</v>
      </c>
      <c r="M139" t="s">
        <v>13</v>
      </c>
      <c r="N139" t="s">
        <v>13</v>
      </c>
      <c r="O139" s="5" t="s">
        <v>18</v>
      </c>
    </row>
    <row r="140" spans="2:15" x14ac:dyDescent="0.3">
      <c r="B140" s="4">
        <v>1255</v>
      </c>
      <c r="C140" t="s">
        <v>84</v>
      </c>
      <c r="D140" t="s">
        <v>85</v>
      </c>
      <c r="E140" t="s">
        <v>86</v>
      </c>
      <c r="F140">
        <v>12</v>
      </c>
      <c r="G140" t="s">
        <v>87</v>
      </c>
      <c r="H140">
        <v>9</v>
      </c>
      <c r="M140" t="s">
        <v>17</v>
      </c>
      <c r="N140" t="s">
        <v>18</v>
      </c>
      <c r="O140" s="5" t="s">
        <v>17</v>
      </c>
    </row>
    <row r="141" spans="2:15" x14ac:dyDescent="0.3">
      <c r="B141" s="4">
        <v>783</v>
      </c>
      <c r="C141" t="s">
        <v>14</v>
      </c>
      <c r="D141" t="s">
        <v>15</v>
      </c>
      <c r="E141" t="s">
        <v>11</v>
      </c>
      <c r="F141">
        <v>8</v>
      </c>
      <c r="G141" t="s">
        <v>26</v>
      </c>
      <c r="H141">
        <v>4</v>
      </c>
      <c r="N141" t="s">
        <v>18</v>
      </c>
      <c r="O141" s="5" t="s">
        <v>13</v>
      </c>
    </row>
    <row r="142" spans="2:15" x14ac:dyDescent="0.3">
      <c r="B142" s="4">
        <v>194</v>
      </c>
      <c r="C142" t="s">
        <v>14</v>
      </c>
      <c r="D142" t="s">
        <v>15</v>
      </c>
      <c r="E142" t="s">
        <v>11</v>
      </c>
      <c r="F142">
        <v>8</v>
      </c>
      <c r="G142" t="s">
        <v>26</v>
      </c>
      <c r="H142">
        <v>4</v>
      </c>
      <c r="M142" t="s">
        <v>13</v>
      </c>
      <c r="N142" t="s">
        <v>17</v>
      </c>
      <c r="O142" s="5" t="s">
        <v>13</v>
      </c>
    </row>
    <row r="143" spans="2:15" x14ac:dyDescent="0.3">
      <c r="B143" s="4">
        <v>592</v>
      </c>
      <c r="C143" t="s">
        <v>46</v>
      </c>
      <c r="D143" t="s">
        <v>47</v>
      </c>
      <c r="E143" t="s">
        <v>11</v>
      </c>
      <c r="F143">
        <v>8</v>
      </c>
      <c r="G143" t="s">
        <v>12</v>
      </c>
      <c r="H143">
        <v>7</v>
      </c>
      <c r="L143" t="s">
        <v>18</v>
      </c>
      <c r="M143" t="s">
        <v>13</v>
      </c>
      <c r="N143" t="s">
        <v>18</v>
      </c>
      <c r="O143" s="5" t="s">
        <v>18</v>
      </c>
    </row>
    <row r="144" spans="2:15" x14ac:dyDescent="0.3">
      <c r="B144" s="4">
        <v>2026</v>
      </c>
      <c r="C144" t="s">
        <v>14</v>
      </c>
      <c r="D144" t="s">
        <v>15</v>
      </c>
      <c r="E144" t="s">
        <v>11</v>
      </c>
      <c r="F144">
        <v>8</v>
      </c>
      <c r="G144" t="s">
        <v>30</v>
      </c>
      <c r="H144">
        <v>18</v>
      </c>
      <c r="M144" t="s">
        <v>17</v>
      </c>
      <c r="N144" t="s">
        <v>17</v>
      </c>
      <c r="O144" s="5"/>
    </row>
    <row r="145" spans="2:15" x14ac:dyDescent="0.3">
      <c r="B145" s="4">
        <v>604</v>
      </c>
      <c r="C145" t="s">
        <v>94</v>
      </c>
      <c r="D145" t="s">
        <v>95</v>
      </c>
      <c r="E145" t="s">
        <v>96</v>
      </c>
      <c r="F145">
        <v>13</v>
      </c>
      <c r="G145" t="s">
        <v>30</v>
      </c>
      <c r="H145">
        <v>18</v>
      </c>
      <c r="N145" t="s">
        <v>17</v>
      </c>
      <c r="O145" s="5" t="s">
        <v>18</v>
      </c>
    </row>
    <row r="146" spans="2:15" x14ac:dyDescent="0.3">
      <c r="B146" s="4">
        <v>48</v>
      </c>
      <c r="C146" t="s">
        <v>49</v>
      </c>
      <c r="D146" t="s">
        <v>50</v>
      </c>
      <c r="E146" t="s">
        <v>51</v>
      </c>
      <c r="F146">
        <v>3</v>
      </c>
      <c r="G146" t="s">
        <v>30</v>
      </c>
      <c r="H146">
        <v>18</v>
      </c>
      <c r="M146" t="s">
        <v>18</v>
      </c>
      <c r="N146" t="s">
        <v>18</v>
      </c>
      <c r="O146" s="5" t="s">
        <v>17</v>
      </c>
    </row>
    <row r="147" spans="2:15" x14ac:dyDescent="0.3">
      <c r="B147" s="4">
        <v>145</v>
      </c>
      <c r="C147" t="s">
        <v>14</v>
      </c>
      <c r="D147" t="s">
        <v>15</v>
      </c>
      <c r="E147" t="s">
        <v>11</v>
      </c>
      <c r="F147">
        <v>8</v>
      </c>
      <c r="G147" t="s">
        <v>54</v>
      </c>
      <c r="H147">
        <v>8</v>
      </c>
      <c r="L147" t="s">
        <v>19</v>
      </c>
      <c r="M147" t="s">
        <v>13</v>
      </c>
      <c r="N147" t="s">
        <v>18</v>
      </c>
      <c r="O147" s="5" t="s">
        <v>17</v>
      </c>
    </row>
    <row r="148" spans="2:15" x14ac:dyDescent="0.3">
      <c r="B148" s="4">
        <v>23</v>
      </c>
      <c r="C148" t="s">
        <v>27</v>
      </c>
      <c r="D148" t="s">
        <v>28</v>
      </c>
      <c r="E148" t="s">
        <v>29</v>
      </c>
      <c r="F148">
        <v>6</v>
      </c>
      <c r="G148" t="s">
        <v>55</v>
      </c>
      <c r="H148">
        <v>2</v>
      </c>
      <c r="M148" t="s">
        <v>13</v>
      </c>
      <c r="N148" t="s">
        <v>18</v>
      </c>
      <c r="O148" s="5" t="s">
        <v>18</v>
      </c>
    </row>
    <row r="149" spans="2:15" x14ac:dyDescent="0.3">
      <c r="B149" s="4">
        <v>465</v>
      </c>
      <c r="C149" t="s">
        <v>46</v>
      </c>
      <c r="D149" t="s">
        <v>47</v>
      </c>
      <c r="E149" t="s">
        <v>11</v>
      </c>
      <c r="F149">
        <v>8</v>
      </c>
      <c r="G149" t="s">
        <v>55</v>
      </c>
      <c r="H149">
        <v>2</v>
      </c>
      <c r="L149" t="s">
        <v>13</v>
      </c>
      <c r="M149" t="s">
        <v>13</v>
      </c>
      <c r="O149" s="5"/>
    </row>
    <row r="150" spans="2:15" x14ac:dyDescent="0.3">
      <c r="B150" s="4">
        <v>1293</v>
      </c>
      <c r="C150" t="s">
        <v>14</v>
      </c>
      <c r="D150" t="s">
        <v>15</v>
      </c>
      <c r="E150" t="s">
        <v>11</v>
      </c>
      <c r="F150">
        <v>8</v>
      </c>
      <c r="G150" t="s">
        <v>58</v>
      </c>
      <c r="H150">
        <v>17</v>
      </c>
      <c r="L150" t="s">
        <v>13</v>
      </c>
      <c r="M150" t="s">
        <v>18</v>
      </c>
      <c r="N150" t="s">
        <v>18</v>
      </c>
      <c r="O150" s="5" t="s">
        <v>13</v>
      </c>
    </row>
    <row r="151" spans="2:15" x14ac:dyDescent="0.3">
      <c r="B151" s="4">
        <v>775</v>
      </c>
      <c r="C151" t="s">
        <v>84</v>
      </c>
      <c r="D151" t="s">
        <v>85</v>
      </c>
      <c r="E151" t="s">
        <v>86</v>
      </c>
      <c r="F151">
        <v>12</v>
      </c>
      <c r="G151" t="s">
        <v>58</v>
      </c>
      <c r="H151">
        <v>17</v>
      </c>
      <c r="N151" t="s">
        <v>19</v>
      </c>
      <c r="O151" s="5" t="s">
        <v>17</v>
      </c>
    </row>
    <row r="152" spans="2:15" x14ac:dyDescent="0.3">
      <c r="B152" s="4">
        <v>202</v>
      </c>
      <c r="C152" t="s">
        <v>14</v>
      </c>
      <c r="D152" t="s">
        <v>15</v>
      </c>
      <c r="E152" t="s">
        <v>11</v>
      </c>
      <c r="F152">
        <v>8</v>
      </c>
      <c r="G152" t="s">
        <v>58</v>
      </c>
      <c r="H152">
        <v>17</v>
      </c>
      <c r="I152" t="s">
        <v>13</v>
      </c>
      <c r="J152" t="s">
        <v>13</v>
      </c>
      <c r="K152" t="s">
        <v>17</v>
      </c>
      <c r="L152" t="s">
        <v>18</v>
      </c>
      <c r="M152" t="s">
        <v>18</v>
      </c>
      <c r="N152" t="s">
        <v>19</v>
      </c>
      <c r="O152" s="5" t="s">
        <v>19</v>
      </c>
    </row>
    <row r="153" spans="2:15" x14ac:dyDescent="0.3">
      <c r="B153" s="4">
        <v>196</v>
      </c>
      <c r="C153" t="s">
        <v>14</v>
      </c>
      <c r="D153" t="s">
        <v>15</v>
      </c>
      <c r="E153" t="s">
        <v>11</v>
      </c>
      <c r="F153">
        <v>8</v>
      </c>
      <c r="G153" t="s">
        <v>58</v>
      </c>
      <c r="H153">
        <v>17</v>
      </c>
      <c r="J153" t="s">
        <v>18</v>
      </c>
      <c r="K153" t="s">
        <v>17</v>
      </c>
      <c r="L153" t="s">
        <v>17</v>
      </c>
      <c r="O153" s="5"/>
    </row>
    <row r="154" spans="2:15" x14ac:dyDescent="0.3">
      <c r="B154" s="4">
        <v>205</v>
      </c>
      <c r="C154" t="s">
        <v>14</v>
      </c>
      <c r="D154" t="s">
        <v>15</v>
      </c>
      <c r="E154" t="s">
        <v>11</v>
      </c>
      <c r="F154">
        <v>8</v>
      </c>
      <c r="G154" t="s">
        <v>55</v>
      </c>
      <c r="H154">
        <v>2</v>
      </c>
      <c r="J154" t="s">
        <v>13</v>
      </c>
      <c r="K154" t="s">
        <v>17</v>
      </c>
      <c r="L154" t="s">
        <v>17</v>
      </c>
      <c r="M154" t="s">
        <v>18</v>
      </c>
      <c r="O154" s="5"/>
    </row>
    <row r="155" spans="2:15" x14ac:dyDescent="0.3">
      <c r="B155" s="4">
        <v>219</v>
      </c>
      <c r="C155" t="s">
        <v>78</v>
      </c>
      <c r="D155" t="s">
        <v>79</v>
      </c>
      <c r="E155" t="s">
        <v>80</v>
      </c>
      <c r="F155">
        <v>10</v>
      </c>
      <c r="G155" t="s">
        <v>55</v>
      </c>
      <c r="H155">
        <v>2</v>
      </c>
      <c r="L155" t="s">
        <v>17</v>
      </c>
      <c r="M155" t="s">
        <v>13</v>
      </c>
      <c r="N155" t="s">
        <v>13</v>
      </c>
      <c r="O155" s="5"/>
    </row>
    <row r="156" spans="2:15" x14ac:dyDescent="0.3">
      <c r="B156" s="4">
        <v>22</v>
      </c>
      <c r="C156" t="s">
        <v>63</v>
      </c>
      <c r="D156" t="s">
        <v>64</v>
      </c>
      <c r="E156" t="s">
        <v>65</v>
      </c>
      <c r="F156">
        <v>14</v>
      </c>
      <c r="G156" t="s">
        <v>66</v>
      </c>
      <c r="H156">
        <v>5</v>
      </c>
      <c r="K156" t="s">
        <v>18</v>
      </c>
      <c r="L156" t="s">
        <v>18</v>
      </c>
      <c r="M156" t="s">
        <v>18</v>
      </c>
      <c r="N156" t="s">
        <v>13</v>
      </c>
      <c r="O156" s="5" t="s">
        <v>17</v>
      </c>
    </row>
    <row r="157" spans="2:15" x14ac:dyDescent="0.3">
      <c r="B157" s="4">
        <v>1579</v>
      </c>
      <c r="C157" t="s">
        <v>23</v>
      </c>
      <c r="D157" t="s">
        <v>24</v>
      </c>
      <c r="E157" t="s">
        <v>25</v>
      </c>
      <c r="F157">
        <v>1</v>
      </c>
      <c r="G157" t="s">
        <v>66</v>
      </c>
      <c r="H157">
        <v>5</v>
      </c>
      <c r="M157" t="s">
        <v>13</v>
      </c>
      <c r="N157" t="s">
        <v>18</v>
      </c>
      <c r="O157" s="5" t="s">
        <v>13</v>
      </c>
    </row>
    <row r="158" spans="2:15" x14ac:dyDescent="0.3">
      <c r="B158" s="4">
        <v>1191</v>
      </c>
      <c r="C158" t="s">
        <v>23</v>
      </c>
      <c r="D158" t="s">
        <v>24</v>
      </c>
      <c r="E158" t="s">
        <v>25</v>
      </c>
      <c r="F158">
        <v>1</v>
      </c>
      <c r="G158" t="s">
        <v>89</v>
      </c>
      <c r="H158">
        <v>11</v>
      </c>
      <c r="K158" t="s">
        <v>13</v>
      </c>
      <c r="L158" t="s">
        <v>13</v>
      </c>
      <c r="M158" t="s">
        <v>13</v>
      </c>
      <c r="N158" t="s">
        <v>13</v>
      </c>
      <c r="O158" s="5" t="s">
        <v>13</v>
      </c>
    </row>
    <row r="159" spans="2:15" x14ac:dyDescent="0.3">
      <c r="B159" s="4">
        <v>5</v>
      </c>
      <c r="C159" t="s">
        <v>31</v>
      </c>
      <c r="D159" t="s">
        <v>32</v>
      </c>
      <c r="E159" t="s">
        <v>11</v>
      </c>
      <c r="F159">
        <v>8</v>
      </c>
      <c r="G159" t="s">
        <v>89</v>
      </c>
      <c r="H159">
        <v>11</v>
      </c>
      <c r="I159" t="s">
        <v>13</v>
      </c>
      <c r="J159" t="s">
        <v>17</v>
      </c>
      <c r="K159" t="s">
        <v>13</v>
      </c>
      <c r="O159" s="5"/>
    </row>
    <row r="160" spans="2:15" x14ac:dyDescent="0.3">
      <c r="B160" s="4">
        <v>1273</v>
      </c>
      <c r="C160" t="s">
        <v>84</v>
      </c>
      <c r="D160" t="s">
        <v>85</v>
      </c>
      <c r="E160" t="s">
        <v>86</v>
      </c>
      <c r="F160">
        <v>12</v>
      </c>
      <c r="G160" t="s">
        <v>89</v>
      </c>
      <c r="H160">
        <v>11</v>
      </c>
      <c r="M160" t="s">
        <v>18</v>
      </c>
      <c r="N160" t="s">
        <v>19</v>
      </c>
      <c r="O160" s="5" t="s">
        <v>17</v>
      </c>
    </row>
    <row r="161" spans="2:15" x14ac:dyDescent="0.3">
      <c r="B161" s="4">
        <v>829</v>
      </c>
      <c r="C161" t="s">
        <v>43</v>
      </c>
      <c r="D161" t="s">
        <v>44</v>
      </c>
      <c r="E161" t="s">
        <v>45</v>
      </c>
      <c r="F161">
        <v>5</v>
      </c>
      <c r="G161" t="s">
        <v>12</v>
      </c>
      <c r="H161">
        <v>7</v>
      </c>
      <c r="M161" t="s">
        <v>13</v>
      </c>
      <c r="N161" t="s">
        <v>13</v>
      </c>
      <c r="O161" s="5" t="s">
        <v>13</v>
      </c>
    </row>
    <row r="162" spans="2:15" x14ac:dyDescent="0.3">
      <c r="B162" s="4">
        <v>2552</v>
      </c>
      <c r="C162" t="s">
        <v>14</v>
      </c>
      <c r="D162" t="s">
        <v>15</v>
      </c>
      <c r="E162" t="s">
        <v>11</v>
      </c>
      <c r="F162">
        <v>8</v>
      </c>
      <c r="G162" t="s">
        <v>22</v>
      </c>
      <c r="H162">
        <v>1</v>
      </c>
      <c r="J162" t="s">
        <v>17</v>
      </c>
      <c r="K162" t="s">
        <v>19</v>
      </c>
      <c r="O162" s="5"/>
    </row>
    <row r="163" spans="2:15" x14ac:dyDescent="0.3">
      <c r="B163" s="4">
        <v>2607</v>
      </c>
      <c r="C163" t="s">
        <v>14</v>
      </c>
      <c r="D163" t="s">
        <v>15</v>
      </c>
      <c r="E163" t="s">
        <v>11</v>
      </c>
      <c r="F163">
        <v>8</v>
      </c>
      <c r="G163" t="s">
        <v>58</v>
      </c>
      <c r="H163">
        <v>17</v>
      </c>
      <c r="J163" t="s">
        <v>13</v>
      </c>
      <c r="K163" t="s">
        <v>13</v>
      </c>
      <c r="L163" t="s">
        <v>13</v>
      </c>
      <c r="M163" t="s">
        <v>18</v>
      </c>
      <c r="N163" t="s">
        <v>19</v>
      </c>
      <c r="O163" s="5" t="s">
        <v>52</v>
      </c>
    </row>
    <row r="164" spans="2:15" x14ac:dyDescent="0.3">
      <c r="B164" s="4">
        <v>2554</v>
      </c>
      <c r="C164" t="s">
        <v>14</v>
      </c>
      <c r="D164" t="s">
        <v>15</v>
      </c>
      <c r="E164" t="s">
        <v>11</v>
      </c>
      <c r="F164">
        <v>8</v>
      </c>
      <c r="G164" t="s">
        <v>54</v>
      </c>
      <c r="H164">
        <v>8</v>
      </c>
      <c r="J164" t="s">
        <v>17</v>
      </c>
      <c r="K164" t="s">
        <v>19</v>
      </c>
      <c r="L164" t="s">
        <v>17</v>
      </c>
      <c r="M164" t="s">
        <v>17</v>
      </c>
      <c r="O164" s="5"/>
    </row>
    <row r="165" spans="2:15" x14ac:dyDescent="0.3">
      <c r="B165" s="4">
        <v>918</v>
      </c>
      <c r="C165" t="s">
        <v>43</v>
      </c>
      <c r="D165" t="s">
        <v>44</v>
      </c>
      <c r="E165" t="s">
        <v>45</v>
      </c>
      <c r="F165">
        <v>5</v>
      </c>
      <c r="G165" t="s">
        <v>40</v>
      </c>
      <c r="H165">
        <v>3</v>
      </c>
      <c r="K165" t="s">
        <v>17</v>
      </c>
      <c r="L165" t="s">
        <v>18</v>
      </c>
      <c r="M165" t="s">
        <v>13</v>
      </c>
      <c r="N165" t="s">
        <v>19</v>
      </c>
      <c r="O165" s="5" t="s">
        <v>52</v>
      </c>
    </row>
    <row r="166" spans="2:15" x14ac:dyDescent="0.3">
      <c r="B166" s="4">
        <v>1790</v>
      </c>
      <c r="C166" t="s">
        <v>20</v>
      </c>
      <c r="D166" t="s">
        <v>21</v>
      </c>
      <c r="E166" t="s">
        <v>11</v>
      </c>
      <c r="F166">
        <v>8</v>
      </c>
      <c r="G166" t="s">
        <v>22</v>
      </c>
      <c r="H166">
        <v>1</v>
      </c>
      <c r="L166" t="s">
        <v>18</v>
      </c>
      <c r="M166" t="s">
        <v>18</v>
      </c>
      <c r="N166" t="s">
        <v>13</v>
      </c>
      <c r="O166" s="5" t="s">
        <v>18</v>
      </c>
    </row>
    <row r="167" spans="2:15" x14ac:dyDescent="0.3">
      <c r="B167" s="4">
        <v>1000</v>
      </c>
      <c r="C167" t="s">
        <v>72</v>
      </c>
      <c r="D167" t="s">
        <v>73</v>
      </c>
      <c r="E167" t="s">
        <v>11</v>
      </c>
      <c r="F167">
        <v>8</v>
      </c>
      <c r="G167" t="s">
        <v>22</v>
      </c>
      <c r="H167">
        <v>1</v>
      </c>
      <c r="I167" t="s">
        <v>34</v>
      </c>
      <c r="J167" t="s">
        <v>34</v>
      </c>
      <c r="K167" t="s">
        <v>35</v>
      </c>
      <c r="O167" s="5"/>
    </row>
    <row r="168" spans="2:15" x14ac:dyDescent="0.3">
      <c r="B168" s="4">
        <v>1341</v>
      </c>
      <c r="C168" t="s">
        <v>46</v>
      </c>
      <c r="D168" t="s">
        <v>47</v>
      </c>
      <c r="E168" t="s">
        <v>11</v>
      </c>
      <c r="F168">
        <v>8</v>
      </c>
      <c r="G168" t="s">
        <v>30</v>
      </c>
      <c r="H168">
        <v>18</v>
      </c>
      <c r="N168" t="s">
        <v>17</v>
      </c>
      <c r="O168" s="5" t="s">
        <v>17</v>
      </c>
    </row>
    <row r="169" spans="2:15" x14ac:dyDescent="0.3">
      <c r="B169" s="4">
        <v>44</v>
      </c>
      <c r="C169" t="s">
        <v>97</v>
      </c>
      <c r="D169" t="s">
        <v>79</v>
      </c>
      <c r="E169" t="s">
        <v>80</v>
      </c>
      <c r="F169">
        <v>10</v>
      </c>
      <c r="G169" t="s">
        <v>55</v>
      </c>
      <c r="H169">
        <v>2</v>
      </c>
      <c r="I169" t="s">
        <v>52</v>
      </c>
      <c r="J169" t="s">
        <v>18</v>
      </c>
      <c r="K169" t="s">
        <v>17</v>
      </c>
      <c r="L169" t="s">
        <v>17</v>
      </c>
      <c r="M169" t="s">
        <v>17</v>
      </c>
      <c r="N169" t="s">
        <v>17</v>
      </c>
      <c r="O169" s="5"/>
    </row>
    <row r="170" spans="2:15" x14ac:dyDescent="0.3">
      <c r="B170" s="4">
        <v>1853</v>
      </c>
      <c r="C170" t="s">
        <v>84</v>
      </c>
      <c r="D170" t="s">
        <v>85</v>
      </c>
      <c r="E170" t="s">
        <v>86</v>
      </c>
      <c r="F170">
        <v>12</v>
      </c>
      <c r="G170" t="s">
        <v>54</v>
      </c>
      <c r="H170">
        <v>8</v>
      </c>
      <c r="L170" t="s">
        <v>13</v>
      </c>
      <c r="M170" t="s">
        <v>13</v>
      </c>
      <c r="O170" s="5"/>
    </row>
    <row r="171" spans="2:15" x14ac:dyDescent="0.3">
      <c r="B171" s="4">
        <v>11</v>
      </c>
      <c r="C171" t="s">
        <v>46</v>
      </c>
      <c r="D171" t="s">
        <v>47</v>
      </c>
      <c r="E171" t="s">
        <v>11</v>
      </c>
      <c r="F171">
        <v>8</v>
      </c>
      <c r="G171" t="s">
        <v>16</v>
      </c>
      <c r="H171">
        <v>6</v>
      </c>
      <c r="K171" t="s">
        <v>19</v>
      </c>
      <c r="L171" t="s">
        <v>17</v>
      </c>
      <c r="O171" s="5"/>
    </row>
    <row r="172" spans="2:15" x14ac:dyDescent="0.3">
      <c r="B172" s="4">
        <v>1430</v>
      </c>
      <c r="C172" t="s">
        <v>49</v>
      </c>
      <c r="D172" t="s">
        <v>50</v>
      </c>
      <c r="E172" t="s">
        <v>51</v>
      </c>
      <c r="F172">
        <v>3</v>
      </c>
      <c r="G172" t="s">
        <v>22</v>
      </c>
      <c r="H172">
        <v>1</v>
      </c>
      <c r="M172" t="s">
        <v>18</v>
      </c>
      <c r="N172" t="s">
        <v>18</v>
      </c>
      <c r="O172" s="5" t="s">
        <v>18</v>
      </c>
    </row>
    <row r="173" spans="2:15" x14ac:dyDescent="0.3">
      <c r="B173" s="4">
        <v>1126</v>
      </c>
      <c r="C173" t="s">
        <v>43</v>
      </c>
      <c r="D173" t="s">
        <v>44</v>
      </c>
      <c r="E173" t="s">
        <v>45</v>
      </c>
      <c r="F173">
        <v>5</v>
      </c>
      <c r="G173" t="s">
        <v>30</v>
      </c>
      <c r="H173">
        <v>18</v>
      </c>
      <c r="N173" t="s">
        <v>52</v>
      </c>
      <c r="O173" s="5" t="s">
        <v>19</v>
      </c>
    </row>
    <row r="174" spans="2:15" x14ac:dyDescent="0.3">
      <c r="B174" s="4">
        <v>42</v>
      </c>
      <c r="C174" t="s">
        <v>46</v>
      </c>
      <c r="D174" t="s">
        <v>47</v>
      </c>
      <c r="E174" t="s">
        <v>11</v>
      </c>
      <c r="F174">
        <v>8</v>
      </c>
      <c r="G174" t="s">
        <v>74</v>
      </c>
      <c r="H174">
        <v>15</v>
      </c>
      <c r="L174" t="s">
        <v>18</v>
      </c>
      <c r="M174" t="s">
        <v>18</v>
      </c>
      <c r="O174" s="5"/>
    </row>
    <row r="175" spans="2:15" x14ac:dyDescent="0.3">
      <c r="B175" s="4">
        <v>1201</v>
      </c>
      <c r="C175" t="s">
        <v>27</v>
      </c>
      <c r="D175" t="s">
        <v>28</v>
      </c>
      <c r="E175" t="s">
        <v>29</v>
      </c>
      <c r="F175">
        <v>6</v>
      </c>
      <c r="G175" t="s">
        <v>22</v>
      </c>
      <c r="H175">
        <v>1</v>
      </c>
      <c r="N175" t="s">
        <v>18</v>
      </c>
      <c r="O175" s="5" t="s">
        <v>18</v>
      </c>
    </row>
    <row r="176" spans="2:15" x14ac:dyDescent="0.3">
      <c r="B176" s="4">
        <v>341</v>
      </c>
      <c r="C176" t="s">
        <v>27</v>
      </c>
      <c r="D176" t="s">
        <v>28</v>
      </c>
      <c r="E176" t="s">
        <v>29</v>
      </c>
      <c r="F176">
        <v>6</v>
      </c>
      <c r="G176" t="s">
        <v>58</v>
      </c>
      <c r="H176">
        <v>17</v>
      </c>
      <c r="I176" t="s">
        <v>19</v>
      </c>
      <c r="J176" t="s">
        <v>17</v>
      </c>
      <c r="K176" t="s">
        <v>17</v>
      </c>
      <c r="L176" t="s">
        <v>17</v>
      </c>
      <c r="M176" t="s">
        <v>17</v>
      </c>
      <c r="N176" t="s">
        <v>17</v>
      </c>
      <c r="O176" s="5" t="s">
        <v>18</v>
      </c>
    </row>
    <row r="177" spans="2:15" x14ac:dyDescent="0.3">
      <c r="B177" s="4">
        <v>2081</v>
      </c>
      <c r="C177" t="s">
        <v>31</v>
      </c>
      <c r="D177" t="s">
        <v>32</v>
      </c>
      <c r="E177" t="s">
        <v>11</v>
      </c>
      <c r="F177">
        <v>8</v>
      </c>
      <c r="G177" t="s">
        <v>54</v>
      </c>
      <c r="H177">
        <v>8</v>
      </c>
      <c r="M177" t="s">
        <v>13</v>
      </c>
      <c r="N177" t="s">
        <v>34</v>
      </c>
      <c r="O177" s="5" t="s">
        <v>35</v>
      </c>
    </row>
    <row r="178" spans="2:15" x14ac:dyDescent="0.3">
      <c r="B178" s="4">
        <v>372</v>
      </c>
      <c r="C178" t="s">
        <v>46</v>
      </c>
      <c r="D178" t="s">
        <v>47</v>
      </c>
      <c r="E178" t="s">
        <v>11</v>
      </c>
      <c r="F178">
        <v>8</v>
      </c>
      <c r="G178" t="s">
        <v>40</v>
      </c>
      <c r="H178">
        <v>3</v>
      </c>
      <c r="J178" t="s">
        <v>13</v>
      </c>
      <c r="K178" t="s">
        <v>13</v>
      </c>
      <c r="L178" t="s">
        <v>13</v>
      </c>
      <c r="M178" t="s">
        <v>13</v>
      </c>
      <c r="N178" t="s">
        <v>17</v>
      </c>
      <c r="O178" s="5" t="s">
        <v>17</v>
      </c>
    </row>
    <row r="179" spans="2:15" x14ac:dyDescent="0.3">
      <c r="B179" s="4">
        <v>1001</v>
      </c>
      <c r="C179" t="s">
        <v>46</v>
      </c>
      <c r="D179" t="s">
        <v>47</v>
      </c>
      <c r="E179" t="s">
        <v>11</v>
      </c>
      <c r="F179">
        <v>8</v>
      </c>
      <c r="G179" t="s">
        <v>22</v>
      </c>
      <c r="H179">
        <v>1</v>
      </c>
      <c r="I179" t="s">
        <v>17</v>
      </c>
      <c r="J179" t="s">
        <v>17</v>
      </c>
      <c r="K179" t="s">
        <v>19</v>
      </c>
      <c r="L179" t="s">
        <v>17</v>
      </c>
      <c r="M179" t="s">
        <v>17</v>
      </c>
      <c r="N179" t="s">
        <v>17</v>
      </c>
      <c r="O179" s="5" t="s">
        <v>17</v>
      </c>
    </row>
    <row r="180" spans="2:15" x14ac:dyDescent="0.3">
      <c r="B180" s="4">
        <v>390</v>
      </c>
      <c r="C180" t="s">
        <v>14</v>
      </c>
      <c r="D180" t="s">
        <v>15</v>
      </c>
      <c r="E180" t="s">
        <v>11</v>
      </c>
      <c r="F180">
        <v>8</v>
      </c>
      <c r="G180" t="s">
        <v>22</v>
      </c>
      <c r="H180">
        <v>1</v>
      </c>
      <c r="N180" t="s">
        <v>13</v>
      </c>
      <c r="O180" s="5" t="s">
        <v>13</v>
      </c>
    </row>
    <row r="181" spans="2:15" x14ac:dyDescent="0.3">
      <c r="B181" s="4">
        <v>10</v>
      </c>
      <c r="C181" t="s">
        <v>14</v>
      </c>
      <c r="D181" t="s">
        <v>15</v>
      </c>
      <c r="E181" t="s">
        <v>11</v>
      </c>
      <c r="F181">
        <v>8</v>
      </c>
      <c r="G181" t="s">
        <v>30</v>
      </c>
      <c r="H181">
        <v>18</v>
      </c>
      <c r="I181" t="s">
        <v>18</v>
      </c>
      <c r="J181" t="s">
        <v>17</v>
      </c>
      <c r="L181" t="s">
        <v>18</v>
      </c>
      <c r="M181" t="s">
        <v>18</v>
      </c>
      <c r="N181" t="s">
        <v>18</v>
      </c>
      <c r="O181" s="5" t="s">
        <v>18</v>
      </c>
    </row>
    <row r="182" spans="2:15" x14ac:dyDescent="0.3">
      <c r="B182" s="4">
        <v>1765</v>
      </c>
      <c r="C182" t="s">
        <v>20</v>
      </c>
      <c r="D182" t="s">
        <v>21</v>
      </c>
      <c r="E182" t="s">
        <v>11</v>
      </c>
      <c r="F182">
        <v>8</v>
      </c>
      <c r="G182" t="s">
        <v>55</v>
      </c>
      <c r="H182">
        <v>2</v>
      </c>
      <c r="N182" t="s">
        <v>18</v>
      </c>
      <c r="O182" s="5" t="s">
        <v>13</v>
      </c>
    </row>
    <row r="183" spans="2:15" x14ac:dyDescent="0.3">
      <c r="B183" s="4">
        <v>428</v>
      </c>
      <c r="C183" t="s">
        <v>97</v>
      </c>
      <c r="D183" t="s">
        <v>79</v>
      </c>
      <c r="E183" t="s">
        <v>80</v>
      </c>
      <c r="F183">
        <v>10</v>
      </c>
      <c r="G183" t="s">
        <v>54</v>
      </c>
      <c r="H183">
        <v>8</v>
      </c>
      <c r="K183" t="s">
        <v>13</v>
      </c>
      <c r="L183" t="s">
        <v>13</v>
      </c>
      <c r="O183" s="5"/>
    </row>
    <row r="184" spans="2:15" x14ac:dyDescent="0.3">
      <c r="B184" s="4">
        <v>448</v>
      </c>
      <c r="C184" t="s">
        <v>9</v>
      </c>
      <c r="D184" t="s">
        <v>10</v>
      </c>
      <c r="E184" t="s">
        <v>11</v>
      </c>
      <c r="F184">
        <v>8</v>
      </c>
      <c r="G184" t="s">
        <v>16</v>
      </c>
      <c r="H184">
        <v>6</v>
      </c>
      <c r="M184" t="s">
        <v>17</v>
      </c>
      <c r="N184" t="s">
        <v>19</v>
      </c>
      <c r="O184" s="5" t="s">
        <v>17</v>
      </c>
    </row>
    <row r="185" spans="2:15" x14ac:dyDescent="0.3">
      <c r="B185" s="4">
        <v>14</v>
      </c>
      <c r="C185" t="s">
        <v>98</v>
      </c>
      <c r="D185" t="s">
        <v>99</v>
      </c>
      <c r="E185" t="s">
        <v>77</v>
      </c>
      <c r="F185">
        <v>7</v>
      </c>
      <c r="G185" t="s">
        <v>22</v>
      </c>
      <c r="H185">
        <v>1</v>
      </c>
      <c r="J185" t="s">
        <v>18</v>
      </c>
      <c r="K185" t="s">
        <v>18</v>
      </c>
      <c r="O185" s="5"/>
    </row>
    <row r="186" spans="2:15" x14ac:dyDescent="0.3">
      <c r="B186" s="4">
        <v>10</v>
      </c>
      <c r="C186" t="s">
        <v>46</v>
      </c>
      <c r="D186" t="s">
        <v>47</v>
      </c>
      <c r="E186" t="s">
        <v>11</v>
      </c>
      <c r="F186">
        <v>8</v>
      </c>
      <c r="G186" t="s">
        <v>30</v>
      </c>
      <c r="H186">
        <v>18</v>
      </c>
      <c r="I186" t="s">
        <v>13</v>
      </c>
      <c r="J186" t="s">
        <v>13</v>
      </c>
      <c r="K186" t="s">
        <v>13</v>
      </c>
      <c r="L186" t="s">
        <v>13</v>
      </c>
      <c r="M186" t="s">
        <v>13</v>
      </c>
      <c r="N186" t="s">
        <v>13</v>
      </c>
      <c r="O186" s="5" t="s">
        <v>18</v>
      </c>
    </row>
    <row r="187" spans="2:15" x14ac:dyDescent="0.3">
      <c r="B187" s="4">
        <v>767</v>
      </c>
      <c r="C187" t="s">
        <v>27</v>
      </c>
      <c r="D187" t="s">
        <v>28</v>
      </c>
      <c r="E187" t="s">
        <v>29</v>
      </c>
      <c r="F187">
        <v>6</v>
      </c>
      <c r="G187" t="s">
        <v>74</v>
      </c>
      <c r="H187">
        <v>15</v>
      </c>
      <c r="K187" t="s">
        <v>13</v>
      </c>
      <c r="L187" t="s">
        <v>13</v>
      </c>
      <c r="M187" t="s">
        <v>13</v>
      </c>
      <c r="O187" s="5"/>
    </row>
    <row r="188" spans="2:15" x14ac:dyDescent="0.3">
      <c r="B188" s="4">
        <v>1</v>
      </c>
      <c r="C188" t="s">
        <v>14</v>
      </c>
      <c r="D188" t="s">
        <v>15</v>
      </c>
      <c r="E188" t="s">
        <v>11</v>
      </c>
      <c r="F188">
        <v>8</v>
      </c>
      <c r="G188" t="s">
        <v>55</v>
      </c>
      <c r="H188">
        <v>2</v>
      </c>
      <c r="I188" t="s">
        <v>13</v>
      </c>
      <c r="J188" t="s">
        <v>13</v>
      </c>
      <c r="K188" t="s">
        <v>13</v>
      </c>
      <c r="L188" t="s">
        <v>13</v>
      </c>
      <c r="M188" t="s">
        <v>13</v>
      </c>
      <c r="N188" t="s">
        <v>18</v>
      </c>
      <c r="O188" s="5" t="s">
        <v>18</v>
      </c>
    </row>
    <row r="189" spans="2:15" x14ac:dyDescent="0.3">
      <c r="B189" s="4">
        <v>1531</v>
      </c>
      <c r="C189" t="s">
        <v>46</v>
      </c>
      <c r="D189" t="s">
        <v>47</v>
      </c>
      <c r="E189" t="s">
        <v>11</v>
      </c>
      <c r="F189">
        <v>8</v>
      </c>
      <c r="G189" t="s">
        <v>58</v>
      </c>
      <c r="H189">
        <v>17</v>
      </c>
      <c r="N189" t="s">
        <v>17</v>
      </c>
      <c r="O189" s="5" t="s">
        <v>17</v>
      </c>
    </row>
    <row r="190" spans="2:15" x14ac:dyDescent="0.3">
      <c r="B190" s="4">
        <v>194</v>
      </c>
      <c r="C190" t="s">
        <v>46</v>
      </c>
      <c r="D190" t="s">
        <v>47</v>
      </c>
      <c r="E190" t="s">
        <v>11</v>
      </c>
      <c r="F190">
        <v>8</v>
      </c>
      <c r="G190" t="s">
        <v>58</v>
      </c>
      <c r="H190">
        <v>17</v>
      </c>
      <c r="K190" t="s">
        <v>13</v>
      </c>
      <c r="L190" t="s">
        <v>13</v>
      </c>
      <c r="M190" t="s">
        <v>13</v>
      </c>
      <c r="N190" t="s">
        <v>18</v>
      </c>
      <c r="O190" s="5" t="s">
        <v>18</v>
      </c>
    </row>
    <row r="191" spans="2:15" x14ac:dyDescent="0.3">
      <c r="B191" s="4">
        <v>21</v>
      </c>
      <c r="C191" t="s">
        <v>63</v>
      </c>
      <c r="D191" t="s">
        <v>64</v>
      </c>
      <c r="E191" t="s">
        <v>65</v>
      </c>
      <c r="F191">
        <v>14</v>
      </c>
      <c r="G191" t="s">
        <v>58</v>
      </c>
      <c r="H191">
        <v>17</v>
      </c>
      <c r="K191" t="s">
        <v>13</v>
      </c>
      <c r="L191" t="s">
        <v>18</v>
      </c>
      <c r="M191" t="s">
        <v>13</v>
      </c>
      <c r="N191" t="s">
        <v>17</v>
      </c>
      <c r="O191" s="5" t="s">
        <v>17</v>
      </c>
    </row>
    <row r="192" spans="2:15" x14ac:dyDescent="0.3">
      <c r="B192" s="4">
        <v>36</v>
      </c>
      <c r="C192" t="s">
        <v>14</v>
      </c>
      <c r="D192" t="s">
        <v>15</v>
      </c>
      <c r="E192" t="s">
        <v>11</v>
      </c>
      <c r="F192">
        <v>8</v>
      </c>
      <c r="G192" t="s">
        <v>58</v>
      </c>
      <c r="H192">
        <v>17</v>
      </c>
      <c r="N192" t="s">
        <v>18</v>
      </c>
      <c r="O192" s="5" t="s">
        <v>18</v>
      </c>
    </row>
    <row r="193" spans="2:15" x14ac:dyDescent="0.3">
      <c r="B193" s="4">
        <v>6</v>
      </c>
      <c r="C193" t="s">
        <v>27</v>
      </c>
      <c r="D193" t="s">
        <v>28</v>
      </c>
      <c r="E193" t="s">
        <v>29</v>
      </c>
      <c r="F193">
        <v>6</v>
      </c>
      <c r="G193" t="s">
        <v>55</v>
      </c>
      <c r="H193">
        <v>2</v>
      </c>
      <c r="J193" t="s">
        <v>13</v>
      </c>
      <c r="K193" t="s">
        <v>18</v>
      </c>
      <c r="O193" s="5"/>
    </row>
    <row r="194" spans="2:15" x14ac:dyDescent="0.3">
      <c r="B194" s="4">
        <v>528</v>
      </c>
      <c r="C194" t="s">
        <v>41</v>
      </c>
      <c r="D194" t="s">
        <v>42</v>
      </c>
      <c r="E194" t="s">
        <v>11</v>
      </c>
      <c r="F194">
        <v>8</v>
      </c>
      <c r="G194" t="s">
        <v>55</v>
      </c>
      <c r="H194">
        <v>2</v>
      </c>
      <c r="I194" t="s">
        <v>17</v>
      </c>
      <c r="J194" t="s">
        <v>18</v>
      </c>
      <c r="K194" t="s">
        <v>17</v>
      </c>
      <c r="L194" t="s">
        <v>17</v>
      </c>
      <c r="M194" t="s">
        <v>13</v>
      </c>
      <c r="N194" t="s">
        <v>13</v>
      </c>
      <c r="O194" s="5"/>
    </row>
    <row r="195" spans="2:15" x14ac:dyDescent="0.3">
      <c r="B195" s="4">
        <v>4</v>
      </c>
      <c r="C195" t="s">
        <v>27</v>
      </c>
      <c r="D195" t="s">
        <v>28</v>
      </c>
      <c r="E195" t="s">
        <v>29</v>
      </c>
      <c r="F195">
        <v>6</v>
      </c>
      <c r="G195" t="s">
        <v>66</v>
      </c>
      <c r="H195">
        <v>5</v>
      </c>
      <c r="I195" t="s">
        <v>18</v>
      </c>
      <c r="J195" t="s">
        <v>13</v>
      </c>
      <c r="K195" t="s">
        <v>13</v>
      </c>
      <c r="L195" t="s">
        <v>18</v>
      </c>
      <c r="M195" t="s">
        <v>13</v>
      </c>
      <c r="N195" t="s">
        <v>18</v>
      </c>
      <c r="O195" s="5" t="s">
        <v>18</v>
      </c>
    </row>
    <row r="196" spans="2:15" x14ac:dyDescent="0.3">
      <c r="B196" s="4">
        <v>553</v>
      </c>
      <c r="C196" t="s">
        <v>49</v>
      </c>
      <c r="D196" t="s">
        <v>50</v>
      </c>
      <c r="E196" t="s">
        <v>51</v>
      </c>
      <c r="F196">
        <v>3</v>
      </c>
      <c r="G196" t="s">
        <v>66</v>
      </c>
      <c r="H196">
        <v>5</v>
      </c>
      <c r="N196" t="s">
        <v>18</v>
      </c>
      <c r="O196" s="5" t="s">
        <v>13</v>
      </c>
    </row>
    <row r="197" spans="2:15" x14ac:dyDescent="0.3">
      <c r="B197" s="4">
        <v>1184</v>
      </c>
      <c r="C197" t="s">
        <v>94</v>
      </c>
      <c r="D197" t="s">
        <v>95</v>
      </c>
      <c r="E197" t="s">
        <v>96</v>
      </c>
      <c r="F197">
        <v>13</v>
      </c>
      <c r="G197" t="s">
        <v>89</v>
      </c>
      <c r="H197">
        <v>11</v>
      </c>
      <c r="N197" t="s">
        <v>13</v>
      </c>
      <c r="O197" s="5" t="s">
        <v>52</v>
      </c>
    </row>
    <row r="198" spans="2:15" x14ac:dyDescent="0.3">
      <c r="B198" s="4">
        <v>485</v>
      </c>
      <c r="C198" t="s">
        <v>49</v>
      </c>
      <c r="D198" t="s">
        <v>50</v>
      </c>
      <c r="E198" t="s">
        <v>51</v>
      </c>
      <c r="F198">
        <v>3</v>
      </c>
      <c r="G198" t="s">
        <v>89</v>
      </c>
      <c r="H198">
        <v>11</v>
      </c>
      <c r="I198" t="s">
        <v>18</v>
      </c>
      <c r="J198" t="s">
        <v>13</v>
      </c>
      <c r="O198" s="5"/>
    </row>
    <row r="199" spans="2:15" x14ac:dyDescent="0.3">
      <c r="B199" s="4">
        <v>1523</v>
      </c>
      <c r="C199" t="s">
        <v>72</v>
      </c>
      <c r="D199" t="s">
        <v>73</v>
      </c>
      <c r="E199" t="s">
        <v>11</v>
      </c>
      <c r="F199">
        <v>8</v>
      </c>
      <c r="G199" t="s">
        <v>89</v>
      </c>
      <c r="H199">
        <v>11</v>
      </c>
      <c r="L199" t="s">
        <v>13</v>
      </c>
      <c r="M199" t="s">
        <v>13</v>
      </c>
      <c r="O199" s="5"/>
    </row>
    <row r="200" spans="2:15" x14ac:dyDescent="0.3">
      <c r="B200" s="4">
        <v>112</v>
      </c>
      <c r="C200" t="s">
        <v>46</v>
      </c>
      <c r="D200" t="s">
        <v>47</v>
      </c>
      <c r="E200" t="s">
        <v>11</v>
      </c>
      <c r="F200">
        <v>8</v>
      </c>
      <c r="G200" t="s">
        <v>12</v>
      </c>
      <c r="H200">
        <v>7</v>
      </c>
      <c r="I200" t="s">
        <v>17</v>
      </c>
      <c r="J200" t="s">
        <v>17</v>
      </c>
      <c r="K200" t="s">
        <v>17</v>
      </c>
      <c r="O200" s="5"/>
    </row>
    <row r="201" spans="2:15" x14ac:dyDescent="0.3">
      <c r="B201" s="4">
        <v>60</v>
      </c>
      <c r="C201" t="s">
        <v>49</v>
      </c>
      <c r="D201" t="s">
        <v>50</v>
      </c>
      <c r="E201" t="s">
        <v>51</v>
      </c>
      <c r="F201">
        <v>3</v>
      </c>
      <c r="G201" t="s">
        <v>22</v>
      </c>
      <c r="H201">
        <v>1</v>
      </c>
      <c r="J201" t="s">
        <v>13</v>
      </c>
      <c r="K201" t="s">
        <v>13</v>
      </c>
      <c r="L201" t="s">
        <v>17</v>
      </c>
      <c r="M201" t="s">
        <v>18</v>
      </c>
      <c r="N201" t="s">
        <v>19</v>
      </c>
      <c r="O201" s="5" t="s">
        <v>19</v>
      </c>
    </row>
    <row r="202" spans="2:15" x14ac:dyDescent="0.3">
      <c r="B202" s="4">
        <v>945</v>
      </c>
      <c r="C202" t="s">
        <v>14</v>
      </c>
      <c r="D202" t="s">
        <v>15</v>
      </c>
      <c r="E202" t="s">
        <v>11</v>
      </c>
      <c r="F202">
        <v>8</v>
      </c>
      <c r="G202" t="s">
        <v>58</v>
      </c>
      <c r="H202">
        <v>17</v>
      </c>
      <c r="L202" t="s">
        <v>13</v>
      </c>
      <c r="M202" t="s">
        <v>13</v>
      </c>
      <c r="N202" t="s">
        <v>18</v>
      </c>
      <c r="O202" s="5" t="s">
        <v>13</v>
      </c>
    </row>
    <row r="203" spans="2:15" x14ac:dyDescent="0.3">
      <c r="B203" s="4">
        <v>512</v>
      </c>
      <c r="C203" t="s">
        <v>49</v>
      </c>
      <c r="D203" t="s">
        <v>50</v>
      </c>
      <c r="E203" t="s">
        <v>51</v>
      </c>
      <c r="F203">
        <v>3</v>
      </c>
      <c r="G203" t="s">
        <v>54</v>
      </c>
      <c r="H203">
        <v>8</v>
      </c>
      <c r="J203" t="s">
        <v>13</v>
      </c>
      <c r="K203" t="s">
        <v>13</v>
      </c>
      <c r="L203" t="s">
        <v>13</v>
      </c>
      <c r="M203" t="s">
        <v>13</v>
      </c>
      <c r="N203" t="s">
        <v>18</v>
      </c>
      <c r="O203" s="5" t="s">
        <v>18</v>
      </c>
    </row>
    <row r="204" spans="2:15" x14ac:dyDescent="0.3">
      <c r="B204" s="4">
        <v>730</v>
      </c>
      <c r="C204" t="s">
        <v>49</v>
      </c>
      <c r="D204" t="s">
        <v>50</v>
      </c>
      <c r="E204" t="s">
        <v>51</v>
      </c>
      <c r="F204">
        <v>3</v>
      </c>
      <c r="G204" t="s">
        <v>40</v>
      </c>
      <c r="H204">
        <v>3</v>
      </c>
      <c r="K204" t="s">
        <v>13</v>
      </c>
      <c r="L204" t="s">
        <v>13</v>
      </c>
      <c r="M204" t="s">
        <v>13</v>
      </c>
      <c r="N204" t="s">
        <v>18</v>
      </c>
      <c r="O204" s="5" t="s">
        <v>18</v>
      </c>
    </row>
    <row r="205" spans="2:15" x14ac:dyDescent="0.3">
      <c r="B205" s="4">
        <v>791</v>
      </c>
      <c r="C205" t="s">
        <v>27</v>
      </c>
      <c r="D205" t="s">
        <v>28</v>
      </c>
      <c r="E205" t="s">
        <v>29</v>
      </c>
      <c r="F205">
        <v>6</v>
      </c>
      <c r="G205" t="s">
        <v>22</v>
      </c>
      <c r="H205">
        <v>1</v>
      </c>
      <c r="L205" t="s">
        <v>13</v>
      </c>
      <c r="M205" t="s">
        <v>13</v>
      </c>
      <c r="N205" t="s">
        <v>13</v>
      </c>
      <c r="O205" s="5" t="s">
        <v>13</v>
      </c>
    </row>
    <row r="206" spans="2:15" x14ac:dyDescent="0.3">
      <c r="B206" s="4">
        <v>390</v>
      </c>
      <c r="C206" t="s">
        <v>67</v>
      </c>
      <c r="D206" t="s">
        <v>68</v>
      </c>
      <c r="E206" t="s">
        <v>69</v>
      </c>
      <c r="F206">
        <v>11</v>
      </c>
      <c r="G206" t="s">
        <v>22</v>
      </c>
      <c r="H206">
        <v>1</v>
      </c>
      <c r="L206" t="s">
        <v>13</v>
      </c>
      <c r="M206" t="s">
        <v>13</v>
      </c>
      <c r="N206" t="s">
        <v>13</v>
      </c>
      <c r="O206" s="5" t="s">
        <v>13</v>
      </c>
    </row>
    <row r="207" spans="2:15" x14ac:dyDescent="0.3">
      <c r="B207" s="4">
        <v>6</v>
      </c>
      <c r="C207" t="s">
        <v>90</v>
      </c>
      <c r="D207" t="s">
        <v>91</v>
      </c>
      <c r="E207" t="s">
        <v>11</v>
      </c>
      <c r="F207">
        <v>8</v>
      </c>
      <c r="G207" t="s">
        <v>30</v>
      </c>
      <c r="H207">
        <v>18</v>
      </c>
      <c r="M207" t="s">
        <v>52</v>
      </c>
      <c r="N207" t="s">
        <v>52</v>
      </c>
      <c r="O207" s="5" t="s">
        <v>19</v>
      </c>
    </row>
    <row r="208" spans="2:15" x14ac:dyDescent="0.3">
      <c r="B208" s="4">
        <v>2348</v>
      </c>
      <c r="C208" t="s">
        <v>14</v>
      </c>
      <c r="D208" t="s">
        <v>15</v>
      </c>
      <c r="E208" t="s">
        <v>11</v>
      </c>
      <c r="F208">
        <v>8</v>
      </c>
      <c r="G208" t="s">
        <v>55</v>
      </c>
      <c r="H208">
        <v>2</v>
      </c>
      <c r="J208" t="s">
        <v>17</v>
      </c>
      <c r="K208" t="s">
        <v>13</v>
      </c>
      <c r="L208" t="s">
        <v>13</v>
      </c>
      <c r="O208" s="5"/>
    </row>
    <row r="209" spans="2:15" x14ac:dyDescent="0.3">
      <c r="B209" s="4">
        <v>484</v>
      </c>
      <c r="C209" t="s">
        <v>49</v>
      </c>
      <c r="D209" t="s">
        <v>50</v>
      </c>
      <c r="E209" t="s">
        <v>51</v>
      </c>
      <c r="F209">
        <v>3</v>
      </c>
      <c r="G209" t="s">
        <v>54</v>
      </c>
      <c r="H209">
        <v>8</v>
      </c>
      <c r="M209" t="s">
        <v>19</v>
      </c>
      <c r="N209" t="s">
        <v>19</v>
      </c>
      <c r="O209" s="5" t="s">
        <v>17</v>
      </c>
    </row>
    <row r="210" spans="2:15" x14ac:dyDescent="0.3">
      <c r="B210" s="4">
        <v>2697</v>
      </c>
      <c r="C210" t="s">
        <v>59</v>
      </c>
      <c r="D210" t="s">
        <v>60</v>
      </c>
      <c r="E210" t="s">
        <v>11</v>
      </c>
      <c r="F210">
        <v>8</v>
      </c>
      <c r="G210" t="s">
        <v>16</v>
      </c>
      <c r="H210">
        <v>6</v>
      </c>
      <c r="N210" t="s">
        <v>18</v>
      </c>
      <c r="O210" s="5" t="s">
        <v>13</v>
      </c>
    </row>
    <row r="211" spans="2:15" x14ac:dyDescent="0.3">
      <c r="B211" s="4">
        <v>872</v>
      </c>
      <c r="C211" t="s">
        <v>49</v>
      </c>
      <c r="D211" t="s">
        <v>50</v>
      </c>
      <c r="E211" t="s">
        <v>51</v>
      </c>
      <c r="F211">
        <v>3</v>
      </c>
      <c r="G211" t="s">
        <v>22</v>
      </c>
      <c r="H211">
        <v>1</v>
      </c>
      <c r="N211" t="s">
        <v>13</v>
      </c>
      <c r="O211" s="5" t="s">
        <v>18</v>
      </c>
    </row>
    <row r="212" spans="2:15" x14ac:dyDescent="0.3">
      <c r="B212" s="4">
        <v>991</v>
      </c>
      <c r="C212" t="s">
        <v>61</v>
      </c>
      <c r="D212" t="s">
        <v>62</v>
      </c>
      <c r="E212" t="s">
        <v>11</v>
      </c>
      <c r="F212">
        <v>8</v>
      </c>
      <c r="G212" t="s">
        <v>89</v>
      </c>
      <c r="H212">
        <v>11</v>
      </c>
      <c r="I212" t="s">
        <v>18</v>
      </c>
      <c r="J212" t="s">
        <v>18</v>
      </c>
      <c r="K212" t="s">
        <v>13</v>
      </c>
      <c r="L212" t="s">
        <v>13</v>
      </c>
      <c r="M212" t="s">
        <v>13</v>
      </c>
      <c r="N212" t="s">
        <v>13</v>
      </c>
      <c r="O212" s="5" t="s">
        <v>13</v>
      </c>
    </row>
    <row r="213" spans="2:15" x14ac:dyDescent="0.3">
      <c r="B213" s="4">
        <v>671</v>
      </c>
      <c r="C213" t="s">
        <v>49</v>
      </c>
      <c r="D213" t="s">
        <v>50</v>
      </c>
      <c r="E213" t="s">
        <v>51</v>
      </c>
      <c r="F213">
        <v>3</v>
      </c>
      <c r="G213" t="s">
        <v>89</v>
      </c>
      <c r="H213">
        <v>11</v>
      </c>
      <c r="L213" t="s">
        <v>13</v>
      </c>
      <c r="M213" t="s">
        <v>13</v>
      </c>
      <c r="N213" t="s">
        <v>13</v>
      </c>
      <c r="O213" s="5" t="s">
        <v>18</v>
      </c>
    </row>
    <row r="214" spans="2:15" x14ac:dyDescent="0.3">
      <c r="B214" s="4">
        <v>355</v>
      </c>
      <c r="C214" t="s">
        <v>14</v>
      </c>
      <c r="D214" t="s">
        <v>15</v>
      </c>
      <c r="E214" t="s">
        <v>11</v>
      </c>
      <c r="F214">
        <v>8</v>
      </c>
      <c r="G214" t="s">
        <v>87</v>
      </c>
      <c r="H214">
        <v>9</v>
      </c>
      <c r="I214" t="s">
        <v>34</v>
      </c>
      <c r="J214" t="s">
        <v>34</v>
      </c>
      <c r="K214" t="s">
        <v>34</v>
      </c>
      <c r="L214" t="s">
        <v>35</v>
      </c>
      <c r="O214" s="5"/>
    </row>
    <row r="215" spans="2:15" x14ac:dyDescent="0.3">
      <c r="B215" s="4">
        <v>3</v>
      </c>
      <c r="C215" t="s">
        <v>82</v>
      </c>
      <c r="D215" t="s">
        <v>83</v>
      </c>
      <c r="E215" t="s">
        <v>11</v>
      </c>
      <c r="F215">
        <v>8</v>
      </c>
      <c r="G215" t="s">
        <v>87</v>
      </c>
      <c r="H215">
        <v>9</v>
      </c>
      <c r="I215" t="s">
        <v>13</v>
      </c>
      <c r="J215" t="s">
        <v>18</v>
      </c>
      <c r="K215" t="s">
        <v>18</v>
      </c>
      <c r="L215" t="s">
        <v>18</v>
      </c>
      <c r="M215" t="s">
        <v>17</v>
      </c>
      <c r="N215" t="s">
        <v>33</v>
      </c>
      <c r="O215" s="5" t="s">
        <v>33</v>
      </c>
    </row>
    <row r="216" spans="2:15" x14ac:dyDescent="0.3">
      <c r="B216" s="4">
        <v>4</v>
      </c>
      <c r="C216" t="s">
        <v>67</v>
      </c>
      <c r="D216" t="s">
        <v>68</v>
      </c>
      <c r="E216" t="s">
        <v>69</v>
      </c>
      <c r="F216">
        <v>11</v>
      </c>
      <c r="G216" t="s">
        <v>48</v>
      </c>
      <c r="H216">
        <v>16</v>
      </c>
      <c r="N216" t="s">
        <v>13</v>
      </c>
      <c r="O216" s="5" t="s">
        <v>13</v>
      </c>
    </row>
    <row r="217" spans="2:15" x14ac:dyDescent="0.3">
      <c r="B217" s="4">
        <v>528</v>
      </c>
      <c r="C217" t="s">
        <v>46</v>
      </c>
      <c r="D217" t="s">
        <v>47</v>
      </c>
      <c r="E217" t="s">
        <v>11</v>
      </c>
      <c r="F217">
        <v>8</v>
      </c>
      <c r="G217" t="s">
        <v>30</v>
      </c>
      <c r="H217">
        <v>18</v>
      </c>
      <c r="L217" t="s">
        <v>13</v>
      </c>
      <c r="M217" t="s">
        <v>18</v>
      </c>
      <c r="N217" t="s">
        <v>17</v>
      </c>
      <c r="O217" s="5" t="s">
        <v>18</v>
      </c>
    </row>
    <row r="218" spans="2:15" x14ac:dyDescent="0.3">
      <c r="B218" s="4">
        <v>610</v>
      </c>
      <c r="C218" t="s">
        <v>46</v>
      </c>
      <c r="D218" t="s">
        <v>47</v>
      </c>
      <c r="E218" t="s">
        <v>11</v>
      </c>
      <c r="F218">
        <v>8</v>
      </c>
      <c r="G218" t="s">
        <v>39</v>
      </c>
      <c r="H218">
        <v>12</v>
      </c>
      <c r="N218" t="s">
        <v>19</v>
      </c>
      <c r="O218" s="5" t="s">
        <v>19</v>
      </c>
    </row>
    <row r="219" spans="2:15" x14ac:dyDescent="0.3">
      <c r="B219" s="4">
        <v>724</v>
      </c>
      <c r="C219" t="s">
        <v>46</v>
      </c>
      <c r="D219" t="s">
        <v>47</v>
      </c>
      <c r="E219" t="s">
        <v>11</v>
      </c>
      <c r="F219">
        <v>8</v>
      </c>
      <c r="G219" t="s">
        <v>39</v>
      </c>
      <c r="H219">
        <v>12</v>
      </c>
      <c r="M219" t="s">
        <v>18</v>
      </c>
      <c r="N219" t="s">
        <v>18</v>
      </c>
      <c r="O219" s="5" t="s">
        <v>17</v>
      </c>
    </row>
    <row r="220" spans="2:15" x14ac:dyDescent="0.3">
      <c r="B220" s="4">
        <v>599</v>
      </c>
      <c r="C220" t="s">
        <v>31</v>
      </c>
      <c r="D220" t="s">
        <v>32</v>
      </c>
      <c r="E220" t="s">
        <v>11</v>
      </c>
      <c r="F220">
        <v>8</v>
      </c>
      <c r="G220" t="s">
        <v>12</v>
      </c>
      <c r="H220">
        <v>7</v>
      </c>
      <c r="K220" t="s">
        <v>19</v>
      </c>
      <c r="L220" t="s">
        <v>19</v>
      </c>
      <c r="M220" t="s">
        <v>13</v>
      </c>
      <c r="O220" s="5"/>
    </row>
    <row r="221" spans="2:15" x14ac:dyDescent="0.3">
      <c r="B221" s="4">
        <v>255</v>
      </c>
      <c r="C221" t="s">
        <v>14</v>
      </c>
      <c r="D221" t="s">
        <v>15</v>
      </c>
      <c r="E221" t="s">
        <v>11</v>
      </c>
      <c r="F221">
        <v>8</v>
      </c>
      <c r="G221" t="s">
        <v>12</v>
      </c>
      <c r="H221">
        <v>7</v>
      </c>
      <c r="I221" t="s">
        <v>13</v>
      </c>
      <c r="J221" t="s">
        <v>13</v>
      </c>
      <c r="K221" t="s">
        <v>13</v>
      </c>
      <c r="L221" t="s">
        <v>13</v>
      </c>
      <c r="O221" s="5"/>
    </row>
    <row r="222" spans="2:15" x14ac:dyDescent="0.3">
      <c r="B222" s="4">
        <v>85</v>
      </c>
      <c r="C222" t="s">
        <v>9</v>
      </c>
      <c r="D222" t="s">
        <v>10</v>
      </c>
      <c r="E222" t="s">
        <v>11</v>
      </c>
      <c r="F222">
        <v>8</v>
      </c>
      <c r="G222" t="s">
        <v>16</v>
      </c>
      <c r="H222">
        <v>6</v>
      </c>
      <c r="J222" t="s">
        <v>18</v>
      </c>
      <c r="K222" t="s">
        <v>18</v>
      </c>
      <c r="L222" t="s">
        <v>18</v>
      </c>
      <c r="M222" t="s">
        <v>17</v>
      </c>
      <c r="N222" t="s">
        <v>19</v>
      </c>
      <c r="O222" s="5" t="s">
        <v>35</v>
      </c>
    </row>
    <row r="223" spans="2:15" x14ac:dyDescent="0.3">
      <c r="B223" s="4">
        <v>114</v>
      </c>
      <c r="C223" t="s">
        <v>9</v>
      </c>
      <c r="D223" t="s">
        <v>10</v>
      </c>
      <c r="E223" t="s">
        <v>11</v>
      </c>
      <c r="F223">
        <v>8</v>
      </c>
      <c r="G223" t="s">
        <v>22</v>
      </c>
      <c r="H223">
        <v>1</v>
      </c>
      <c r="I223" t="s">
        <v>19</v>
      </c>
      <c r="J223" t="s">
        <v>19</v>
      </c>
      <c r="K223" t="s">
        <v>17</v>
      </c>
      <c r="L223" t="s">
        <v>19</v>
      </c>
      <c r="M223" t="s">
        <v>17</v>
      </c>
      <c r="N223" t="s">
        <v>17</v>
      </c>
      <c r="O223" s="5" t="s">
        <v>13</v>
      </c>
    </row>
    <row r="224" spans="2:15" x14ac:dyDescent="0.3">
      <c r="B224" s="4">
        <v>240</v>
      </c>
      <c r="C224" t="s">
        <v>46</v>
      </c>
      <c r="D224" t="s">
        <v>47</v>
      </c>
      <c r="E224" t="s">
        <v>11</v>
      </c>
      <c r="F224">
        <v>8</v>
      </c>
      <c r="G224" t="s">
        <v>26</v>
      </c>
      <c r="H224">
        <v>4</v>
      </c>
      <c r="M224" t="s">
        <v>18</v>
      </c>
      <c r="N224" t="s">
        <v>18</v>
      </c>
      <c r="O224" s="5" t="s">
        <v>17</v>
      </c>
    </row>
    <row r="225" spans="2:15" x14ac:dyDescent="0.3">
      <c r="B225" s="4">
        <v>1206</v>
      </c>
      <c r="C225" t="s">
        <v>36</v>
      </c>
      <c r="D225" t="s">
        <v>37</v>
      </c>
      <c r="E225" t="s">
        <v>11</v>
      </c>
      <c r="F225">
        <v>8</v>
      </c>
      <c r="G225" t="s">
        <v>26</v>
      </c>
      <c r="H225">
        <v>4</v>
      </c>
      <c r="K225" t="s">
        <v>13</v>
      </c>
      <c r="L225" t="s">
        <v>13</v>
      </c>
      <c r="O225" s="5"/>
    </row>
    <row r="226" spans="2:15" x14ac:dyDescent="0.3">
      <c r="B226" s="4">
        <v>31</v>
      </c>
      <c r="C226" t="s">
        <v>63</v>
      </c>
      <c r="D226" t="s">
        <v>64</v>
      </c>
      <c r="E226" t="s">
        <v>65</v>
      </c>
      <c r="F226">
        <v>14</v>
      </c>
      <c r="G226" t="s">
        <v>16</v>
      </c>
      <c r="H226">
        <v>6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17</v>
      </c>
      <c r="O226" s="5" t="s">
        <v>18</v>
      </c>
    </row>
    <row r="227" spans="2:15" x14ac:dyDescent="0.3">
      <c r="B227" s="4">
        <v>740</v>
      </c>
      <c r="C227" t="s">
        <v>27</v>
      </c>
      <c r="D227" t="s">
        <v>28</v>
      </c>
      <c r="E227" t="s">
        <v>29</v>
      </c>
      <c r="F227">
        <v>6</v>
      </c>
      <c r="G227" t="s">
        <v>30</v>
      </c>
      <c r="H227">
        <v>18</v>
      </c>
      <c r="N227" t="s">
        <v>18</v>
      </c>
      <c r="O227" s="5" t="s">
        <v>13</v>
      </c>
    </row>
    <row r="228" spans="2:15" x14ac:dyDescent="0.3">
      <c r="B228" s="4">
        <v>2</v>
      </c>
      <c r="C228" t="s">
        <v>14</v>
      </c>
      <c r="D228" t="s">
        <v>15</v>
      </c>
      <c r="E228" t="s">
        <v>11</v>
      </c>
      <c r="F228">
        <v>8</v>
      </c>
      <c r="G228" t="s">
        <v>12</v>
      </c>
      <c r="H228">
        <v>7</v>
      </c>
      <c r="I228" t="s">
        <v>19</v>
      </c>
      <c r="J228" t="s">
        <v>19</v>
      </c>
      <c r="K228" t="s">
        <v>17</v>
      </c>
      <c r="L228" t="s">
        <v>17</v>
      </c>
      <c r="M228" t="s">
        <v>19</v>
      </c>
      <c r="N228" t="s">
        <v>17</v>
      </c>
      <c r="O228" s="5" t="s">
        <v>19</v>
      </c>
    </row>
    <row r="229" spans="2:15" x14ac:dyDescent="0.3">
      <c r="B229" s="4">
        <v>1397</v>
      </c>
      <c r="C229" t="s">
        <v>14</v>
      </c>
      <c r="D229" t="s">
        <v>15</v>
      </c>
      <c r="E229" t="s">
        <v>11</v>
      </c>
      <c r="F229">
        <v>8</v>
      </c>
      <c r="G229" t="s">
        <v>38</v>
      </c>
      <c r="H229">
        <v>13</v>
      </c>
      <c r="M229" t="s">
        <v>18</v>
      </c>
      <c r="N229" t="s">
        <v>18</v>
      </c>
      <c r="O229" s="5" t="s">
        <v>19</v>
      </c>
    </row>
    <row r="230" spans="2:15" x14ac:dyDescent="0.3">
      <c r="B230" s="4">
        <v>2</v>
      </c>
      <c r="C230" t="s">
        <v>49</v>
      </c>
      <c r="D230" t="s">
        <v>50</v>
      </c>
      <c r="E230" t="s">
        <v>51</v>
      </c>
      <c r="F230">
        <v>3</v>
      </c>
      <c r="G230" t="s">
        <v>39</v>
      </c>
      <c r="H230">
        <v>12</v>
      </c>
      <c r="M230" t="s">
        <v>13</v>
      </c>
      <c r="N230" t="s">
        <v>13</v>
      </c>
      <c r="O230" s="5" t="s">
        <v>18</v>
      </c>
    </row>
    <row r="231" spans="2:15" x14ac:dyDescent="0.3">
      <c r="B231" s="4">
        <v>61</v>
      </c>
      <c r="C231" t="s">
        <v>84</v>
      </c>
      <c r="D231" t="s">
        <v>85</v>
      </c>
      <c r="E231" t="s">
        <v>86</v>
      </c>
      <c r="F231">
        <v>12</v>
      </c>
      <c r="G231" t="s">
        <v>40</v>
      </c>
      <c r="H231">
        <v>3</v>
      </c>
      <c r="J231" t="s">
        <v>17</v>
      </c>
      <c r="K231" t="s">
        <v>17</v>
      </c>
      <c r="O231" s="5"/>
    </row>
    <row r="232" spans="2:15" x14ac:dyDescent="0.3">
      <c r="B232" s="4">
        <v>87</v>
      </c>
      <c r="C232" t="s">
        <v>46</v>
      </c>
      <c r="D232" t="s">
        <v>47</v>
      </c>
      <c r="E232" t="s">
        <v>11</v>
      </c>
      <c r="F232">
        <v>8</v>
      </c>
      <c r="G232" t="s">
        <v>16</v>
      </c>
      <c r="H232">
        <v>6</v>
      </c>
      <c r="J232" t="s">
        <v>13</v>
      </c>
      <c r="K232" t="s">
        <v>18</v>
      </c>
      <c r="L232" t="s">
        <v>18</v>
      </c>
      <c r="M232" t="s">
        <v>13</v>
      </c>
      <c r="N232" t="s">
        <v>13</v>
      </c>
      <c r="O232" s="5" t="s">
        <v>13</v>
      </c>
    </row>
    <row r="233" spans="2:15" x14ac:dyDescent="0.3">
      <c r="B233" s="4">
        <v>791</v>
      </c>
      <c r="C233" t="s">
        <v>49</v>
      </c>
      <c r="D233" t="s">
        <v>50</v>
      </c>
      <c r="E233" t="s">
        <v>51</v>
      </c>
      <c r="F233">
        <v>3</v>
      </c>
      <c r="G233" t="s">
        <v>16</v>
      </c>
      <c r="H233">
        <v>6</v>
      </c>
      <c r="L233" t="s">
        <v>17</v>
      </c>
      <c r="M233" t="s">
        <v>13</v>
      </c>
      <c r="N233" t="s">
        <v>17</v>
      </c>
      <c r="O233" s="5" t="s">
        <v>13</v>
      </c>
    </row>
    <row r="234" spans="2:15" x14ac:dyDescent="0.3">
      <c r="B234" s="4">
        <v>1454</v>
      </c>
      <c r="C234" t="s">
        <v>14</v>
      </c>
      <c r="D234" t="s">
        <v>15</v>
      </c>
      <c r="E234" t="s">
        <v>11</v>
      </c>
      <c r="F234">
        <v>8</v>
      </c>
      <c r="G234" t="s">
        <v>40</v>
      </c>
      <c r="H234">
        <v>3</v>
      </c>
      <c r="K234" t="s">
        <v>13</v>
      </c>
      <c r="L234" t="s">
        <v>13</v>
      </c>
      <c r="M234" t="s">
        <v>13</v>
      </c>
      <c r="N234" t="s">
        <v>13</v>
      </c>
      <c r="O234" s="5" t="s">
        <v>17</v>
      </c>
    </row>
    <row r="235" spans="2:15" x14ac:dyDescent="0.3">
      <c r="B235" s="4">
        <v>1044</v>
      </c>
      <c r="C235" t="s">
        <v>23</v>
      </c>
      <c r="D235" t="s">
        <v>24</v>
      </c>
      <c r="E235" t="s">
        <v>25</v>
      </c>
      <c r="F235">
        <v>1</v>
      </c>
      <c r="G235" t="s">
        <v>16</v>
      </c>
      <c r="H235">
        <v>6</v>
      </c>
      <c r="K235" t="s">
        <v>17</v>
      </c>
      <c r="L235" t="s">
        <v>18</v>
      </c>
      <c r="M235" t="s">
        <v>18</v>
      </c>
      <c r="N235" t="s">
        <v>13</v>
      </c>
      <c r="O235" s="5" t="s">
        <v>18</v>
      </c>
    </row>
    <row r="236" spans="2:15" x14ac:dyDescent="0.3">
      <c r="B236" s="4">
        <v>4290</v>
      </c>
      <c r="C236" t="s">
        <v>23</v>
      </c>
      <c r="D236" t="s">
        <v>24</v>
      </c>
      <c r="E236" t="s">
        <v>25</v>
      </c>
      <c r="F236">
        <v>1</v>
      </c>
      <c r="G236" t="s">
        <v>40</v>
      </c>
      <c r="H236">
        <v>3</v>
      </c>
      <c r="M236" t="s">
        <v>13</v>
      </c>
      <c r="N236" t="s">
        <v>13</v>
      </c>
      <c r="O236" s="5" t="s">
        <v>17</v>
      </c>
    </row>
    <row r="237" spans="2:15" x14ac:dyDescent="0.3">
      <c r="B237" s="4">
        <v>420</v>
      </c>
      <c r="C237" t="s">
        <v>43</v>
      </c>
      <c r="D237" t="s">
        <v>44</v>
      </c>
      <c r="E237" t="s">
        <v>45</v>
      </c>
      <c r="F237">
        <v>5</v>
      </c>
      <c r="G237" t="s">
        <v>16</v>
      </c>
      <c r="H237">
        <v>6</v>
      </c>
      <c r="J237" t="s">
        <v>13</v>
      </c>
      <c r="K237" t="s">
        <v>13</v>
      </c>
      <c r="L237" t="s">
        <v>13</v>
      </c>
      <c r="M237" t="s">
        <v>17</v>
      </c>
      <c r="N237" t="s">
        <v>17</v>
      </c>
      <c r="O237" s="5" t="s">
        <v>17</v>
      </c>
    </row>
    <row r="238" spans="2:15" x14ac:dyDescent="0.3">
      <c r="B238" s="4">
        <v>548</v>
      </c>
      <c r="C238" t="s">
        <v>9</v>
      </c>
      <c r="D238" t="s">
        <v>10</v>
      </c>
      <c r="E238" t="s">
        <v>11</v>
      </c>
      <c r="F238">
        <v>8</v>
      </c>
      <c r="G238" t="s">
        <v>16</v>
      </c>
      <c r="H238">
        <v>6</v>
      </c>
      <c r="J238" t="s">
        <v>13</v>
      </c>
      <c r="K238" t="s">
        <v>13</v>
      </c>
      <c r="L238" t="s">
        <v>13</v>
      </c>
      <c r="M238" t="s">
        <v>13</v>
      </c>
      <c r="N238" t="s">
        <v>13</v>
      </c>
      <c r="O238" s="5" t="s">
        <v>13</v>
      </c>
    </row>
    <row r="239" spans="2:15" x14ac:dyDescent="0.3">
      <c r="B239" s="4">
        <v>1252</v>
      </c>
      <c r="C239" t="s">
        <v>14</v>
      </c>
      <c r="D239" t="s">
        <v>15</v>
      </c>
      <c r="E239" t="s">
        <v>11</v>
      </c>
      <c r="F239">
        <v>8</v>
      </c>
      <c r="G239" t="s">
        <v>16</v>
      </c>
      <c r="H239">
        <v>6</v>
      </c>
      <c r="K239" t="s">
        <v>13</v>
      </c>
      <c r="L239" t="s">
        <v>13</v>
      </c>
      <c r="M239" t="s">
        <v>13</v>
      </c>
      <c r="N239" t="s">
        <v>13</v>
      </c>
      <c r="O239" s="5"/>
    </row>
    <row r="240" spans="2:15" x14ac:dyDescent="0.3">
      <c r="B240" s="4">
        <v>409</v>
      </c>
      <c r="C240" t="s">
        <v>75</v>
      </c>
      <c r="D240" t="s">
        <v>76</v>
      </c>
      <c r="E240" t="s">
        <v>77</v>
      </c>
      <c r="F240">
        <v>7</v>
      </c>
      <c r="G240" t="s">
        <v>48</v>
      </c>
      <c r="H240">
        <v>16</v>
      </c>
      <c r="M240" t="s">
        <v>13</v>
      </c>
      <c r="N240" t="s">
        <v>13</v>
      </c>
      <c r="O240" s="5" t="s">
        <v>13</v>
      </c>
    </row>
    <row r="241" spans="2:15" x14ac:dyDescent="0.3">
      <c r="B241" s="4">
        <v>1052</v>
      </c>
      <c r="C241" t="s">
        <v>43</v>
      </c>
      <c r="D241" t="s">
        <v>44</v>
      </c>
      <c r="E241" t="s">
        <v>45</v>
      </c>
      <c r="F241">
        <v>5</v>
      </c>
      <c r="G241" t="s">
        <v>48</v>
      </c>
      <c r="H241">
        <v>16</v>
      </c>
      <c r="N241" t="s">
        <v>18</v>
      </c>
      <c r="O241" s="5" t="s">
        <v>13</v>
      </c>
    </row>
    <row r="242" spans="2:15" x14ac:dyDescent="0.3">
      <c r="B242" s="4">
        <v>1008</v>
      </c>
      <c r="C242" t="s">
        <v>78</v>
      </c>
      <c r="D242" t="s">
        <v>79</v>
      </c>
      <c r="E242" t="s">
        <v>80</v>
      </c>
      <c r="F242">
        <v>10</v>
      </c>
      <c r="G242" t="s">
        <v>48</v>
      </c>
      <c r="H242">
        <v>16</v>
      </c>
      <c r="K242" t="s">
        <v>52</v>
      </c>
      <c r="L242" t="s">
        <v>52</v>
      </c>
      <c r="M242" t="s">
        <v>19</v>
      </c>
      <c r="O242" s="5"/>
    </row>
    <row r="243" spans="2:15" x14ac:dyDescent="0.3">
      <c r="B243" s="4">
        <v>1</v>
      </c>
      <c r="C243" t="s">
        <v>46</v>
      </c>
      <c r="D243" t="s">
        <v>47</v>
      </c>
      <c r="E243" t="s">
        <v>11</v>
      </c>
      <c r="F243">
        <v>8</v>
      </c>
      <c r="G243" t="s">
        <v>22</v>
      </c>
      <c r="H243">
        <v>1</v>
      </c>
      <c r="I243" t="s">
        <v>18</v>
      </c>
      <c r="J243" t="s">
        <v>18</v>
      </c>
      <c r="K243" t="s">
        <v>17</v>
      </c>
      <c r="L243" t="s">
        <v>17</v>
      </c>
      <c r="M243" t="s">
        <v>17</v>
      </c>
      <c r="N243" t="s">
        <v>18</v>
      </c>
      <c r="O243" s="5" t="s">
        <v>18</v>
      </c>
    </row>
    <row r="244" spans="2:15" x14ac:dyDescent="0.3">
      <c r="B244" s="4">
        <v>3221</v>
      </c>
      <c r="C244" t="s">
        <v>14</v>
      </c>
      <c r="D244" t="s">
        <v>15</v>
      </c>
      <c r="E244" t="s">
        <v>11</v>
      </c>
      <c r="F244">
        <v>8</v>
      </c>
      <c r="G244" t="s">
        <v>16</v>
      </c>
      <c r="H244">
        <v>6</v>
      </c>
      <c r="M244" t="s">
        <v>17</v>
      </c>
      <c r="N244" t="s">
        <v>13</v>
      </c>
      <c r="O244" s="5"/>
    </row>
    <row r="245" spans="2:15" x14ac:dyDescent="0.3">
      <c r="B245" s="4">
        <v>2</v>
      </c>
      <c r="C245" t="s">
        <v>63</v>
      </c>
      <c r="D245" t="s">
        <v>64</v>
      </c>
      <c r="E245" t="s">
        <v>65</v>
      </c>
      <c r="F245">
        <v>14</v>
      </c>
      <c r="G245" t="s">
        <v>22</v>
      </c>
      <c r="H245">
        <v>1</v>
      </c>
      <c r="I245" t="s">
        <v>19</v>
      </c>
      <c r="J245" t="s">
        <v>18</v>
      </c>
      <c r="K245" t="s">
        <v>18</v>
      </c>
      <c r="L245" t="s">
        <v>17</v>
      </c>
      <c r="M245" t="s">
        <v>13</v>
      </c>
      <c r="N245" t="s">
        <v>17</v>
      </c>
      <c r="O245" s="5" t="s">
        <v>13</v>
      </c>
    </row>
    <row r="246" spans="2:15" x14ac:dyDescent="0.3">
      <c r="B246" s="4">
        <v>3</v>
      </c>
      <c r="C246" t="s">
        <v>46</v>
      </c>
      <c r="D246" t="s">
        <v>47</v>
      </c>
      <c r="E246" t="s">
        <v>11</v>
      </c>
      <c r="F246">
        <v>8</v>
      </c>
      <c r="G246" t="s">
        <v>12</v>
      </c>
      <c r="H246">
        <v>7</v>
      </c>
      <c r="I246" t="s">
        <v>17</v>
      </c>
      <c r="J246" t="s">
        <v>18</v>
      </c>
      <c r="K246" t="s">
        <v>13</v>
      </c>
      <c r="L246" t="s">
        <v>13</v>
      </c>
      <c r="M246" t="s">
        <v>13</v>
      </c>
      <c r="N246" t="s">
        <v>17</v>
      </c>
      <c r="O246" s="5" t="s">
        <v>13</v>
      </c>
    </row>
    <row r="247" spans="2:15" x14ac:dyDescent="0.3">
      <c r="B247" s="4">
        <v>44</v>
      </c>
      <c r="C247" t="s">
        <v>14</v>
      </c>
      <c r="D247" t="s">
        <v>15</v>
      </c>
      <c r="E247" t="s">
        <v>11</v>
      </c>
      <c r="F247">
        <v>8</v>
      </c>
      <c r="G247" t="s">
        <v>48</v>
      </c>
      <c r="H247">
        <v>16</v>
      </c>
      <c r="K247" t="s">
        <v>13</v>
      </c>
      <c r="L247" t="s">
        <v>13</v>
      </c>
      <c r="M247" t="s">
        <v>13</v>
      </c>
      <c r="N247" t="s">
        <v>13</v>
      </c>
      <c r="O247" s="5" t="s">
        <v>13</v>
      </c>
    </row>
    <row r="248" spans="2:15" x14ac:dyDescent="0.3">
      <c r="B248" s="4">
        <v>4</v>
      </c>
      <c r="C248" t="s">
        <v>46</v>
      </c>
      <c r="D248" t="s">
        <v>47</v>
      </c>
      <c r="E248" t="s">
        <v>11</v>
      </c>
      <c r="F248">
        <v>8</v>
      </c>
      <c r="G248" t="s">
        <v>53</v>
      </c>
      <c r="H248">
        <v>15</v>
      </c>
      <c r="I248" t="s">
        <v>17</v>
      </c>
      <c r="J248" t="s">
        <v>17</v>
      </c>
      <c r="K248" t="s">
        <v>18</v>
      </c>
      <c r="L248" t="s">
        <v>18</v>
      </c>
      <c r="M248" t="s">
        <v>18</v>
      </c>
      <c r="N248" t="s">
        <v>19</v>
      </c>
      <c r="O248" s="5" t="s">
        <v>19</v>
      </c>
    </row>
    <row r="249" spans="2:15" x14ac:dyDescent="0.3">
      <c r="B249" s="4">
        <v>267</v>
      </c>
      <c r="C249" t="s">
        <v>46</v>
      </c>
      <c r="D249" t="s">
        <v>47</v>
      </c>
      <c r="E249" t="s">
        <v>11</v>
      </c>
      <c r="F249">
        <v>8</v>
      </c>
      <c r="G249" t="s">
        <v>40</v>
      </c>
      <c r="H249">
        <v>3</v>
      </c>
      <c r="N249" t="s">
        <v>13</v>
      </c>
      <c r="O249" s="5" t="s">
        <v>17</v>
      </c>
    </row>
    <row r="250" spans="2:15" x14ac:dyDescent="0.3">
      <c r="B250" s="4">
        <v>1</v>
      </c>
      <c r="C250" t="s">
        <v>14</v>
      </c>
      <c r="D250" t="s">
        <v>15</v>
      </c>
      <c r="E250" t="s">
        <v>11</v>
      </c>
      <c r="F250">
        <v>8</v>
      </c>
      <c r="G250" t="s">
        <v>16</v>
      </c>
      <c r="H250">
        <v>6</v>
      </c>
      <c r="I250" t="s">
        <v>17</v>
      </c>
      <c r="J250" t="s">
        <v>13</v>
      </c>
      <c r="K250" t="s">
        <v>13</v>
      </c>
      <c r="L250" t="s">
        <v>13</v>
      </c>
      <c r="M250" t="s">
        <v>18</v>
      </c>
      <c r="N250" t="s">
        <v>18</v>
      </c>
      <c r="O250" s="5" t="s">
        <v>13</v>
      </c>
    </row>
    <row r="251" spans="2:15" x14ac:dyDescent="0.3">
      <c r="B251" s="4">
        <v>54</v>
      </c>
      <c r="C251" t="s">
        <v>14</v>
      </c>
      <c r="D251" t="s">
        <v>15</v>
      </c>
      <c r="E251" t="s">
        <v>11</v>
      </c>
      <c r="F251">
        <v>8</v>
      </c>
      <c r="G251" t="s">
        <v>22</v>
      </c>
      <c r="H251">
        <v>1</v>
      </c>
      <c r="I251" t="s">
        <v>13</v>
      </c>
      <c r="J251" t="s">
        <v>13</v>
      </c>
      <c r="O251" s="5"/>
    </row>
    <row r="252" spans="2:15" x14ac:dyDescent="0.3">
      <c r="B252" s="4">
        <v>3012</v>
      </c>
      <c r="C252" t="s">
        <v>20</v>
      </c>
      <c r="D252" t="s">
        <v>21</v>
      </c>
      <c r="E252" t="s">
        <v>11</v>
      </c>
      <c r="F252">
        <v>8</v>
      </c>
      <c r="G252" t="s">
        <v>22</v>
      </c>
      <c r="H252">
        <v>1</v>
      </c>
      <c r="L252" t="s">
        <v>19</v>
      </c>
      <c r="M252" t="s">
        <v>18</v>
      </c>
      <c r="N252" t="s">
        <v>18</v>
      </c>
      <c r="O252" s="5" t="s">
        <v>52</v>
      </c>
    </row>
    <row r="253" spans="2:15" x14ac:dyDescent="0.3">
      <c r="B253" s="4">
        <v>351</v>
      </c>
      <c r="C253" t="s">
        <v>84</v>
      </c>
      <c r="D253" t="s">
        <v>85</v>
      </c>
      <c r="E253" t="s">
        <v>86</v>
      </c>
      <c r="F253">
        <v>12</v>
      </c>
      <c r="G253" t="s">
        <v>26</v>
      </c>
      <c r="H253">
        <v>4</v>
      </c>
      <c r="N253" t="s">
        <v>13</v>
      </c>
      <c r="O253" s="5" t="s">
        <v>13</v>
      </c>
    </row>
    <row r="254" spans="2:15" x14ac:dyDescent="0.3">
      <c r="B254" s="4">
        <v>1168</v>
      </c>
      <c r="C254" t="s">
        <v>46</v>
      </c>
      <c r="D254" t="s">
        <v>47</v>
      </c>
      <c r="E254" t="s">
        <v>11</v>
      </c>
      <c r="F254">
        <v>8</v>
      </c>
      <c r="G254" t="s">
        <v>16</v>
      </c>
      <c r="H254">
        <v>6</v>
      </c>
      <c r="N254" t="s">
        <v>17</v>
      </c>
      <c r="O254" s="5" t="s">
        <v>19</v>
      </c>
    </row>
    <row r="255" spans="2:15" x14ac:dyDescent="0.3">
      <c r="B255" s="4">
        <v>299</v>
      </c>
      <c r="C255" t="s">
        <v>27</v>
      </c>
      <c r="D255" t="s">
        <v>28</v>
      </c>
      <c r="E255" t="s">
        <v>29</v>
      </c>
      <c r="F255">
        <v>6</v>
      </c>
      <c r="G255" t="s">
        <v>54</v>
      </c>
      <c r="H255">
        <v>8</v>
      </c>
      <c r="J255" t="s">
        <v>13</v>
      </c>
      <c r="K255" t="s">
        <v>13</v>
      </c>
      <c r="L255" t="s">
        <v>13</v>
      </c>
      <c r="M255" t="s">
        <v>18</v>
      </c>
      <c r="N255" t="s">
        <v>18</v>
      </c>
      <c r="O255" s="5" t="s">
        <v>18</v>
      </c>
    </row>
    <row r="256" spans="2:15" x14ac:dyDescent="0.3">
      <c r="B256" s="4">
        <v>14</v>
      </c>
      <c r="C256" t="s">
        <v>23</v>
      </c>
      <c r="D256" t="s">
        <v>24</v>
      </c>
      <c r="E256" t="s">
        <v>25</v>
      </c>
      <c r="F256">
        <v>1</v>
      </c>
      <c r="G256" t="s">
        <v>55</v>
      </c>
      <c r="H256">
        <v>2</v>
      </c>
      <c r="N256" t="s">
        <v>13</v>
      </c>
      <c r="O256" s="5" t="s">
        <v>17</v>
      </c>
    </row>
    <row r="257" spans="2:15" x14ac:dyDescent="0.3">
      <c r="B257" s="4">
        <v>15</v>
      </c>
      <c r="C257" t="s">
        <v>9</v>
      </c>
      <c r="D257" t="s">
        <v>10</v>
      </c>
      <c r="E257" t="s">
        <v>11</v>
      </c>
      <c r="F257">
        <v>8</v>
      </c>
      <c r="G257" t="s">
        <v>57</v>
      </c>
      <c r="H257">
        <v>10</v>
      </c>
      <c r="L257" t="s">
        <v>13</v>
      </c>
      <c r="M257" t="s">
        <v>18</v>
      </c>
      <c r="N257" t="s">
        <v>19</v>
      </c>
      <c r="O257" s="5"/>
    </row>
    <row r="258" spans="2:15" x14ac:dyDescent="0.3">
      <c r="B258" s="4">
        <v>220</v>
      </c>
      <c r="C258" t="s">
        <v>36</v>
      </c>
      <c r="D258" t="s">
        <v>37</v>
      </c>
      <c r="E258" t="s">
        <v>11</v>
      </c>
      <c r="F258">
        <v>8</v>
      </c>
      <c r="G258" t="s">
        <v>12</v>
      </c>
      <c r="H258">
        <v>7</v>
      </c>
      <c r="I258" t="s">
        <v>13</v>
      </c>
      <c r="J258" t="s">
        <v>18</v>
      </c>
      <c r="K258" t="s">
        <v>18</v>
      </c>
      <c r="L258" t="s">
        <v>13</v>
      </c>
      <c r="M258" t="s">
        <v>17</v>
      </c>
      <c r="N258" t="s">
        <v>18</v>
      </c>
      <c r="O258" s="5" t="s">
        <v>17</v>
      </c>
    </row>
    <row r="259" spans="2:15" x14ac:dyDescent="0.3">
      <c r="B259" s="4">
        <v>16</v>
      </c>
      <c r="C259" t="s">
        <v>31</v>
      </c>
      <c r="D259" t="s">
        <v>32</v>
      </c>
      <c r="E259" t="s">
        <v>11</v>
      </c>
      <c r="F259">
        <v>8</v>
      </c>
      <c r="G259" t="s">
        <v>58</v>
      </c>
      <c r="H259">
        <v>17</v>
      </c>
      <c r="I259" t="s">
        <v>13</v>
      </c>
      <c r="J259" t="s">
        <v>13</v>
      </c>
      <c r="K259" t="s">
        <v>13</v>
      </c>
      <c r="L259" t="s">
        <v>13</v>
      </c>
      <c r="M259" t="s">
        <v>13</v>
      </c>
      <c r="N259" t="s">
        <v>13</v>
      </c>
      <c r="O259" s="5" t="s">
        <v>13</v>
      </c>
    </row>
    <row r="260" spans="2:15" x14ac:dyDescent="0.3">
      <c r="B260" s="4">
        <v>447</v>
      </c>
      <c r="C260" t="s">
        <v>31</v>
      </c>
      <c r="D260" t="s">
        <v>32</v>
      </c>
      <c r="E260" t="s">
        <v>11</v>
      </c>
      <c r="F260">
        <v>8</v>
      </c>
      <c r="G260" t="s">
        <v>22</v>
      </c>
      <c r="H260">
        <v>1</v>
      </c>
      <c r="I260" t="s">
        <v>17</v>
      </c>
      <c r="J260" t="s">
        <v>17</v>
      </c>
      <c r="K260" t="s">
        <v>19</v>
      </c>
      <c r="L260" t="s">
        <v>18</v>
      </c>
      <c r="M260" t="s">
        <v>13</v>
      </c>
      <c r="O260" s="5"/>
    </row>
    <row r="261" spans="2:15" x14ac:dyDescent="0.3">
      <c r="B261" s="4">
        <v>1267</v>
      </c>
      <c r="C261" t="s">
        <v>14</v>
      </c>
      <c r="D261" t="s">
        <v>15</v>
      </c>
      <c r="E261" t="s">
        <v>11</v>
      </c>
      <c r="F261">
        <v>8</v>
      </c>
      <c r="G261" t="s">
        <v>54</v>
      </c>
      <c r="H261">
        <v>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17</v>
      </c>
      <c r="O261" s="5"/>
    </row>
    <row r="262" spans="2:15" x14ac:dyDescent="0.3">
      <c r="B262" s="4">
        <v>979</v>
      </c>
      <c r="C262" t="s">
        <v>14</v>
      </c>
      <c r="D262" t="s">
        <v>15</v>
      </c>
      <c r="E262" t="s">
        <v>11</v>
      </c>
      <c r="F262">
        <v>8</v>
      </c>
      <c r="G262" t="s">
        <v>16</v>
      </c>
      <c r="H262">
        <v>6</v>
      </c>
      <c r="M262" t="s">
        <v>13</v>
      </c>
      <c r="N262" t="s">
        <v>18</v>
      </c>
      <c r="O262" s="5"/>
    </row>
    <row r="263" spans="2:15" x14ac:dyDescent="0.3">
      <c r="B263" s="4">
        <v>646</v>
      </c>
      <c r="C263" t="s">
        <v>43</v>
      </c>
      <c r="D263" t="s">
        <v>44</v>
      </c>
      <c r="E263" t="s">
        <v>45</v>
      </c>
      <c r="F263">
        <v>5</v>
      </c>
      <c r="G263" t="s">
        <v>40</v>
      </c>
      <c r="H263">
        <v>3</v>
      </c>
      <c r="M263" t="s">
        <v>13</v>
      </c>
      <c r="N263" t="s">
        <v>13</v>
      </c>
      <c r="O263" s="5" t="s">
        <v>17</v>
      </c>
    </row>
    <row r="264" spans="2:15" x14ac:dyDescent="0.3">
      <c r="B264" s="4">
        <v>154</v>
      </c>
      <c r="C264" t="s">
        <v>49</v>
      </c>
      <c r="D264" t="s">
        <v>50</v>
      </c>
      <c r="E264" t="s">
        <v>51</v>
      </c>
      <c r="F264">
        <v>3</v>
      </c>
      <c r="G264" t="s">
        <v>66</v>
      </c>
      <c r="H264">
        <v>5</v>
      </c>
      <c r="L264" t="s">
        <v>18</v>
      </c>
      <c r="M264" t="s">
        <v>17</v>
      </c>
      <c r="N264" t="s">
        <v>17</v>
      </c>
      <c r="O264" s="5"/>
    </row>
    <row r="265" spans="2:15" x14ac:dyDescent="0.3">
      <c r="B265" s="4">
        <v>2148</v>
      </c>
      <c r="C265" t="s">
        <v>70</v>
      </c>
      <c r="D265" t="s">
        <v>71</v>
      </c>
      <c r="E265" t="s">
        <v>11</v>
      </c>
      <c r="F265">
        <v>8</v>
      </c>
      <c r="G265" t="s">
        <v>16</v>
      </c>
      <c r="H265">
        <v>6</v>
      </c>
      <c r="M265" t="s">
        <v>18</v>
      </c>
      <c r="N265" t="s">
        <v>18</v>
      </c>
      <c r="O265" s="5" t="s">
        <v>19</v>
      </c>
    </row>
    <row r="266" spans="2:15" x14ac:dyDescent="0.3">
      <c r="B266" s="4">
        <v>6</v>
      </c>
      <c r="C266" t="s">
        <v>46</v>
      </c>
      <c r="D266" t="s">
        <v>47</v>
      </c>
      <c r="E266" t="s">
        <v>11</v>
      </c>
      <c r="F266">
        <v>8</v>
      </c>
      <c r="G266" t="s">
        <v>57</v>
      </c>
      <c r="H266">
        <v>10</v>
      </c>
      <c r="I266" t="s">
        <v>17</v>
      </c>
      <c r="J266" t="s">
        <v>18</v>
      </c>
      <c r="K266" t="s">
        <v>17</v>
      </c>
      <c r="L266" t="s">
        <v>13</v>
      </c>
      <c r="M266" t="s">
        <v>18</v>
      </c>
      <c r="N266" t="s">
        <v>17</v>
      </c>
      <c r="O266" s="5" t="s">
        <v>17</v>
      </c>
    </row>
    <row r="267" spans="2:15" x14ac:dyDescent="0.3">
      <c r="B267" s="4">
        <v>515</v>
      </c>
      <c r="C267" t="s">
        <v>100</v>
      </c>
      <c r="D267" t="s">
        <v>101</v>
      </c>
      <c r="E267" t="s">
        <v>102</v>
      </c>
      <c r="F267">
        <v>4</v>
      </c>
      <c r="G267" t="s">
        <v>38</v>
      </c>
      <c r="H267">
        <v>13</v>
      </c>
      <c r="L267" t="s">
        <v>13</v>
      </c>
      <c r="M267" t="s">
        <v>17</v>
      </c>
      <c r="O267" s="5"/>
    </row>
    <row r="268" spans="2:15" x14ac:dyDescent="0.3">
      <c r="B268" s="4">
        <v>556</v>
      </c>
      <c r="C268" t="s">
        <v>41</v>
      </c>
      <c r="D268" t="s">
        <v>42</v>
      </c>
      <c r="E268" t="s">
        <v>11</v>
      </c>
      <c r="F268">
        <v>8</v>
      </c>
      <c r="G268" t="s">
        <v>26</v>
      </c>
      <c r="H268">
        <v>4</v>
      </c>
      <c r="I268" t="s">
        <v>13</v>
      </c>
      <c r="J268" t="s">
        <v>13</v>
      </c>
      <c r="O268" s="5"/>
    </row>
    <row r="269" spans="2:15" x14ac:dyDescent="0.3">
      <c r="B269" s="4">
        <v>410</v>
      </c>
      <c r="C269" t="s">
        <v>14</v>
      </c>
      <c r="D269" t="s">
        <v>15</v>
      </c>
      <c r="E269" t="s">
        <v>11</v>
      </c>
      <c r="F269">
        <v>8</v>
      </c>
      <c r="G269" t="s">
        <v>12</v>
      </c>
      <c r="H269">
        <v>7</v>
      </c>
      <c r="M269" t="s">
        <v>13</v>
      </c>
      <c r="N269" t="s">
        <v>18</v>
      </c>
      <c r="O269" s="5" t="s">
        <v>18</v>
      </c>
    </row>
    <row r="270" spans="2:15" x14ac:dyDescent="0.3">
      <c r="B270" s="4">
        <v>1508</v>
      </c>
      <c r="C270" t="s">
        <v>46</v>
      </c>
      <c r="D270" t="s">
        <v>47</v>
      </c>
      <c r="E270" t="s">
        <v>11</v>
      </c>
      <c r="F270">
        <v>8</v>
      </c>
      <c r="G270" t="s">
        <v>22</v>
      </c>
      <c r="H270">
        <v>1</v>
      </c>
      <c r="M270" t="s">
        <v>13</v>
      </c>
      <c r="N270" t="s">
        <v>13</v>
      </c>
      <c r="O270" s="5"/>
    </row>
    <row r="271" spans="2:15" x14ac:dyDescent="0.3">
      <c r="B271" s="4">
        <v>123</v>
      </c>
      <c r="C271" t="s">
        <v>61</v>
      </c>
      <c r="D271" t="s">
        <v>62</v>
      </c>
      <c r="E271" t="s">
        <v>11</v>
      </c>
      <c r="F271">
        <v>8</v>
      </c>
      <c r="G271" t="s">
        <v>58</v>
      </c>
      <c r="H271">
        <v>17</v>
      </c>
      <c r="K271" t="s">
        <v>18</v>
      </c>
      <c r="L271" t="s">
        <v>19</v>
      </c>
      <c r="M271" t="s">
        <v>17</v>
      </c>
      <c r="N271" t="s">
        <v>18</v>
      </c>
      <c r="O271" s="5" t="s">
        <v>18</v>
      </c>
    </row>
    <row r="272" spans="2:15" x14ac:dyDescent="0.3">
      <c r="B272" s="4">
        <v>1853</v>
      </c>
      <c r="C272" t="s">
        <v>23</v>
      </c>
      <c r="D272" t="s">
        <v>24</v>
      </c>
      <c r="E272" t="s">
        <v>25</v>
      </c>
      <c r="F272">
        <v>1</v>
      </c>
      <c r="G272" t="s">
        <v>54</v>
      </c>
      <c r="H272">
        <v>8</v>
      </c>
      <c r="M272" t="s">
        <v>18</v>
      </c>
      <c r="N272" t="s">
        <v>18</v>
      </c>
      <c r="O272" s="5"/>
    </row>
    <row r="273" spans="2:15" x14ac:dyDescent="0.3">
      <c r="B273" s="4">
        <v>102</v>
      </c>
      <c r="C273" t="s">
        <v>23</v>
      </c>
      <c r="D273" t="s">
        <v>24</v>
      </c>
      <c r="E273" t="s">
        <v>25</v>
      </c>
      <c r="F273">
        <v>1</v>
      </c>
      <c r="G273" t="s">
        <v>40</v>
      </c>
      <c r="H273">
        <v>3</v>
      </c>
      <c r="N273" t="s">
        <v>18</v>
      </c>
      <c r="O273" s="5" t="s">
        <v>13</v>
      </c>
    </row>
    <row r="274" spans="2:15" x14ac:dyDescent="0.3">
      <c r="B274" s="4">
        <v>1018</v>
      </c>
      <c r="C274" t="s">
        <v>46</v>
      </c>
      <c r="D274" t="s">
        <v>47</v>
      </c>
      <c r="E274" t="s">
        <v>11</v>
      </c>
      <c r="F274">
        <v>8</v>
      </c>
      <c r="G274" t="s">
        <v>22</v>
      </c>
      <c r="H274">
        <v>1</v>
      </c>
      <c r="N274" t="s">
        <v>13</v>
      </c>
      <c r="O274" s="5" t="s">
        <v>17</v>
      </c>
    </row>
    <row r="275" spans="2:15" x14ac:dyDescent="0.3">
      <c r="B275" s="4">
        <v>133</v>
      </c>
      <c r="C275" t="s">
        <v>46</v>
      </c>
      <c r="D275" t="s">
        <v>47</v>
      </c>
      <c r="E275" t="s">
        <v>11</v>
      </c>
      <c r="F275">
        <v>8</v>
      </c>
      <c r="G275" t="s">
        <v>22</v>
      </c>
      <c r="H275">
        <v>1</v>
      </c>
      <c r="I275" t="s">
        <v>33</v>
      </c>
      <c r="J275" t="s">
        <v>33</v>
      </c>
      <c r="K275" t="s">
        <v>35</v>
      </c>
      <c r="O275" s="5"/>
    </row>
    <row r="276" spans="2:15" x14ac:dyDescent="0.3">
      <c r="B276" s="4">
        <v>2432</v>
      </c>
      <c r="C276" t="s">
        <v>27</v>
      </c>
      <c r="D276" t="s">
        <v>28</v>
      </c>
      <c r="E276" t="s">
        <v>29</v>
      </c>
      <c r="F276">
        <v>6</v>
      </c>
      <c r="G276" t="s">
        <v>30</v>
      </c>
      <c r="H276">
        <v>18</v>
      </c>
      <c r="M276" t="s">
        <v>13</v>
      </c>
      <c r="N276" t="s">
        <v>13</v>
      </c>
      <c r="O276" s="5" t="s">
        <v>18</v>
      </c>
    </row>
    <row r="277" spans="2:15" x14ac:dyDescent="0.3">
      <c r="B277" s="4">
        <v>350</v>
      </c>
      <c r="C277" t="s">
        <v>46</v>
      </c>
      <c r="D277" t="s">
        <v>47</v>
      </c>
      <c r="E277" t="s">
        <v>11</v>
      </c>
      <c r="F277">
        <v>8</v>
      </c>
      <c r="G277" t="s">
        <v>55</v>
      </c>
      <c r="H277">
        <v>2</v>
      </c>
      <c r="I277" t="s">
        <v>18</v>
      </c>
      <c r="J277" t="s">
        <v>18</v>
      </c>
      <c r="K277" t="s">
        <v>13</v>
      </c>
      <c r="L277" t="s">
        <v>13</v>
      </c>
      <c r="M277" t="s">
        <v>18</v>
      </c>
      <c r="N277" t="s">
        <v>17</v>
      </c>
      <c r="O277" s="5" t="s">
        <v>17</v>
      </c>
    </row>
    <row r="278" spans="2:15" x14ac:dyDescent="0.3">
      <c r="B278" s="4">
        <v>373</v>
      </c>
      <c r="C278" t="s">
        <v>14</v>
      </c>
      <c r="D278" t="s">
        <v>15</v>
      </c>
      <c r="E278" t="s">
        <v>11</v>
      </c>
      <c r="F278">
        <v>8</v>
      </c>
      <c r="G278" t="s">
        <v>54</v>
      </c>
      <c r="H278">
        <v>8</v>
      </c>
      <c r="L278" t="s">
        <v>18</v>
      </c>
      <c r="M278" t="s">
        <v>17</v>
      </c>
      <c r="N278" t="s">
        <v>17</v>
      </c>
      <c r="O278" s="5" t="s">
        <v>13</v>
      </c>
    </row>
    <row r="279" spans="2:15" x14ac:dyDescent="0.3">
      <c r="B279" s="4">
        <v>829</v>
      </c>
      <c r="C279" t="s">
        <v>14</v>
      </c>
      <c r="D279" t="s">
        <v>15</v>
      </c>
      <c r="E279" t="s">
        <v>11</v>
      </c>
      <c r="F279">
        <v>8</v>
      </c>
      <c r="G279" t="s">
        <v>16</v>
      </c>
      <c r="H279">
        <v>6</v>
      </c>
      <c r="L279" t="s">
        <v>18</v>
      </c>
      <c r="M279" t="s">
        <v>13</v>
      </c>
      <c r="O279" s="5"/>
    </row>
    <row r="280" spans="2:15" x14ac:dyDescent="0.3">
      <c r="B280" s="4">
        <v>3285</v>
      </c>
      <c r="C280" t="s">
        <v>14</v>
      </c>
      <c r="D280" t="s">
        <v>15</v>
      </c>
      <c r="E280" t="s">
        <v>11</v>
      </c>
      <c r="F280">
        <v>8</v>
      </c>
      <c r="G280" t="s">
        <v>22</v>
      </c>
      <c r="H280">
        <v>1</v>
      </c>
      <c r="M280" t="s">
        <v>17</v>
      </c>
      <c r="N280" t="s">
        <v>17</v>
      </c>
      <c r="O280" s="5" t="s">
        <v>18</v>
      </c>
    </row>
    <row r="281" spans="2:15" x14ac:dyDescent="0.3">
      <c r="B281" s="4">
        <v>449</v>
      </c>
      <c r="C281" t="s">
        <v>43</v>
      </c>
      <c r="D281" t="s">
        <v>44</v>
      </c>
      <c r="E281" t="s">
        <v>45</v>
      </c>
      <c r="F281">
        <v>5</v>
      </c>
      <c r="G281" t="s">
        <v>30</v>
      </c>
      <c r="H281">
        <v>18</v>
      </c>
      <c r="I281" t="s">
        <v>17</v>
      </c>
      <c r="J281" t="s">
        <v>19</v>
      </c>
      <c r="O281" s="5"/>
    </row>
    <row r="282" spans="2:15" x14ac:dyDescent="0.3">
      <c r="B282" s="4">
        <v>433</v>
      </c>
      <c r="C282" t="s">
        <v>46</v>
      </c>
      <c r="D282" t="s">
        <v>47</v>
      </c>
      <c r="E282" t="s">
        <v>11</v>
      </c>
      <c r="F282">
        <v>8</v>
      </c>
      <c r="G282" t="s">
        <v>74</v>
      </c>
      <c r="H282">
        <v>15</v>
      </c>
      <c r="K282" t="s">
        <v>13</v>
      </c>
      <c r="L282" t="s">
        <v>13</v>
      </c>
      <c r="O282" s="5"/>
    </row>
    <row r="283" spans="2:15" x14ac:dyDescent="0.3">
      <c r="B283" s="4">
        <v>1549</v>
      </c>
      <c r="C283" t="s">
        <v>103</v>
      </c>
      <c r="D283" t="s">
        <v>104</v>
      </c>
      <c r="E283" t="s">
        <v>105</v>
      </c>
      <c r="F283">
        <v>2</v>
      </c>
      <c r="G283" t="s">
        <v>89</v>
      </c>
      <c r="H283">
        <v>11</v>
      </c>
      <c r="N283" t="s">
        <v>18</v>
      </c>
      <c r="O283" s="5" t="s">
        <v>13</v>
      </c>
    </row>
    <row r="284" spans="2:15" x14ac:dyDescent="0.3">
      <c r="B284" s="4">
        <v>11</v>
      </c>
      <c r="C284" t="s">
        <v>46</v>
      </c>
      <c r="D284" t="s">
        <v>47</v>
      </c>
      <c r="E284" t="s">
        <v>11</v>
      </c>
      <c r="F284">
        <v>8</v>
      </c>
      <c r="G284" t="s">
        <v>53</v>
      </c>
      <c r="H284">
        <v>15</v>
      </c>
      <c r="I284" t="s">
        <v>17</v>
      </c>
      <c r="J284" t="s">
        <v>17</v>
      </c>
      <c r="K284" t="s">
        <v>17</v>
      </c>
      <c r="L284" t="s">
        <v>18</v>
      </c>
      <c r="M284" t="s">
        <v>13</v>
      </c>
      <c r="N284" t="s">
        <v>18</v>
      </c>
      <c r="O284" s="5" t="s">
        <v>17</v>
      </c>
    </row>
    <row r="285" spans="2:15" x14ac:dyDescent="0.3">
      <c r="B285" s="4">
        <v>1441</v>
      </c>
      <c r="C285" t="s">
        <v>14</v>
      </c>
      <c r="D285" t="s">
        <v>15</v>
      </c>
      <c r="E285" t="s">
        <v>11</v>
      </c>
      <c r="F285">
        <v>8</v>
      </c>
      <c r="G285" t="s">
        <v>57</v>
      </c>
      <c r="H285">
        <v>10</v>
      </c>
      <c r="I285" t="s">
        <v>18</v>
      </c>
      <c r="J285" t="s">
        <v>13</v>
      </c>
      <c r="O285" s="5"/>
    </row>
    <row r="286" spans="2:15" x14ac:dyDescent="0.3">
      <c r="B286" s="4">
        <v>13</v>
      </c>
      <c r="C286" t="s">
        <v>84</v>
      </c>
      <c r="D286" t="s">
        <v>85</v>
      </c>
      <c r="E286" t="s">
        <v>86</v>
      </c>
      <c r="F286">
        <v>12</v>
      </c>
      <c r="G286" t="s">
        <v>57</v>
      </c>
      <c r="H286">
        <v>10</v>
      </c>
      <c r="I286" t="s">
        <v>13</v>
      </c>
      <c r="J286" t="s">
        <v>13</v>
      </c>
      <c r="K286" t="s">
        <v>13</v>
      </c>
      <c r="L286" t="s">
        <v>13</v>
      </c>
      <c r="M286" t="s">
        <v>13</v>
      </c>
      <c r="N286" t="s">
        <v>17</v>
      </c>
      <c r="O286" s="5" t="s">
        <v>17</v>
      </c>
    </row>
    <row r="287" spans="2:15" x14ac:dyDescent="0.3">
      <c r="B287" s="4">
        <v>11</v>
      </c>
      <c r="C287" t="s">
        <v>9</v>
      </c>
      <c r="D287" t="s">
        <v>10</v>
      </c>
      <c r="E287" t="s">
        <v>11</v>
      </c>
      <c r="F287">
        <v>8</v>
      </c>
      <c r="G287" t="s">
        <v>22</v>
      </c>
      <c r="H287">
        <v>1</v>
      </c>
      <c r="J287" t="s">
        <v>18</v>
      </c>
      <c r="K287" t="s">
        <v>17</v>
      </c>
      <c r="L287" t="s">
        <v>13</v>
      </c>
      <c r="M287" t="s">
        <v>13</v>
      </c>
      <c r="N287" t="s">
        <v>17</v>
      </c>
      <c r="O287" s="5" t="s">
        <v>19</v>
      </c>
    </row>
    <row r="288" spans="2:15" x14ac:dyDescent="0.3">
      <c r="B288" s="4">
        <v>893</v>
      </c>
      <c r="C288" t="s">
        <v>14</v>
      </c>
      <c r="D288" t="s">
        <v>15</v>
      </c>
      <c r="E288" t="s">
        <v>11</v>
      </c>
      <c r="F288">
        <v>8</v>
      </c>
      <c r="G288" t="s">
        <v>12</v>
      </c>
      <c r="H288">
        <v>7</v>
      </c>
      <c r="K288" t="s">
        <v>13</v>
      </c>
      <c r="L288" t="s">
        <v>13</v>
      </c>
      <c r="M288" t="s">
        <v>18</v>
      </c>
      <c r="N288" t="s">
        <v>13</v>
      </c>
      <c r="O288" s="5" t="s">
        <v>17</v>
      </c>
    </row>
    <row r="289" spans="2:15" x14ac:dyDescent="0.3">
      <c r="B289" s="4">
        <v>286</v>
      </c>
      <c r="C289" t="s">
        <v>49</v>
      </c>
      <c r="D289" t="s">
        <v>50</v>
      </c>
      <c r="E289" t="s">
        <v>51</v>
      </c>
      <c r="F289">
        <v>3</v>
      </c>
      <c r="G289" t="s">
        <v>16</v>
      </c>
      <c r="H289">
        <v>6</v>
      </c>
      <c r="N289" t="s">
        <v>13</v>
      </c>
      <c r="O289" s="5" t="s">
        <v>13</v>
      </c>
    </row>
    <row r="290" spans="2:15" x14ac:dyDescent="0.3">
      <c r="B290" s="4">
        <v>341</v>
      </c>
      <c r="C290" t="s">
        <v>49</v>
      </c>
      <c r="D290" t="s">
        <v>50</v>
      </c>
      <c r="E290" t="s">
        <v>51</v>
      </c>
      <c r="F290">
        <v>3</v>
      </c>
      <c r="G290" t="s">
        <v>22</v>
      </c>
      <c r="H290">
        <v>1</v>
      </c>
      <c r="J290" t="s">
        <v>17</v>
      </c>
      <c r="K290" t="s">
        <v>17</v>
      </c>
      <c r="L290" t="s">
        <v>18</v>
      </c>
      <c r="M290" t="s">
        <v>19</v>
      </c>
      <c r="N290" t="s">
        <v>18</v>
      </c>
      <c r="O290" s="5" t="s">
        <v>18</v>
      </c>
    </row>
    <row r="291" spans="2:15" x14ac:dyDescent="0.3">
      <c r="B291" s="4">
        <v>108</v>
      </c>
      <c r="C291" t="s">
        <v>41</v>
      </c>
      <c r="D291" t="s">
        <v>42</v>
      </c>
      <c r="E291" t="s">
        <v>11</v>
      </c>
      <c r="F291">
        <v>8</v>
      </c>
      <c r="G291" t="s">
        <v>26</v>
      </c>
      <c r="H291">
        <v>4</v>
      </c>
      <c r="J291" t="s">
        <v>17</v>
      </c>
      <c r="K291" t="s">
        <v>18</v>
      </c>
      <c r="L291" t="s">
        <v>18</v>
      </c>
      <c r="M291" t="s">
        <v>17</v>
      </c>
      <c r="N291" t="s">
        <v>19</v>
      </c>
      <c r="O291" s="5" t="s">
        <v>19</v>
      </c>
    </row>
    <row r="292" spans="2:15" x14ac:dyDescent="0.3">
      <c r="B292" s="4">
        <v>536</v>
      </c>
      <c r="C292" t="s">
        <v>46</v>
      </c>
      <c r="D292" t="s">
        <v>47</v>
      </c>
      <c r="E292" t="s">
        <v>11</v>
      </c>
      <c r="F292">
        <v>8</v>
      </c>
      <c r="G292" t="s">
        <v>26</v>
      </c>
      <c r="H292">
        <v>4</v>
      </c>
      <c r="J292" t="s">
        <v>13</v>
      </c>
      <c r="K292" t="s">
        <v>13</v>
      </c>
      <c r="L292" t="s">
        <v>13</v>
      </c>
      <c r="O292" s="5"/>
    </row>
    <row r="293" spans="2:15" x14ac:dyDescent="0.3">
      <c r="B293" s="4">
        <v>1072</v>
      </c>
      <c r="C293" t="s">
        <v>27</v>
      </c>
      <c r="D293" t="s">
        <v>28</v>
      </c>
      <c r="E293" t="s">
        <v>29</v>
      </c>
      <c r="F293">
        <v>6</v>
      </c>
      <c r="G293" t="s">
        <v>16</v>
      </c>
      <c r="H293">
        <v>6</v>
      </c>
      <c r="M293" t="s">
        <v>13</v>
      </c>
      <c r="N293" t="s">
        <v>17</v>
      </c>
      <c r="O293" s="5" t="s">
        <v>17</v>
      </c>
    </row>
    <row r="294" spans="2:15" x14ac:dyDescent="0.3">
      <c r="B294" s="4">
        <v>2</v>
      </c>
      <c r="C294" t="s">
        <v>46</v>
      </c>
      <c r="D294" t="s">
        <v>47</v>
      </c>
      <c r="E294" t="s">
        <v>11</v>
      </c>
      <c r="F294">
        <v>8</v>
      </c>
      <c r="G294" t="s">
        <v>30</v>
      </c>
      <c r="H294">
        <v>18</v>
      </c>
      <c r="L294" t="s">
        <v>18</v>
      </c>
      <c r="M294" t="s">
        <v>18</v>
      </c>
      <c r="O294" s="5"/>
    </row>
    <row r="295" spans="2:15" x14ac:dyDescent="0.3">
      <c r="B295" s="4">
        <v>3</v>
      </c>
      <c r="C295" t="s">
        <v>46</v>
      </c>
      <c r="D295" t="s">
        <v>47</v>
      </c>
      <c r="E295" t="s">
        <v>11</v>
      </c>
      <c r="F295">
        <v>8</v>
      </c>
      <c r="G295" t="s">
        <v>12</v>
      </c>
      <c r="H295">
        <v>7</v>
      </c>
      <c r="L295" t="s">
        <v>17</v>
      </c>
      <c r="M295" t="s">
        <v>18</v>
      </c>
      <c r="O295" s="5"/>
    </row>
    <row r="296" spans="2:15" x14ac:dyDescent="0.3">
      <c r="B296" s="4">
        <v>282</v>
      </c>
      <c r="C296" t="s">
        <v>27</v>
      </c>
      <c r="D296" t="s">
        <v>28</v>
      </c>
      <c r="E296" t="s">
        <v>29</v>
      </c>
      <c r="F296">
        <v>6</v>
      </c>
      <c r="G296" t="s">
        <v>38</v>
      </c>
      <c r="H296">
        <v>13</v>
      </c>
      <c r="J296" t="s">
        <v>17</v>
      </c>
      <c r="K296" t="s">
        <v>13</v>
      </c>
      <c r="L296" t="s">
        <v>13</v>
      </c>
      <c r="M296" t="s">
        <v>13</v>
      </c>
      <c r="N296" t="s">
        <v>17</v>
      </c>
      <c r="O296" s="5" t="s">
        <v>17</v>
      </c>
    </row>
    <row r="297" spans="2:15" x14ac:dyDescent="0.3">
      <c r="B297" s="4">
        <v>332</v>
      </c>
      <c r="C297" t="s">
        <v>46</v>
      </c>
      <c r="D297" t="s">
        <v>47</v>
      </c>
      <c r="E297" t="s">
        <v>11</v>
      </c>
      <c r="F297">
        <v>8</v>
      </c>
      <c r="G297" t="s">
        <v>39</v>
      </c>
      <c r="H297">
        <v>12</v>
      </c>
      <c r="K297" t="s">
        <v>13</v>
      </c>
      <c r="L297" t="s">
        <v>18</v>
      </c>
      <c r="M297" t="s">
        <v>18</v>
      </c>
      <c r="O297" s="5"/>
    </row>
    <row r="298" spans="2:15" x14ac:dyDescent="0.3">
      <c r="B298" s="4">
        <v>464</v>
      </c>
      <c r="C298" t="s">
        <v>46</v>
      </c>
      <c r="D298" t="s">
        <v>47</v>
      </c>
      <c r="E298" t="s">
        <v>11</v>
      </c>
      <c r="F298">
        <v>8</v>
      </c>
      <c r="G298" t="s">
        <v>40</v>
      </c>
      <c r="H298">
        <v>3</v>
      </c>
      <c r="N298" t="s">
        <v>19</v>
      </c>
      <c r="O298" s="5" t="s">
        <v>19</v>
      </c>
    </row>
    <row r="299" spans="2:15" x14ac:dyDescent="0.3">
      <c r="B299" s="4">
        <v>534</v>
      </c>
      <c r="C299" t="s">
        <v>46</v>
      </c>
      <c r="D299" t="s">
        <v>47</v>
      </c>
      <c r="E299" t="s">
        <v>11</v>
      </c>
      <c r="F299">
        <v>8</v>
      </c>
      <c r="G299" t="s">
        <v>16</v>
      </c>
      <c r="H299">
        <v>6</v>
      </c>
      <c r="L299" t="s">
        <v>13</v>
      </c>
      <c r="M299" t="s">
        <v>19</v>
      </c>
      <c r="N299" t="s">
        <v>19</v>
      </c>
      <c r="O299" s="5"/>
    </row>
    <row r="300" spans="2:15" x14ac:dyDescent="0.3">
      <c r="B300" s="4">
        <v>502</v>
      </c>
      <c r="C300" t="s">
        <v>46</v>
      </c>
      <c r="D300" t="s">
        <v>47</v>
      </c>
      <c r="E300" t="s">
        <v>11</v>
      </c>
      <c r="F300">
        <v>8</v>
      </c>
      <c r="G300" t="s">
        <v>16</v>
      </c>
      <c r="H300">
        <v>6</v>
      </c>
      <c r="J300" t="s">
        <v>13</v>
      </c>
      <c r="K300" t="s">
        <v>13</v>
      </c>
      <c r="O300" s="5"/>
    </row>
    <row r="301" spans="2:15" x14ac:dyDescent="0.3">
      <c r="B301" s="4">
        <v>949</v>
      </c>
      <c r="C301" t="s">
        <v>46</v>
      </c>
      <c r="D301" t="s">
        <v>47</v>
      </c>
      <c r="E301" t="s">
        <v>11</v>
      </c>
      <c r="F301">
        <v>8</v>
      </c>
      <c r="G301" t="s">
        <v>40</v>
      </c>
      <c r="H301">
        <v>3</v>
      </c>
      <c r="L301" t="s">
        <v>13</v>
      </c>
      <c r="M301" t="s">
        <v>19</v>
      </c>
      <c r="N301" t="s">
        <v>19</v>
      </c>
      <c r="O301" s="5"/>
    </row>
    <row r="302" spans="2:15" x14ac:dyDescent="0.3">
      <c r="B302" s="4">
        <v>280</v>
      </c>
      <c r="C302" t="s">
        <v>27</v>
      </c>
      <c r="D302" t="s">
        <v>28</v>
      </c>
      <c r="E302" t="s">
        <v>29</v>
      </c>
      <c r="F302">
        <v>6</v>
      </c>
      <c r="G302" t="s">
        <v>16</v>
      </c>
      <c r="H302">
        <v>6</v>
      </c>
      <c r="J302" t="s">
        <v>18</v>
      </c>
      <c r="K302" t="s">
        <v>13</v>
      </c>
      <c r="L302" t="s">
        <v>13</v>
      </c>
      <c r="M302" t="s">
        <v>13</v>
      </c>
      <c r="N302" t="s">
        <v>17</v>
      </c>
      <c r="O302" s="5" t="s">
        <v>18</v>
      </c>
    </row>
    <row r="303" spans="2:15" x14ac:dyDescent="0.3">
      <c r="B303" s="4">
        <v>1104</v>
      </c>
      <c r="C303" t="s">
        <v>46</v>
      </c>
      <c r="D303" t="s">
        <v>47</v>
      </c>
      <c r="E303" t="s">
        <v>11</v>
      </c>
      <c r="F303">
        <v>8</v>
      </c>
      <c r="G303" t="s">
        <v>40</v>
      </c>
      <c r="H303">
        <v>3</v>
      </c>
      <c r="M303" t="s">
        <v>13</v>
      </c>
      <c r="N303" t="s">
        <v>13</v>
      </c>
      <c r="O303" s="5"/>
    </row>
    <row r="304" spans="2:15" x14ac:dyDescent="0.3">
      <c r="B304" s="4">
        <v>419</v>
      </c>
      <c r="C304" t="s">
        <v>46</v>
      </c>
      <c r="D304" t="s">
        <v>47</v>
      </c>
      <c r="E304" t="s">
        <v>11</v>
      </c>
      <c r="F304">
        <v>8</v>
      </c>
      <c r="G304" t="s">
        <v>16</v>
      </c>
      <c r="H304">
        <v>6</v>
      </c>
      <c r="I304" t="s">
        <v>18</v>
      </c>
      <c r="J304" t="s">
        <v>13</v>
      </c>
      <c r="K304" t="s">
        <v>13</v>
      </c>
      <c r="L304" t="s">
        <v>18</v>
      </c>
      <c r="M304" t="s">
        <v>13</v>
      </c>
      <c r="N304" t="s">
        <v>13</v>
      </c>
      <c r="O304" s="5"/>
    </row>
    <row r="305" spans="2:15" x14ac:dyDescent="0.3">
      <c r="B305" s="4">
        <v>12</v>
      </c>
      <c r="C305" t="s">
        <v>46</v>
      </c>
      <c r="D305" t="s">
        <v>47</v>
      </c>
      <c r="E305" t="s">
        <v>11</v>
      </c>
      <c r="F305">
        <v>8</v>
      </c>
      <c r="G305" t="s">
        <v>16</v>
      </c>
      <c r="H305">
        <v>6</v>
      </c>
      <c r="I305" t="s">
        <v>17</v>
      </c>
      <c r="J305" t="s">
        <v>13</v>
      </c>
      <c r="K305" t="s">
        <v>13</v>
      </c>
      <c r="L305" t="s">
        <v>13</v>
      </c>
      <c r="M305" t="s">
        <v>13</v>
      </c>
      <c r="N305" t="s">
        <v>13</v>
      </c>
      <c r="O305" s="5" t="s">
        <v>18</v>
      </c>
    </row>
    <row r="306" spans="2:15" x14ac:dyDescent="0.3">
      <c r="B306" s="4">
        <v>48</v>
      </c>
      <c r="C306" t="s">
        <v>61</v>
      </c>
      <c r="D306" t="s">
        <v>62</v>
      </c>
      <c r="E306" t="s">
        <v>11</v>
      </c>
      <c r="F306">
        <v>8</v>
      </c>
      <c r="G306" t="s">
        <v>16</v>
      </c>
      <c r="H306">
        <v>6</v>
      </c>
      <c r="I306" t="s">
        <v>18</v>
      </c>
      <c r="J306" t="s">
        <v>18</v>
      </c>
      <c r="K306" t="s">
        <v>13</v>
      </c>
      <c r="O306" s="5"/>
    </row>
    <row r="307" spans="2:15" x14ac:dyDescent="0.3">
      <c r="B307" s="4">
        <v>2</v>
      </c>
      <c r="C307" t="s">
        <v>46</v>
      </c>
      <c r="D307" t="s">
        <v>47</v>
      </c>
      <c r="E307" t="s">
        <v>11</v>
      </c>
      <c r="F307">
        <v>8</v>
      </c>
      <c r="G307" t="s">
        <v>48</v>
      </c>
      <c r="H307">
        <v>16</v>
      </c>
      <c r="I307" t="s">
        <v>18</v>
      </c>
      <c r="J307" t="s">
        <v>13</v>
      </c>
      <c r="L307" t="s">
        <v>13</v>
      </c>
      <c r="M307" t="s">
        <v>13</v>
      </c>
      <c r="N307" t="s">
        <v>13</v>
      </c>
      <c r="O307" s="5" t="s">
        <v>18</v>
      </c>
    </row>
    <row r="308" spans="2:15" x14ac:dyDescent="0.3">
      <c r="B308" s="4">
        <v>25</v>
      </c>
      <c r="C308" t="s">
        <v>9</v>
      </c>
      <c r="D308" t="s">
        <v>10</v>
      </c>
      <c r="E308" t="s">
        <v>11</v>
      </c>
      <c r="F308">
        <v>8</v>
      </c>
      <c r="G308" t="s">
        <v>48</v>
      </c>
      <c r="H308">
        <v>16</v>
      </c>
      <c r="J308" t="s">
        <v>13</v>
      </c>
      <c r="K308" t="s">
        <v>13</v>
      </c>
      <c r="L308" t="s">
        <v>13</v>
      </c>
      <c r="M308" t="s">
        <v>13</v>
      </c>
      <c r="N308" t="s">
        <v>13</v>
      </c>
      <c r="O308" s="5" t="s">
        <v>13</v>
      </c>
    </row>
    <row r="309" spans="2:15" x14ac:dyDescent="0.3">
      <c r="B309" s="4">
        <v>37</v>
      </c>
      <c r="C309" t="s">
        <v>84</v>
      </c>
      <c r="D309" t="s">
        <v>85</v>
      </c>
      <c r="E309" t="s">
        <v>86</v>
      </c>
      <c r="F309">
        <v>12</v>
      </c>
      <c r="G309" t="s">
        <v>48</v>
      </c>
      <c r="H309">
        <v>16</v>
      </c>
      <c r="N309" t="s">
        <v>13</v>
      </c>
      <c r="O309" s="5" t="s">
        <v>13</v>
      </c>
    </row>
    <row r="310" spans="2:15" x14ac:dyDescent="0.3">
      <c r="B310" s="4">
        <v>561</v>
      </c>
      <c r="C310" t="s">
        <v>14</v>
      </c>
      <c r="D310" t="s">
        <v>15</v>
      </c>
      <c r="E310" t="s">
        <v>11</v>
      </c>
      <c r="F310">
        <v>8</v>
      </c>
      <c r="G310" t="s">
        <v>22</v>
      </c>
      <c r="H310">
        <v>1</v>
      </c>
      <c r="L310" t="s">
        <v>18</v>
      </c>
      <c r="M310" t="s">
        <v>13</v>
      </c>
      <c r="N310" t="s">
        <v>13</v>
      </c>
      <c r="O310" s="5" t="s">
        <v>19</v>
      </c>
    </row>
    <row r="311" spans="2:15" x14ac:dyDescent="0.3">
      <c r="B311" s="4">
        <v>2</v>
      </c>
      <c r="C311" t="s">
        <v>14</v>
      </c>
      <c r="D311" t="s">
        <v>15</v>
      </c>
      <c r="E311" t="s">
        <v>11</v>
      </c>
      <c r="F311">
        <v>8</v>
      </c>
      <c r="G311" t="s">
        <v>16</v>
      </c>
      <c r="H311">
        <v>6</v>
      </c>
      <c r="I311" t="s">
        <v>18</v>
      </c>
      <c r="J311" t="s">
        <v>18</v>
      </c>
      <c r="K311" t="s">
        <v>13</v>
      </c>
      <c r="L311" t="s">
        <v>13</v>
      </c>
      <c r="M311" t="s">
        <v>13</v>
      </c>
      <c r="N311" t="s">
        <v>18</v>
      </c>
      <c r="O311" s="5" t="s">
        <v>13</v>
      </c>
    </row>
    <row r="312" spans="2:15" x14ac:dyDescent="0.3">
      <c r="B312" s="4">
        <v>350</v>
      </c>
      <c r="C312" t="s">
        <v>14</v>
      </c>
      <c r="D312" t="s">
        <v>15</v>
      </c>
      <c r="E312" t="s">
        <v>11</v>
      </c>
      <c r="F312">
        <v>8</v>
      </c>
      <c r="G312" t="s">
        <v>22</v>
      </c>
      <c r="H312">
        <v>1</v>
      </c>
      <c r="I312" t="s">
        <v>18</v>
      </c>
      <c r="J312" t="s">
        <v>13</v>
      </c>
      <c r="O312" s="5"/>
    </row>
    <row r="313" spans="2:15" x14ac:dyDescent="0.3">
      <c r="B313" s="4">
        <v>3974</v>
      </c>
      <c r="C313" t="s">
        <v>14</v>
      </c>
      <c r="D313" t="s">
        <v>15</v>
      </c>
      <c r="E313" t="s">
        <v>11</v>
      </c>
      <c r="F313">
        <v>8</v>
      </c>
      <c r="G313" t="s">
        <v>12</v>
      </c>
      <c r="H313">
        <v>7</v>
      </c>
      <c r="J313" t="s">
        <v>17</v>
      </c>
      <c r="K313" t="s">
        <v>13</v>
      </c>
      <c r="L313" t="s">
        <v>18</v>
      </c>
      <c r="M313" t="s">
        <v>18</v>
      </c>
      <c r="N313" t="s">
        <v>13</v>
      </c>
      <c r="O313" s="5" t="s">
        <v>18</v>
      </c>
    </row>
    <row r="314" spans="2:15" x14ac:dyDescent="0.3">
      <c r="B314" s="4">
        <v>2094</v>
      </c>
      <c r="C314" t="s">
        <v>14</v>
      </c>
      <c r="D314" t="s">
        <v>15</v>
      </c>
      <c r="E314" t="s">
        <v>11</v>
      </c>
      <c r="F314">
        <v>8</v>
      </c>
      <c r="G314" t="s">
        <v>48</v>
      </c>
      <c r="H314">
        <v>16</v>
      </c>
      <c r="M314" t="s">
        <v>13</v>
      </c>
      <c r="N314" t="s">
        <v>17</v>
      </c>
      <c r="O314" s="5" t="s">
        <v>17</v>
      </c>
    </row>
    <row r="315" spans="2:15" x14ac:dyDescent="0.3">
      <c r="B315" s="4">
        <v>126</v>
      </c>
      <c r="C315" t="s">
        <v>100</v>
      </c>
      <c r="D315" t="s">
        <v>101</v>
      </c>
      <c r="E315" t="s">
        <v>102</v>
      </c>
      <c r="F315">
        <v>4</v>
      </c>
      <c r="G315" t="s">
        <v>53</v>
      </c>
      <c r="H315">
        <v>15</v>
      </c>
      <c r="I315" t="s">
        <v>18</v>
      </c>
      <c r="J315" t="s">
        <v>13</v>
      </c>
      <c r="K315" t="s">
        <v>13</v>
      </c>
      <c r="L315" t="s">
        <v>18</v>
      </c>
      <c r="M315" t="s">
        <v>13</v>
      </c>
      <c r="O315" s="5"/>
    </row>
    <row r="316" spans="2:15" x14ac:dyDescent="0.3">
      <c r="B316" s="4">
        <v>1158</v>
      </c>
      <c r="C316" t="s">
        <v>49</v>
      </c>
      <c r="D316" t="s">
        <v>50</v>
      </c>
      <c r="E316" t="s">
        <v>51</v>
      </c>
      <c r="F316">
        <v>3</v>
      </c>
      <c r="G316" t="s">
        <v>40</v>
      </c>
      <c r="H316">
        <v>3</v>
      </c>
      <c r="M316" t="s">
        <v>18</v>
      </c>
      <c r="N316" t="s">
        <v>13</v>
      </c>
      <c r="O316" s="5" t="s">
        <v>17</v>
      </c>
    </row>
    <row r="317" spans="2:15" x14ac:dyDescent="0.3">
      <c r="B317" s="4">
        <v>8</v>
      </c>
      <c r="C317" t="s">
        <v>46</v>
      </c>
      <c r="D317" t="s">
        <v>47</v>
      </c>
      <c r="E317" t="s">
        <v>11</v>
      </c>
      <c r="F317">
        <v>8</v>
      </c>
      <c r="G317" t="s">
        <v>16</v>
      </c>
      <c r="H317">
        <v>6</v>
      </c>
      <c r="M317" t="s">
        <v>18</v>
      </c>
      <c r="N317" t="s">
        <v>18</v>
      </c>
      <c r="O317" s="5" t="s">
        <v>13</v>
      </c>
    </row>
    <row r="318" spans="2:15" x14ac:dyDescent="0.3">
      <c r="B318" s="4">
        <v>7</v>
      </c>
      <c r="C318" t="s">
        <v>23</v>
      </c>
      <c r="D318" t="s">
        <v>24</v>
      </c>
      <c r="E318" t="s">
        <v>25</v>
      </c>
      <c r="F318">
        <v>1</v>
      </c>
      <c r="G318" t="s">
        <v>22</v>
      </c>
      <c r="H318">
        <v>1</v>
      </c>
      <c r="N318" t="s">
        <v>13</v>
      </c>
      <c r="O318" s="5" t="s">
        <v>18</v>
      </c>
    </row>
    <row r="319" spans="2:15" x14ac:dyDescent="0.3">
      <c r="B319" s="4">
        <v>3823</v>
      </c>
      <c r="C319" t="s">
        <v>61</v>
      </c>
      <c r="D319" t="s">
        <v>62</v>
      </c>
      <c r="E319" t="s">
        <v>11</v>
      </c>
      <c r="F319">
        <v>8</v>
      </c>
      <c r="G319" t="s">
        <v>22</v>
      </c>
      <c r="H319">
        <v>1</v>
      </c>
      <c r="N319" t="s">
        <v>18</v>
      </c>
      <c r="O319" s="5" t="s">
        <v>17</v>
      </c>
    </row>
    <row r="320" spans="2:15" x14ac:dyDescent="0.3">
      <c r="B320" s="4">
        <v>11</v>
      </c>
      <c r="C320" t="s">
        <v>46</v>
      </c>
      <c r="D320" t="s">
        <v>47</v>
      </c>
      <c r="E320" t="s">
        <v>11</v>
      </c>
      <c r="F320">
        <v>8</v>
      </c>
      <c r="G320" t="s">
        <v>26</v>
      </c>
      <c r="H320">
        <v>4</v>
      </c>
      <c r="J320" t="s">
        <v>17</v>
      </c>
      <c r="K320" t="s">
        <v>17</v>
      </c>
      <c r="L320" t="s">
        <v>18</v>
      </c>
      <c r="O320" s="5"/>
    </row>
    <row r="321" spans="2:15" x14ac:dyDescent="0.3">
      <c r="B321" s="4">
        <v>489</v>
      </c>
      <c r="C321" t="s">
        <v>49</v>
      </c>
      <c r="D321" t="s">
        <v>50</v>
      </c>
      <c r="E321" t="s">
        <v>51</v>
      </c>
      <c r="F321">
        <v>3</v>
      </c>
      <c r="G321" t="s">
        <v>16</v>
      </c>
      <c r="H321">
        <v>6</v>
      </c>
      <c r="L321" t="s">
        <v>13</v>
      </c>
      <c r="M321" t="s">
        <v>18</v>
      </c>
      <c r="N321" t="s">
        <v>18</v>
      </c>
      <c r="O321" s="5"/>
    </row>
    <row r="322" spans="2:15" x14ac:dyDescent="0.3">
      <c r="B322" s="4">
        <v>2789</v>
      </c>
      <c r="C322" t="s">
        <v>14</v>
      </c>
      <c r="D322" t="s">
        <v>15</v>
      </c>
      <c r="E322" t="s">
        <v>11</v>
      </c>
      <c r="F322">
        <v>8</v>
      </c>
      <c r="G322" t="s">
        <v>54</v>
      </c>
      <c r="H322">
        <v>8</v>
      </c>
      <c r="M322" t="s">
        <v>18</v>
      </c>
      <c r="N322" t="s">
        <v>18</v>
      </c>
      <c r="O322" s="5" t="s">
        <v>17</v>
      </c>
    </row>
    <row r="323" spans="2:15" x14ac:dyDescent="0.3">
      <c r="B323" s="4">
        <v>66</v>
      </c>
      <c r="C323" t="s">
        <v>49</v>
      </c>
      <c r="D323" t="s">
        <v>50</v>
      </c>
      <c r="E323" t="s">
        <v>51</v>
      </c>
      <c r="F323">
        <v>3</v>
      </c>
      <c r="G323" t="s">
        <v>55</v>
      </c>
      <c r="H323">
        <v>2</v>
      </c>
      <c r="M323" t="s">
        <v>17</v>
      </c>
      <c r="N323" t="s">
        <v>13</v>
      </c>
      <c r="O323" s="5"/>
    </row>
    <row r="324" spans="2:15" x14ac:dyDescent="0.3">
      <c r="B324" s="4">
        <v>1244</v>
      </c>
      <c r="C324" t="s">
        <v>14</v>
      </c>
      <c r="D324" t="s">
        <v>15</v>
      </c>
      <c r="E324" t="s">
        <v>11</v>
      </c>
      <c r="F324">
        <v>8</v>
      </c>
      <c r="G324" t="s">
        <v>57</v>
      </c>
      <c r="H324">
        <v>10</v>
      </c>
      <c r="L324" t="s">
        <v>18</v>
      </c>
      <c r="M324" t="s">
        <v>13</v>
      </c>
      <c r="N324" t="s">
        <v>13</v>
      </c>
      <c r="O324" s="5"/>
    </row>
    <row r="325" spans="2:15" x14ac:dyDescent="0.3">
      <c r="B325" s="4">
        <v>7</v>
      </c>
      <c r="C325" t="s">
        <v>46</v>
      </c>
      <c r="D325" t="s">
        <v>47</v>
      </c>
      <c r="E325" t="s">
        <v>11</v>
      </c>
      <c r="F325">
        <v>8</v>
      </c>
      <c r="G325" t="s">
        <v>12</v>
      </c>
      <c r="H325">
        <v>7</v>
      </c>
      <c r="I325" t="s">
        <v>19</v>
      </c>
      <c r="J325" t="s">
        <v>52</v>
      </c>
      <c r="K325" t="s">
        <v>17</v>
      </c>
      <c r="L325" t="s">
        <v>17</v>
      </c>
      <c r="M325" t="s">
        <v>17</v>
      </c>
      <c r="N325" t="s">
        <v>17</v>
      </c>
      <c r="O325" s="5" t="s">
        <v>18</v>
      </c>
    </row>
    <row r="326" spans="2:15" x14ac:dyDescent="0.3">
      <c r="B326" s="4">
        <v>6</v>
      </c>
      <c r="C326" t="s">
        <v>46</v>
      </c>
      <c r="D326" t="s">
        <v>47</v>
      </c>
      <c r="E326" t="s">
        <v>11</v>
      </c>
      <c r="F326">
        <v>8</v>
      </c>
      <c r="G326" t="s">
        <v>58</v>
      </c>
      <c r="H326">
        <v>17</v>
      </c>
      <c r="I326" t="s">
        <v>18</v>
      </c>
      <c r="J326" t="s">
        <v>17</v>
      </c>
      <c r="K326" t="s">
        <v>19</v>
      </c>
      <c r="L326" t="s">
        <v>18</v>
      </c>
      <c r="M326" t="s">
        <v>17</v>
      </c>
      <c r="N326" t="s">
        <v>17</v>
      </c>
      <c r="O326" s="5" t="s">
        <v>18</v>
      </c>
    </row>
    <row r="327" spans="2:15" x14ac:dyDescent="0.3">
      <c r="B327" s="4">
        <v>46</v>
      </c>
      <c r="C327" t="s">
        <v>14</v>
      </c>
      <c r="D327" t="s">
        <v>15</v>
      </c>
      <c r="E327" t="s">
        <v>11</v>
      </c>
      <c r="F327">
        <v>8</v>
      </c>
      <c r="G327" t="s">
        <v>22</v>
      </c>
      <c r="H327">
        <v>1</v>
      </c>
      <c r="I327" t="s">
        <v>18</v>
      </c>
      <c r="J327" t="s">
        <v>17</v>
      </c>
      <c r="K327" t="s">
        <v>17</v>
      </c>
      <c r="L327" t="s">
        <v>13</v>
      </c>
      <c r="M327" t="s">
        <v>18</v>
      </c>
      <c r="N327" t="s">
        <v>13</v>
      </c>
      <c r="O327" s="5" t="s">
        <v>13</v>
      </c>
    </row>
    <row r="328" spans="2:15" x14ac:dyDescent="0.3">
      <c r="B328" s="4">
        <v>2461</v>
      </c>
      <c r="C328" t="s">
        <v>14</v>
      </c>
      <c r="D328" t="s">
        <v>15</v>
      </c>
      <c r="E328" t="s">
        <v>11</v>
      </c>
      <c r="F328">
        <v>8</v>
      </c>
      <c r="G328" t="s">
        <v>54</v>
      </c>
      <c r="H328">
        <v>8</v>
      </c>
      <c r="N328" t="s">
        <v>19</v>
      </c>
      <c r="O328" s="5" t="s">
        <v>18</v>
      </c>
    </row>
    <row r="329" spans="2:15" x14ac:dyDescent="0.3">
      <c r="B329" s="4">
        <v>6</v>
      </c>
      <c r="C329" t="s">
        <v>46</v>
      </c>
      <c r="D329" t="s">
        <v>47</v>
      </c>
      <c r="E329" t="s">
        <v>11</v>
      </c>
      <c r="F329">
        <v>8</v>
      </c>
      <c r="G329" t="s">
        <v>16</v>
      </c>
      <c r="H329">
        <v>6</v>
      </c>
      <c r="I329" t="s">
        <v>13</v>
      </c>
      <c r="J329" t="s">
        <v>13</v>
      </c>
      <c r="K329" t="s">
        <v>18</v>
      </c>
      <c r="O329" s="5"/>
    </row>
    <row r="330" spans="2:15" x14ac:dyDescent="0.3">
      <c r="B330" s="4">
        <v>3464</v>
      </c>
      <c r="C330" t="s">
        <v>14</v>
      </c>
      <c r="D330" t="s">
        <v>15</v>
      </c>
      <c r="E330" t="s">
        <v>11</v>
      </c>
      <c r="F330">
        <v>8</v>
      </c>
      <c r="G330" t="s">
        <v>40</v>
      </c>
      <c r="H330">
        <v>3</v>
      </c>
      <c r="L330" t="s">
        <v>34</v>
      </c>
      <c r="M330" t="s">
        <v>33</v>
      </c>
      <c r="N330" t="s">
        <v>33</v>
      </c>
      <c r="O330" s="5" t="s">
        <v>35</v>
      </c>
    </row>
    <row r="331" spans="2:15" x14ac:dyDescent="0.3">
      <c r="B331" s="4">
        <v>37</v>
      </c>
      <c r="C331" t="s">
        <v>23</v>
      </c>
      <c r="D331" t="s">
        <v>24</v>
      </c>
      <c r="E331" t="s">
        <v>25</v>
      </c>
      <c r="F331">
        <v>1</v>
      </c>
      <c r="G331" t="s">
        <v>66</v>
      </c>
      <c r="H331">
        <v>5</v>
      </c>
      <c r="I331" t="s">
        <v>18</v>
      </c>
      <c r="J331" t="s">
        <v>17</v>
      </c>
      <c r="K331" t="s">
        <v>17</v>
      </c>
      <c r="L331" t="s">
        <v>17</v>
      </c>
      <c r="M331" t="s">
        <v>18</v>
      </c>
      <c r="N331" t="s">
        <v>18</v>
      </c>
      <c r="O331" s="5" t="s">
        <v>13</v>
      </c>
    </row>
    <row r="332" spans="2:15" x14ac:dyDescent="0.3">
      <c r="B332" s="4">
        <v>19</v>
      </c>
      <c r="C332" t="s">
        <v>63</v>
      </c>
      <c r="D332" t="s">
        <v>64</v>
      </c>
      <c r="E332" t="s">
        <v>65</v>
      </c>
      <c r="F332">
        <v>14</v>
      </c>
      <c r="G332" t="s">
        <v>16</v>
      </c>
      <c r="H332">
        <v>6</v>
      </c>
      <c r="I332" t="s">
        <v>52</v>
      </c>
      <c r="J332" t="s">
        <v>52</v>
      </c>
      <c r="K332" t="s">
        <v>33</v>
      </c>
      <c r="L332" t="s">
        <v>33</v>
      </c>
      <c r="M332" t="s">
        <v>34</v>
      </c>
      <c r="O332" s="5"/>
    </row>
    <row r="333" spans="2:15" x14ac:dyDescent="0.3">
      <c r="B333" s="4">
        <v>480</v>
      </c>
      <c r="C333" t="s">
        <v>49</v>
      </c>
      <c r="D333" t="s">
        <v>50</v>
      </c>
      <c r="E333" t="s">
        <v>51</v>
      </c>
      <c r="F333">
        <v>3</v>
      </c>
      <c r="G333" t="s">
        <v>57</v>
      </c>
      <c r="H333">
        <v>10</v>
      </c>
      <c r="N333" t="s">
        <v>13</v>
      </c>
      <c r="O333" s="5" t="s">
        <v>13</v>
      </c>
    </row>
    <row r="334" spans="2:15" x14ac:dyDescent="0.3">
      <c r="B334" s="4">
        <v>1</v>
      </c>
      <c r="C334" t="s">
        <v>14</v>
      </c>
      <c r="D334" t="s">
        <v>15</v>
      </c>
      <c r="E334" t="s">
        <v>11</v>
      </c>
      <c r="F334">
        <v>8</v>
      </c>
      <c r="G334" t="s">
        <v>38</v>
      </c>
      <c r="H334">
        <v>13</v>
      </c>
      <c r="I334" t="s">
        <v>34</v>
      </c>
      <c r="J334" t="s">
        <v>34</v>
      </c>
      <c r="K334" t="s">
        <v>34</v>
      </c>
      <c r="O334" s="5"/>
    </row>
    <row r="335" spans="2:15" x14ac:dyDescent="0.3">
      <c r="B335" s="4">
        <v>17</v>
      </c>
      <c r="C335" t="s">
        <v>100</v>
      </c>
      <c r="D335" t="s">
        <v>101</v>
      </c>
      <c r="E335" t="s">
        <v>102</v>
      </c>
      <c r="F335">
        <v>4</v>
      </c>
      <c r="G335" t="s">
        <v>26</v>
      </c>
      <c r="H335">
        <v>4</v>
      </c>
      <c r="I335" t="s">
        <v>17</v>
      </c>
      <c r="J335" t="s">
        <v>13</v>
      </c>
      <c r="K335" t="s">
        <v>13</v>
      </c>
      <c r="O335" s="5"/>
    </row>
    <row r="336" spans="2:15" x14ac:dyDescent="0.3">
      <c r="B336" s="4">
        <v>214</v>
      </c>
      <c r="C336" t="s">
        <v>100</v>
      </c>
      <c r="D336" t="s">
        <v>101</v>
      </c>
      <c r="E336" t="s">
        <v>102</v>
      </c>
      <c r="F336">
        <v>4</v>
      </c>
      <c r="G336" t="s">
        <v>12</v>
      </c>
      <c r="H336">
        <v>7</v>
      </c>
      <c r="I336" t="s">
        <v>19</v>
      </c>
      <c r="J336" t="s">
        <v>13</v>
      </c>
      <c r="K336" t="s">
        <v>13</v>
      </c>
      <c r="O336" s="5"/>
    </row>
    <row r="337" spans="2:15" x14ac:dyDescent="0.3">
      <c r="B337" s="4">
        <v>23</v>
      </c>
      <c r="C337" t="s">
        <v>46</v>
      </c>
      <c r="D337" t="s">
        <v>47</v>
      </c>
      <c r="E337" t="s">
        <v>11</v>
      </c>
      <c r="F337">
        <v>8</v>
      </c>
      <c r="G337" t="s">
        <v>22</v>
      </c>
      <c r="H337">
        <v>1</v>
      </c>
      <c r="I337" t="s">
        <v>19</v>
      </c>
      <c r="J337" t="s">
        <v>33</v>
      </c>
      <c r="K337" t="s">
        <v>19</v>
      </c>
      <c r="L337" t="s">
        <v>19</v>
      </c>
      <c r="M337" t="s">
        <v>19</v>
      </c>
      <c r="N337" t="s">
        <v>17</v>
      </c>
      <c r="O337" s="5" t="s">
        <v>13</v>
      </c>
    </row>
    <row r="338" spans="2:15" x14ac:dyDescent="0.3">
      <c r="B338" s="4">
        <v>46</v>
      </c>
      <c r="C338" t="s">
        <v>14</v>
      </c>
      <c r="D338" t="s">
        <v>15</v>
      </c>
      <c r="E338" t="s">
        <v>11</v>
      </c>
      <c r="F338">
        <v>8</v>
      </c>
      <c r="G338" t="s">
        <v>58</v>
      </c>
      <c r="H338">
        <v>17</v>
      </c>
      <c r="J338" t="s">
        <v>13</v>
      </c>
      <c r="K338" t="s">
        <v>13</v>
      </c>
      <c r="L338" t="s">
        <v>18</v>
      </c>
      <c r="M338" t="s">
        <v>18</v>
      </c>
      <c r="N338" t="s">
        <v>19</v>
      </c>
      <c r="O338" s="5"/>
    </row>
    <row r="339" spans="2:15" x14ac:dyDescent="0.3">
      <c r="B339" s="4">
        <v>565</v>
      </c>
      <c r="C339" t="s">
        <v>46</v>
      </c>
      <c r="D339" t="s">
        <v>47</v>
      </c>
      <c r="E339" t="s">
        <v>11</v>
      </c>
      <c r="F339">
        <v>8</v>
      </c>
      <c r="G339" t="s">
        <v>54</v>
      </c>
      <c r="H339">
        <v>8</v>
      </c>
      <c r="K339" t="s">
        <v>13</v>
      </c>
      <c r="L339" t="s">
        <v>17</v>
      </c>
      <c r="M339" t="s">
        <v>13</v>
      </c>
      <c r="N339" t="s">
        <v>19</v>
      </c>
      <c r="O339" s="5"/>
    </row>
    <row r="340" spans="2:15" x14ac:dyDescent="0.3">
      <c r="B340" s="4">
        <v>272</v>
      </c>
      <c r="C340" t="s">
        <v>103</v>
      </c>
      <c r="D340" t="s">
        <v>104</v>
      </c>
      <c r="E340" t="s">
        <v>105</v>
      </c>
      <c r="F340">
        <v>2</v>
      </c>
      <c r="G340" t="s">
        <v>40</v>
      </c>
      <c r="H340">
        <v>3</v>
      </c>
      <c r="K340" t="s">
        <v>13</v>
      </c>
      <c r="L340" t="s">
        <v>13</v>
      </c>
      <c r="O340" s="5"/>
    </row>
    <row r="341" spans="2:15" x14ac:dyDescent="0.3">
      <c r="B341" s="4">
        <v>4</v>
      </c>
      <c r="C341" t="s">
        <v>84</v>
      </c>
      <c r="D341" t="s">
        <v>85</v>
      </c>
      <c r="E341" t="s">
        <v>86</v>
      </c>
      <c r="F341">
        <v>12</v>
      </c>
      <c r="G341" t="s">
        <v>22</v>
      </c>
      <c r="H341">
        <v>1</v>
      </c>
      <c r="J341" t="s">
        <v>13</v>
      </c>
      <c r="K341" t="s">
        <v>18</v>
      </c>
      <c r="L341" t="s">
        <v>18</v>
      </c>
      <c r="M341" t="s">
        <v>18</v>
      </c>
      <c r="N341" t="s">
        <v>52</v>
      </c>
      <c r="O341" s="5" t="s">
        <v>19</v>
      </c>
    </row>
    <row r="342" spans="2:15" x14ac:dyDescent="0.3">
      <c r="B342" s="4">
        <v>4</v>
      </c>
      <c r="C342" t="s">
        <v>46</v>
      </c>
      <c r="D342" t="s">
        <v>47</v>
      </c>
      <c r="E342" t="s">
        <v>11</v>
      </c>
      <c r="F342">
        <v>8</v>
      </c>
      <c r="G342" t="s">
        <v>22</v>
      </c>
      <c r="H342">
        <v>1</v>
      </c>
      <c r="J342" t="s">
        <v>13</v>
      </c>
      <c r="K342" t="s">
        <v>18</v>
      </c>
      <c r="L342" t="s">
        <v>13</v>
      </c>
      <c r="M342" t="s">
        <v>13</v>
      </c>
      <c r="N342" t="s">
        <v>13</v>
      </c>
      <c r="O342" s="5"/>
    </row>
    <row r="343" spans="2:15" x14ac:dyDescent="0.3">
      <c r="B343" s="4">
        <v>50</v>
      </c>
      <c r="C343" t="s">
        <v>14</v>
      </c>
      <c r="D343" t="s">
        <v>15</v>
      </c>
      <c r="E343" t="s">
        <v>11</v>
      </c>
      <c r="F343">
        <v>8</v>
      </c>
      <c r="G343" t="s">
        <v>30</v>
      </c>
      <c r="H343">
        <v>18</v>
      </c>
      <c r="L343" t="s">
        <v>18</v>
      </c>
      <c r="M343" t="s">
        <v>13</v>
      </c>
      <c r="N343" t="s">
        <v>18</v>
      </c>
      <c r="O343" s="5"/>
    </row>
    <row r="344" spans="2:15" x14ac:dyDescent="0.3">
      <c r="B344" s="4">
        <v>716</v>
      </c>
      <c r="C344" t="s">
        <v>41</v>
      </c>
      <c r="D344" t="s">
        <v>42</v>
      </c>
      <c r="E344" t="s">
        <v>11</v>
      </c>
      <c r="F344">
        <v>8</v>
      </c>
      <c r="G344" t="s">
        <v>55</v>
      </c>
      <c r="H344">
        <v>2</v>
      </c>
      <c r="I344" t="s">
        <v>18</v>
      </c>
      <c r="J344" t="s">
        <v>17</v>
      </c>
      <c r="K344" t="s">
        <v>13</v>
      </c>
      <c r="L344" t="s">
        <v>13</v>
      </c>
      <c r="M344" t="s">
        <v>18</v>
      </c>
      <c r="N344" t="s">
        <v>18</v>
      </c>
      <c r="O344" s="5" t="s">
        <v>18</v>
      </c>
    </row>
    <row r="345" spans="2:15" x14ac:dyDescent="0.3">
      <c r="B345" s="4">
        <v>191</v>
      </c>
      <c r="C345" t="s">
        <v>14</v>
      </c>
      <c r="D345" t="s">
        <v>15</v>
      </c>
      <c r="E345" t="s">
        <v>11</v>
      </c>
      <c r="F345">
        <v>8</v>
      </c>
      <c r="G345" t="s">
        <v>54</v>
      </c>
      <c r="H345">
        <v>8</v>
      </c>
      <c r="I345" t="s">
        <v>33</v>
      </c>
      <c r="J345" t="s">
        <v>34</v>
      </c>
      <c r="K345" t="s">
        <v>34</v>
      </c>
      <c r="L345" t="s">
        <v>35</v>
      </c>
      <c r="O345" s="5"/>
    </row>
    <row r="346" spans="2:15" x14ac:dyDescent="0.3">
      <c r="B346" s="4">
        <v>2</v>
      </c>
      <c r="C346" t="s">
        <v>75</v>
      </c>
      <c r="D346" t="s">
        <v>76</v>
      </c>
      <c r="E346" t="s">
        <v>77</v>
      </c>
      <c r="F346">
        <v>7</v>
      </c>
      <c r="G346" t="s">
        <v>16</v>
      </c>
      <c r="H346">
        <v>6</v>
      </c>
      <c r="K346" t="s">
        <v>13</v>
      </c>
      <c r="L346" t="s">
        <v>13</v>
      </c>
      <c r="M346" t="s">
        <v>18</v>
      </c>
      <c r="N346" t="s">
        <v>19</v>
      </c>
      <c r="O346" s="5" t="s">
        <v>17</v>
      </c>
    </row>
    <row r="347" spans="2:15" x14ac:dyDescent="0.3">
      <c r="B347" s="4">
        <v>150</v>
      </c>
      <c r="C347" t="s">
        <v>9</v>
      </c>
      <c r="D347" t="s">
        <v>10</v>
      </c>
      <c r="E347" t="s">
        <v>11</v>
      </c>
      <c r="F347">
        <v>8</v>
      </c>
      <c r="G347" t="s">
        <v>22</v>
      </c>
      <c r="H347">
        <v>1</v>
      </c>
      <c r="M347" t="s">
        <v>13</v>
      </c>
      <c r="N347" t="s">
        <v>18</v>
      </c>
      <c r="O347" s="5" t="s">
        <v>18</v>
      </c>
    </row>
    <row r="348" spans="2:15" x14ac:dyDescent="0.3">
      <c r="B348" s="4">
        <v>673</v>
      </c>
      <c r="C348" t="s">
        <v>100</v>
      </c>
      <c r="D348" t="s">
        <v>101</v>
      </c>
      <c r="E348" t="s">
        <v>102</v>
      </c>
      <c r="F348">
        <v>4</v>
      </c>
      <c r="G348" t="s">
        <v>30</v>
      </c>
      <c r="H348">
        <v>18</v>
      </c>
      <c r="M348" t="s">
        <v>17</v>
      </c>
      <c r="N348" t="s">
        <v>17</v>
      </c>
      <c r="O348" s="5" t="s">
        <v>17</v>
      </c>
    </row>
    <row r="349" spans="2:15" x14ac:dyDescent="0.3">
      <c r="B349" s="4">
        <v>1552</v>
      </c>
      <c r="C349" t="s">
        <v>92</v>
      </c>
      <c r="D349" t="s">
        <v>93</v>
      </c>
      <c r="E349" t="s">
        <v>11</v>
      </c>
      <c r="F349">
        <v>8</v>
      </c>
      <c r="G349" t="s">
        <v>74</v>
      </c>
      <c r="H349">
        <v>15</v>
      </c>
      <c r="L349" t="s">
        <v>18</v>
      </c>
      <c r="M349" t="s">
        <v>17</v>
      </c>
      <c r="O349" s="5"/>
    </row>
    <row r="350" spans="2:15" x14ac:dyDescent="0.3">
      <c r="B350" s="4">
        <v>1690</v>
      </c>
      <c r="C350" t="s">
        <v>92</v>
      </c>
      <c r="D350" t="s">
        <v>93</v>
      </c>
      <c r="E350" t="s">
        <v>11</v>
      </c>
      <c r="F350">
        <v>8</v>
      </c>
      <c r="G350" t="s">
        <v>26</v>
      </c>
      <c r="H350">
        <v>4</v>
      </c>
      <c r="N350" t="s">
        <v>18</v>
      </c>
      <c r="O350" s="5" t="s">
        <v>18</v>
      </c>
    </row>
    <row r="351" spans="2:15" x14ac:dyDescent="0.3">
      <c r="B351" s="4">
        <v>1638</v>
      </c>
      <c r="C351" t="s">
        <v>92</v>
      </c>
      <c r="D351" t="s">
        <v>93</v>
      </c>
      <c r="E351" t="s">
        <v>11</v>
      </c>
      <c r="F351">
        <v>8</v>
      </c>
      <c r="G351" t="s">
        <v>55</v>
      </c>
      <c r="H351">
        <v>2</v>
      </c>
      <c r="L351" t="s">
        <v>18</v>
      </c>
      <c r="M351" t="s">
        <v>18</v>
      </c>
      <c r="O351" s="5"/>
    </row>
    <row r="352" spans="2:15" x14ac:dyDescent="0.3">
      <c r="B352" s="4">
        <v>14</v>
      </c>
      <c r="C352" t="s">
        <v>46</v>
      </c>
      <c r="D352" t="s">
        <v>47</v>
      </c>
      <c r="E352" t="s">
        <v>11</v>
      </c>
      <c r="F352">
        <v>8</v>
      </c>
      <c r="G352" t="s">
        <v>48</v>
      </c>
      <c r="H352">
        <v>16</v>
      </c>
      <c r="I352" t="s">
        <v>19</v>
      </c>
      <c r="J352" t="s">
        <v>52</v>
      </c>
      <c r="K352" t="s">
        <v>19</v>
      </c>
      <c r="L352" t="s">
        <v>19</v>
      </c>
      <c r="M352" t="s">
        <v>17</v>
      </c>
      <c r="N352" t="s">
        <v>19</v>
      </c>
      <c r="O352" s="5" t="s">
        <v>52</v>
      </c>
    </row>
    <row r="353" spans="2:15" x14ac:dyDescent="0.3">
      <c r="B353" s="4">
        <v>1927</v>
      </c>
      <c r="C353" t="s">
        <v>9</v>
      </c>
      <c r="D353" t="s">
        <v>10</v>
      </c>
      <c r="E353" t="s">
        <v>11</v>
      </c>
      <c r="F353">
        <v>8</v>
      </c>
      <c r="G353" t="s">
        <v>81</v>
      </c>
      <c r="H353">
        <v>7</v>
      </c>
      <c r="N353" t="s">
        <v>18</v>
      </c>
      <c r="O353" s="5" t="s">
        <v>18</v>
      </c>
    </row>
    <row r="354" spans="2:15" x14ac:dyDescent="0.3">
      <c r="B354" s="4">
        <v>323</v>
      </c>
      <c r="C354" t="s">
        <v>14</v>
      </c>
      <c r="D354" t="s">
        <v>15</v>
      </c>
      <c r="E354" t="s">
        <v>11</v>
      </c>
      <c r="F354">
        <v>8</v>
      </c>
      <c r="G354" t="s">
        <v>54</v>
      </c>
      <c r="H354">
        <v>8</v>
      </c>
      <c r="M354" t="s">
        <v>18</v>
      </c>
      <c r="N354" t="s">
        <v>17</v>
      </c>
      <c r="O354" s="5" t="s">
        <v>13</v>
      </c>
    </row>
    <row r="355" spans="2:15" x14ac:dyDescent="0.3">
      <c r="B355" s="4">
        <v>2</v>
      </c>
      <c r="C355" t="s">
        <v>46</v>
      </c>
      <c r="D355" t="s">
        <v>47</v>
      </c>
      <c r="E355" t="s">
        <v>11</v>
      </c>
      <c r="F355">
        <v>8</v>
      </c>
      <c r="G355" t="s">
        <v>54</v>
      </c>
      <c r="H355">
        <v>8</v>
      </c>
      <c r="J355" t="s">
        <v>17</v>
      </c>
      <c r="K355" t="s">
        <v>17</v>
      </c>
      <c r="L355" t="s">
        <v>17</v>
      </c>
      <c r="M355" t="s">
        <v>17</v>
      </c>
      <c r="N355" t="s">
        <v>17</v>
      </c>
      <c r="O355" s="5" t="s">
        <v>17</v>
      </c>
    </row>
    <row r="356" spans="2:15" x14ac:dyDescent="0.3">
      <c r="B356" s="4">
        <v>1496</v>
      </c>
      <c r="C356" t="s">
        <v>9</v>
      </c>
      <c r="D356" t="s">
        <v>10</v>
      </c>
      <c r="E356" t="s">
        <v>11</v>
      </c>
      <c r="F356">
        <v>8</v>
      </c>
      <c r="G356" t="s">
        <v>22</v>
      </c>
      <c r="H356">
        <v>1</v>
      </c>
      <c r="L356" t="s">
        <v>13</v>
      </c>
      <c r="M356" t="s">
        <v>13</v>
      </c>
      <c r="N356" t="s">
        <v>18</v>
      </c>
      <c r="O356" s="5" t="s">
        <v>17</v>
      </c>
    </row>
    <row r="357" spans="2:15" x14ac:dyDescent="0.3">
      <c r="B357" s="4">
        <v>150</v>
      </c>
      <c r="C357" t="s">
        <v>27</v>
      </c>
      <c r="D357" t="s">
        <v>28</v>
      </c>
      <c r="E357" t="s">
        <v>29</v>
      </c>
      <c r="F357">
        <v>6</v>
      </c>
      <c r="G357" t="s">
        <v>22</v>
      </c>
      <c r="H357">
        <v>1</v>
      </c>
      <c r="M357" t="s">
        <v>13</v>
      </c>
      <c r="N357" t="s">
        <v>13</v>
      </c>
      <c r="O357" s="5" t="s">
        <v>18</v>
      </c>
    </row>
    <row r="358" spans="2:15" x14ac:dyDescent="0.3">
      <c r="B358" s="4">
        <v>766</v>
      </c>
      <c r="C358" t="s">
        <v>49</v>
      </c>
      <c r="D358" t="s">
        <v>50</v>
      </c>
      <c r="E358" t="s">
        <v>51</v>
      </c>
      <c r="F358">
        <v>3</v>
      </c>
      <c r="G358" t="s">
        <v>22</v>
      </c>
      <c r="H358">
        <v>1</v>
      </c>
      <c r="L358" t="s">
        <v>18</v>
      </c>
      <c r="M358" t="s">
        <v>13</v>
      </c>
      <c r="N358" t="s">
        <v>18</v>
      </c>
      <c r="O358" s="5" t="s">
        <v>13</v>
      </c>
    </row>
    <row r="359" spans="2:15" x14ac:dyDescent="0.3">
      <c r="B359" s="4">
        <v>430</v>
      </c>
      <c r="C359" t="s">
        <v>43</v>
      </c>
      <c r="D359" t="s">
        <v>44</v>
      </c>
      <c r="E359" t="s">
        <v>45</v>
      </c>
      <c r="F359">
        <v>5</v>
      </c>
      <c r="G359" t="s">
        <v>55</v>
      </c>
      <c r="H359">
        <v>2</v>
      </c>
      <c r="L359" t="s">
        <v>13</v>
      </c>
      <c r="M359" t="s">
        <v>18</v>
      </c>
      <c r="N359" t="s">
        <v>17</v>
      </c>
      <c r="O359" s="5" t="s">
        <v>17</v>
      </c>
    </row>
    <row r="360" spans="2:15" x14ac:dyDescent="0.3">
      <c r="B360" s="4">
        <v>1</v>
      </c>
      <c r="C360" t="s">
        <v>9</v>
      </c>
      <c r="D360" t="s">
        <v>10</v>
      </c>
      <c r="E360" t="s">
        <v>11</v>
      </c>
      <c r="F360">
        <v>8</v>
      </c>
      <c r="G360" t="s">
        <v>81</v>
      </c>
      <c r="H360">
        <v>7</v>
      </c>
      <c r="I360" t="s">
        <v>13</v>
      </c>
      <c r="J360" t="s">
        <v>17</v>
      </c>
      <c r="K360" t="s">
        <v>17</v>
      </c>
      <c r="O360" s="5"/>
    </row>
    <row r="361" spans="2:15" x14ac:dyDescent="0.3">
      <c r="B361" s="4">
        <v>1843</v>
      </c>
      <c r="C361" t="s">
        <v>14</v>
      </c>
      <c r="D361" t="s">
        <v>15</v>
      </c>
      <c r="E361" t="s">
        <v>11</v>
      </c>
      <c r="F361">
        <v>8</v>
      </c>
      <c r="G361" t="s">
        <v>48</v>
      </c>
      <c r="H361">
        <v>16</v>
      </c>
      <c r="M361" t="s">
        <v>19</v>
      </c>
      <c r="N361" t="s">
        <v>17</v>
      </c>
      <c r="O361" s="5" t="s">
        <v>17</v>
      </c>
    </row>
    <row r="362" spans="2:15" x14ac:dyDescent="0.3">
      <c r="B362" s="4">
        <v>678</v>
      </c>
      <c r="C362" t="s">
        <v>14</v>
      </c>
      <c r="D362" t="s">
        <v>15</v>
      </c>
      <c r="E362" t="s">
        <v>11</v>
      </c>
      <c r="F362">
        <v>8</v>
      </c>
      <c r="G362" t="s">
        <v>87</v>
      </c>
      <c r="H362">
        <v>9</v>
      </c>
      <c r="J362" t="s">
        <v>18</v>
      </c>
      <c r="K362" t="s">
        <v>13</v>
      </c>
      <c r="L362" t="s">
        <v>13</v>
      </c>
      <c r="M362" t="s">
        <v>13</v>
      </c>
      <c r="N362" t="s">
        <v>13</v>
      </c>
      <c r="O362" s="5" t="s">
        <v>18</v>
      </c>
    </row>
    <row r="363" spans="2:15" x14ac:dyDescent="0.3">
      <c r="B363" s="4">
        <v>838</v>
      </c>
      <c r="C363" t="s">
        <v>46</v>
      </c>
      <c r="D363" t="s">
        <v>47</v>
      </c>
      <c r="E363" t="s">
        <v>11</v>
      </c>
      <c r="F363">
        <v>8</v>
      </c>
      <c r="G363" t="s">
        <v>87</v>
      </c>
      <c r="H363">
        <v>9</v>
      </c>
      <c r="N363" t="s">
        <v>13</v>
      </c>
      <c r="O363" s="5" t="s">
        <v>52</v>
      </c>
    </row>
    <row r="364" spans="2:15" x14ac:dyDescent="0.3">
      <c r="B364" s="4">
        <v>571</v>
      </c>
      <c r="C364" t="s">
        <v>72</v>
      </c>
      <c r="D364" t="s">
        <v>73</v>
      </c>
      <c r="E364" t="s">
        <v>11</v>
      </c>
      <c r="F364">
        <v>8</v>
      </c>
      <c r="G364" t="s">
        <v>22</v>
      </c>
      <c r="H364">
        <v>1</v>
      </c>
      <c r="I364" t="s">
        <v>34</v>
      </c>
      <c r="J364" t="s">
        <v>34</v>
      </c>
      <c r="K364" t="s">
        <v>35</v>
      </c>
      <c r="O364" s="5"/>
    </row>
    <row r="365" spans="2:15" x14ac:dyDescent="0.3">
      <c r="B365" s="4">
        <v>641</v>
      </c>
      <c r="C365" t="s">
        <v>14</v>
      </c>
      <c r="D365" t="s">
        <v>15</v>
      </c>
      <c r="E365" t="s">
        <v>11</v>
      </c>
      <c r="F365">
        <v>8</v>
      </c>
      <c r="G365" t="s">
        <v>16</v>
      </c>
      <c r="H365">
        <v>6</v>
      </c>
      <c r="I365" t="s">
        <v>13</v>
      </c>
      <c r="J365" t="s">
        <v>13</v>
      </c>
      <c r="K365" t="s">
        <v>13</v>
      </c>
      <c r="L365" t="s">
        <v>13</v>
      </c>
      <c r="M365" t="s">
        <v>13</v>
      </c>
      <c r="N365" t="s">
        <v>13</v>
      </c>
      <c r="O365" s="5"/>
    </row>
    <row r="366" spans="2:15" x14ac:dyDescent="0.3">
      <c r="B366" s="4">
        <v>1455</v>
      </c>
      <c r="C366" t="s">
        <v>14</v>
      </c>
      <c r="D366" t="s">
        <v>15</v>
      </c>
      <c r="E366" t="s">
        <v>11</v>
      </c>
      <c r="F366">
        <v>8</v>
      </c>
      <c r="G366" t="s">
        <v>81</v>
      </c>
      <c r="H366">
        <v>7</v>
      </c>
      <c r="M366" t="s">
        <v>13</v>
      </c>
      <c r="N366" t="s">
        <v>18</v>
      </c>
      <c r="O366" s="5" t="s">
        <v>13</v>
      </c>
    </row>
    <row r="367" spans="2:15" x14ac:dyDescent="0.3">
      <c r="B367" s="4">
        <v>70</v>
      </c>
      <c r="C367" t="s">
        <v>78</v>
      </c>
      <c r="D367" t="s">
        <v>79</v>
      </c>
      <c r="E367" t="s">
        <v>80</v>
      </c>
      <c r="F367">
        <v>10</v>
      </c>
      <c r="G367" t="s">
        <v>22</v>
      </c>
      <c r="H367">
        <v>1</v>
      </c>
      <c r="J367" t="s">
        <v>52</v>
      </c>
      <c r="K367" t="s">
        <v>17</v>
      </c>
      <c r="O367" s="5"/>
    </row>
    <row r="368" spans="2:15" x14ac:dyDescent="0.3">
      <c r="B368" s="4">
        <v>2349</v>
      </c>
      <c r="C368" t="s">
        <v>14</v>
      </c>
      <c r="D368" t="s">
        <v>15</v>
      </c>
      <c r="E368" t="s">
        <v>11</v>
      </c>
      <c r="F368">
        <v>8</v>
      </c>
      <c r="G368" t="s">
        <v>88</v>
      </c>
      <c r="H368">
        <v>12</v>
      </c>
      <c r="K368" t="s">
        <v>17</v>
      </c>
      <c r="L368" t="s">
        <v>17</v>
      </c>
      <c r="O368" s="5"/>
    </row>
    <row r="369" spans="2:15" x14ac:dyDescent="0.3">
      <c r="B369" s="4">
        <v>75</v>
      </c>
      <c r="C369" t="s">
        <v>61</v>
      </c>
      <c r="D369" t="s">
        <v>62</v>
      </c>
      <c r="E369" t="s">
        <v>11</v>
      </c>
      <c r="F369">
        <v>8</v>
      </c>
      <c r="G369" t="s">
        <v>89</v>
      </c>
      <c r="H369">
        <v>11</v>
      </c>
      <c r="I369" t="s">
        <v>18</v>
      </c>
      <c r="J369" t="s">
        <v>17</v>
      </c>
      <c r="K369" t="s">
        <v>18</v>
      </c>
      <c r="L369" t="s">
        <v>17</v>
      </c>
      <c r="M369" t="s">
        <v>19</v>
      </c>
      <c r="N369" t="s">
        <v>18</v>
      </c>
      <c r="O369" s="5" t="s">
        <v>13</v>
      </c>
    </row>
    <row r="370" spans="2:15" x14ac:dyDescent="0.3">
      <c r="B370" s="4">
        <v>1161</v>
      </c>
      <c r="C370" t="s">
        <v>61</v>
      </c>
      <c r="D370" t="s">
        <v>62</v>
      </c>
      <c r="E370" t="s">
        <v>11</v>
      </c>
      <c r="F370">
        <v>8</v>
      </c>
      <c r="G370" t="s">
        <v>89</v>
      </c>
      <c r="H370">
        <v>11</v>
      </c>
      <c r="J370" t="s">
        <v>18</v>
      </c>
      <c r="K370" t="s">
        <v>18</v>
      </c>
      <c r="O370" s="5"/>
    </row>
    <row r="371" spans="2:15" x14ac:dyDescent="0.3">
      <c r="B371" s="4">
        <v>54</v>
      </c>
      <c r="C371" t="s">
        <v>14</v>
      </c>
      <c r="D371" t="s">
        <v>15</v>
      </c>
      <c r="E371" t="s">
        <v>11</v>
      </c>
      <c r="F371">
        <v>8</v>
      </c>
      <c r="G371" t="s">
        <v>88</v>
      </c>
      <c r="H371">
        <v>12</v>
      </c>
      <c r="I371" t="s">
        <v>13</v>
      </c>
      <c r="J371" t="s">
        <v>13</v>
      </c>
      <c r="K371" t="s">
        <v>18</v>
      </c>
      <c r="L371" t="s">
        <v>13</v>
      </c>
      <c r="M371" t="s">
        <v>18</v>
      </c>
      <c r="N371" t="s">
        <v>18</v>
      </c>
      <c r="O371" s="5"/>
    </row>
    <row r="372" spans="2:15" x14ac:dyDescent="0.3">
      <c r="B372" s="4">
        <v>19</v>
      </c>
      <c r="C372" t="s">
        <v>49</v>
      </c>
      <c r="D372" t="s">
        <v>50</v>
      </c>
      <c r="E372" t="s">
        <v>51</v>
      </c>
      <c r="F372">
        <v>3</v>
      </c>
      <c r="G372" t="s">
        <v>88</v>
      </c>
      <c r="H372">
        <v>12</v>
      </c>
      <c r="N372" t="s">
        <v>13</v>
      </c>
      <c r="O372" s="5" t="s">
        <v>18</v>
      </c>
    </row>
    <row r="373" spans="2:15" x14ac:dyDescent="0.3">
      <c r="B373" s="4">
        <v>476</v>
      </c>
      <c r="C373" t="s">
        <v>46</v>
      </c>
      <c r="D373" t="s">
        <v>47</v>
      </c>
      <c r="E373" t="s">
        <v>11</v>
      </c>
      <c r="F373">
        <v>8</v>
      </c>
      <c r="G373" t="s">
        <v>55</v>
      </c>
      <c r="H373">
        <v>2</v>
      </c>
      <c r="M373" t="s">
        <v>13</v>
      </c>
      <c r="N373" t="s">
        <v>18</v>
      </c>
      <c r="O373" s="5" t="s">
        <v>17</v>
      </c>
    </row>
    <row r="374" spans="2:15" x14ac:dyDescent="0.3">
      <c r="B374" s="4">
        <v>89</v>
      </c>
      <c r="C374" t="s">
        <v>27</v>
      </c>
      <c r="D374" t="s">
        <v>28</v>
      </c>
      <c r="E374" t="s">
        <v>29</v>
      </c>
      <c r="F374">
        <v>6</v>
      </c>
      <c r="G374" t="s">
        <v>22</v>
      </c>
      <c r="H374">
        <v>1</v>
      </c>
      <c r="N374" t="s">
        <v>17</v>
      </c>
      <c r="O374" s="5" t="s">
        <v>13</v>
      </c>
    </row>
    <row r="375" spans="2:15" x14ac:dyDescent="0.3">
      <c r="B375" s="4">
        <v>753</v>
      </c>
      <c r="C375" t="s">
        <v>41</v>
      </c>
      <c r="D375" t="s">
        <v>42</v>
      </c>
      <c r="E375" t="s">
        <v>11</v>
      </c>
      <c r="F375">
        <v>8</v>
      </c>
      <c r="G375" t="s">
        <v>54</v>
      </c>
      <c r="H375">
        <v>8</v>
      </c>
      <c r="J375" t="s">
        <v>13</v>
      </c>
      <c r="K375" t="s">
        <v>18</v>
      </c>
      <c r="L375" t="s">
        <v>13</v>
      </c>
      <c r="M375" t="s">
        <v>13</v>
      </c>
      <c r="N375" t="s">
        <v>13</v>
      </c>
      <c r="O375" s="5"/>
    </row>
    <row r="376" spans="2:15" x14ac:dyDescent="0.3">
      <c r="B376" s="4">
        <v>9</v>
      </c>
      <c r="C376" t="s">
        <v>63</v>
      </c>
      <c r="D376" t="s">
        <v>64</v>
      </c>
      <c r="E376" t="s">
        <v>65</v>
      </c>
      <c r="F376">
        <v>14</v>
      </c>
      <c r="G376" t="s">
        <v>16</v>
      </c>
      <c r="H376">
        <v>6</v>
      </c>
      <c r="M376" t="s">
        <v>13</v>
      </c>
      <c r="N376" t="s">
        <v>18</v>
      </c>
      <c r="O376" s="5"/>
    </row>
    <row r="377" spans="2:15" x14ac:dyDescent="0.3">
      <c r="B377" s="4">
        <v>3487</v>
      </c>
      <c r="C377" t="s">
        <v>61</v>
      </c>
      <c r="D377" t="s">
        <v>62</v>
      </c>
      <c r="E377" t="s">
        <v>11</v>
      </c>
      <c r="F377">
        <v>8</v>
      </c>
      <c r="G377" t="s">
        <v>40</v>
      </c>
      <c r="H377">
        <v>3</v>
      </c>
      <c r="M377" t="s">
        <v>17</v>
      </c>
      <c r="N377" t="s">
        <v>17</v>
      </c>
      <c r="O377" s="5" t="s">
        <v>17</v>
      </c>
    </row>
    <row r="378" spans="2:15" x14ac:dyDescent="0.3">
      <c r="B378" s="4">
        <v>569</v>
      </c>
      <c r="C378" t="s">
        <v>63</v>
      </c>
      <c r="D378" t="s">
        <v>64</v>
      </c>
      <c r="E378" t="s">
        <v>65</v>
      </c>
      <c r="F378">
        <v>14</v>
      </c>
      <c r="G378" t="s">
        <v>66</v>
      </c>
      <c r="H378">
        <v>5</v>
      </c>
      <c r="N378" t="s">
        <v>19</v>
      </c>
      <c r="O378" s="5" t="s">
        <v>19</v>
      </c>
    </row>
    <row r="379" spans="2:15" x14ac:dyDescent="0.3">
      <c r="B379" s="4">
        <v>17</v>
      </c>
      <c r="C379" t="s">
        <v>23</v>
      </c>
      <c r="D379" t="s">
        <v>24</v>
      </c>
      <c r="E379" t="s">
        <v>25</v>
      </c>
      <c r="F379">
        <v>1</v>
      </c>
      <c r="G379" t="s">
        <v>16</v>
      </c>
      <c r="H379">
        <v>6</v>
      </c>
      <c r="I379" t="s">
        <v>13</v>
      </c>
      <c r="J379" t="s">
        <v>13</v>
      </c>
      <c r="K379" t="s">
        <v>18</v>
      </c>
      <c r="L379" t="s">
        <v>17</v>
      </c>
      <c r="M379" t="s">
        <v>13</v>
      </c>
      <c r="N379" t="s">
        <v>18</v>
      </c>
      <c r="O379" s="5" t="s">
        <v>18</v>
      </c>
    </row>
    <row r="380" spans="2:15" x14ac:dyDescent="0.3">
      <c r="B380" s="4">
        <v>35</v>
      </c>
      <c r="C380" t="s">
        <v>14</v>
      </c>
      <c r="D380" t="s">
        <v>15</v>
      </c>
      <c r="E380" t="s">
        <v>11</v>
      </c>
      <c r="F380">
        <v>8</v>
      </c>
      <c r="G380" t="s">
        <v>57</v>
      </c>
      <c r="H380">
        <v>10</v>
      </c>
      <c r="I380" t="s">
        <v>33</v>
      </c>
      <c r="J380" t="s">
        <v>33</v>
      </c>
      <c r="K380" t="s">
        <v>17</v>
      </c>
      <c r="L380" t="s">
        <v>17</v>
      </c>
      <c r="M380" t="s">
        <v>17</v>
      </c>
      <c r="N380" t="s">
        <v>17</v>
      </c>
      <c r="O380" s="5" t="s">
        <v>17</v>
      </c>
    </row>
    <row r="381" spans="2:15" x14ac:dyDescent="0.3">
      <c r="B381" s="4">
        <v>65</v>
      </c>
      <c r="C381" t="s">
        <v>100</v>
      </c>
      <c r="D381" t="s">
        <v>101</v>
      </c>
      <c r="E381" t="s">
        <v>102</v>
      </c>
      <c r="F381">
        <v>4</v>
      </c>
      <c r="G381" t="s">
        <v>38</v>
      </c>
      <c r="H381">
        <v>13</v>
      </c>
      <c r="I381" t="s">
        <v>52</v>
      </c>
      <c r="J381" t="s">
        <v>19</v>
      </c>
      <c r="K381" t="s">
        <v>19</v>
      </c>
      <c r="L381" t="s">
        <v>35</v>
      </c>
      <c r="O381" s="5"/>
    </row>
    <row r="382" spans="2:15" x14ac:dyDescent="0.3">
      <c r="B382" s="4">
        <v>1086</v>
      </c>
      <c r="C382" t="s">
        <v>14</v>
      </c>
      <c r="D382" t="s">
        <v>15</v>
      </c>
      <c r="E382" t="s">
        <v>11</v>
      </c>
      <c r="F382">
        <v>8</v>
      </c>
      <c r="G382" t="s">
        <v>26</v>
      </c>
      <c r="H382">
        <v>4</v>
      </c>
      <c r="N382" t="s">
        <v>13</v>
      </c>
      <c r="O382" s="5" t="s">
        <v>18</v>
      </c>
    </row>
    <row r="383" spans="2:15" x14ac:dyDescent="0.3">
      <c r="B383" s="4">
        <v>32</v>
      </c>
      <c r="C383" t="s">
        <v>14</v>
      </c>
      <c r="D383" t="s">
        <v>15</v>
      </c>
      <c r="E383" t="s">
        <v>11</v>
      </c>
      <c r="F383">
        <v>8</v>
      </c>
      <c r="G383" t="s">
        <v>12</v>
      </c>
      <c r="H383">
        <v>7</v>
      </c>
      <c r="K383" t="s">
        <v>13</v>
      </c>
      <c r="L383" t="s">
        <v>13</v>
      </c>
      <c r="M383" t="s">
        <v>17</v>
      </c>
      <c r="N383" t="s">
        <v>17</v>
      </c>
      <c r="O383" s="5" t="s">
        <v>18</v>
      </c>
    </row>
    <row r="384" spans="2:15" x14ac:dyDescent="0.3">
      <c r="B384" s="4">
        <v>1555</v>
      </c>
      <c r="C384" t="s">
        <v>46</v>
      </c>
      <c r="D384" t="s">
        <v>47</v>
      </c>
      <c r="E384" t="s">
        <v>11</v>
      </c>
      <c r="F384">
        <v>8</v>
      </c>
      <c r="G384" t="s">
        <v>22</v>
      </c>
      <c r="H384">
        <v>1</v>
      </c>
      <c r="N384" t="s">
        <v>17</v>
      </c>
      <c r="O384" s="5" t="s">
        <v>19</v>
      </c>
    </row>
    <row r="385" spans="2:15" x14ac:dyDescent="0.3">
      <c r="B385" s="4">
        <v>1091</v>
      </c>
      <c r="C385" t="s">
        <v>14</v>
      </c>
      <c r="D385" t="s">
        <v>15</v>
      </c>
      <c r="E385" t="s">
        <v>11</v>
      </c>
      <c r="F385">
        <v>8</v>
      </c>
      <c r="G385" t="s">
        <v>58</v>
      </c>
      <c r="H385">
        <v>17</v>
      </c>
      <c r="K385" t="s">
        <v>13</v>
      </c>
      <c r="L385" t="s">
        <v>13</v>
      </c>
      <c r="O385" s="5"/>
    </row>
    <row r="386" spans="2:15" x14ac:dyDescent="0.3">
      <c r="B386" s="4">
        <v>60</v>
      </c>
      <c r="C386" t="s">
        <v>9</v>
      </c>
      <c r="D386" t="s">
        <v>10</v>
      </c>
      <c r="E386" t="s">
        <v>11</v>
      </c>
      <c r="F386">
        <v>8</v>
      </c>
      <c r="G386" t="s">
        <v>54</v>
      </c>
      <c r="H386">
        <v>8</v>
      </c>
      <c r="O386" s="5" t="s">
        <v>18</v>
      </c>
    </row>
    <row r="387" spans="2:15" x14ac:dyDescent="0.3">
      <c r="B387" s="4">
        <v>361</v>
      </c>
      <c r="C387" t="s">
        <v>14</v>
      </c>
      <c r="D387" t="s">
        <v>15</v>
      </c>
      <c r="E387" t="s">
        <v>11</v>
      </c>
      <c r="F387">
        <v>8</v>
      </c>
      <c r="G387" t="s">
        <v>40</v>
      </c>
      <c r="H387">
        <v>3</v>
      </c>
      <c r="N387" t="s">
        <v>18</v>
      </c>
      <c r="O387" s="5" t="s">
        <v>18</v>
      </c>
    </row>
    <row r="388" spans="2:15" x14ac:dyDescent="0.3">
      <c r="B388" s="4">
        <v>105</v>
      </c>
      <c r="C388" t="s">
        <v>46</v>
      </c>
      <c r="D388" t="s">
        <v>47</v>
      </c>
      <c r="E388" t="s">
        <v>11</v>
      </c>
      <c r="F388">
        <v>8</v>
      </c>
      <c r="G388" t="s">
        <v>22</v>
      </c>
      <c r="H388">
        <v>1</v>
      </c>
      <c r="K388" t="s">
        <v>17</v>
      </c>
      <c r="L388" t="s">
        <v>17</v>
      </c>
      <c r="M388" t="s">
        <v>18</v>
      </c>
      <c r="N388" t="s">
        <v>13</v>
      </c>
      <c r="O388" s="5" t="s">
        <v>18</v>
      </c>
    </row>
    <row r="389" spans="2:15" x14ac:dyDescent="0.3">
      <c r="B389" s="4">
        <v>1439</v>
      </c>
      <c r="C389" t="s">
        <v>46</v>
      </c>
      <c r="D389" t="s">
        <v>47</v>
      </c>
      <c r="E389" t="s">
        <v>11</v>
      </c>
      <c r="F389">
        <v>8</v>
      </c>
      <c r="G389" t="s">
        <v>22</v>
      </c>
      <c r="H389">
        <v>1</v>
      </c>
      <c r="N389" t="s">
        <v>18</v>
      </c>
      <c r="O389" s="5" t="s">
        <v>19</v>
      </c>
    </row>
    <row r="390" spans="2:15" x14ac:dyDescent="0.3">
      <c r="B390" s="4">
        <v>86</v>
      </c>
      <c r="C390" t="s">
        <v>61</v>
      </c>
      <c r="D390" t="s">
        <v>62</v>
      </c>
      <c r="E390" t="s">
        <v>11</v>
      </c>
      <c r="F390">
        <v>8</v>
      </c>
      <c r="G390" t="s">
        <v>30</v>
      </c>
      <c r="H390">
        <v>18</v>
      </c>
      <c r="J390" t="s">
        <v>13</v>
      </c>
      <c r="K390" t="s">
        <v>13</v>
      </c>
      <c r="L390" t="s">
        <v>13</v>
      </c>
      <c r="M390" t="s">
        <v>18</v>
      </c>
      <c r="N390" t="s">
        <v>18</v>
      </c>
      <c r="O390" s="5" t="s">
        <v>18</v>
      </c>
    </row>
    <row r="391" spans="2:15" x14ac:dyDescent="0.3">
      <c r="B391" s="4">
        <v>330</v>
      </c>
      <c r="C391" t="s">
        <v>14</v>
      </c>
      <c r="D391" t="s">
        <v>15</v>
      </c>
      <c r="E391" t="s">
        <v>11</v>
      </c>
      <c r="F391">
        <v>8</v>
      </c>
      <c r="G391" t="s">
        <v>55</v>
      </c>
      <c r="H391">
        <v>2</v>
      </c>
      <c r="J391" t="s">
        <v>13</v>
      </c>
      <c r="K391" t="s">
        <v>13</v>
      </c>
      <c r="L391" t="s">
        <v>13</v>
      </c>
      <c r="M391" t="s">
        <v>18</v>
      </c>
      <c r="N391" t="s">
        <v>17</v>
      </c>
      <c r="O391" s="5" t="s">
        <v>17</v>
      </c>
    </row>
    <row r="392" spans="2:15" x14ac:dyDescent="0.3">
      <c r="B392" s="4">
        <v>2349</v>
      </c>
      <c r="C392" t="s">
        <v>14</v>
      </c>
      <c r="D392" t="s">
        <v>15</v>
      </c>
      <c r="E392" t="s">
        <v>11</v>
      </c>
      <c r="F392">
        <v>8</v>
      </c>
      <c r="G392" t="s">
        <v>54</v>
      </c>
      <c r="H392">
        <v>8</v>
      </c>
      <c r="M392" t="s">
        <v>13</v>
      </c>
      <c r="N392" t="s">
        <v>17</v>
      </c>
      <c r="O392" s="5" t="s">
        <v>17</v>
      </c>
    </row>
    <row r="393" spans="2:15" x14ac:dyDescent="0.3">
      <c r="B393" s="4">
        <v>1934</v>
      </c>
      <c r="C393" t="s">
        <v>61</v>
      </c>
      <c r="D393" t="s">
        <v>62</v>
      </c>
      <c r="E393" t="s">
        <v>11</v>
      </c>
      <c r="F393">
        <v>8</v>
      </c>
      <c r="G393" t="s">
        <v>16</v>
      </c>
      <c r="H393">
        <v>6</v>
      </c>
      <c r="L393" t="s">
        <v>17</v>
      </c>
      <c r="M393" t="s">
        <v>17</v>
      </c>
      <c r="N393" t="s">
        <v>18</v>
      </c>
      <c r="O393" s="5" t="s">
        <v>18</v>
      </c>
    </row>
    <row r="394" spans="2:15" x14ac:dyDescent="0.3">
      <c r="B394" s="4">
        <v>2008</v>
      </c>
      <c r="C394" t="s">
        <v>61</v>
      </c>
      <c r="D394" t="s">
        <v>62</v>
      </c>
      <c r="E394" t="s">
        <v>11</v>
      </c>
      <c r="F394">
        <v>8</v>
      </c>
      <c r="G394" t="s">
        <v>22</v>
      </c>
      <c r="H394">
        <v>1</v>
      </c>
      <c r="L394" t="s">
        <v>19</v>
      </c>
      <c r="M394" t="s">
        <v>13</v>
      </c>
      <c r="O394" s="5"/>
    </row>
    <row r="395" spans="2:15" x14ac:dyDescent="0.3">
      <c r="B395" s="4">
        <v>4357</v>
      </c>
      <c r="C395" t="s">
        <v>14</v>
      </c>
      <c r="D395" t="s">
        <v>15</v>
      </c>
      <c r="E395" t="s">
        <v>11</v>
      </c>
      <c r="F395">
        <v>8</v>
      </c>
      <c r="G395" t="s">
        <v>30</v>
      </c>
      <c r="H395">
        <v>18</v>
      </c>
      <c r="K395" t="s">
        <v>18</v>
      </c>
      <c r="L395" t="s">
        <v>13</v>
      </c>
      <c r="M395" t="s">
        <v>18</v>
      </c>
      <c r="N395" t="s">
        <v>18</v>
      </c>
      <c r="O395" s="5" t="s">
        <v>18</v>
      </c>
    </row>
    <row r="396" spans="2:15" x14ac:dyDescent="0.3">
      <c r="B396" s="4">
        <v>9</v>
      </c>
      <c r="C396" t="s">
        <v>14</v>
      </c>
      <c r="D396" t="s">
        <v>15</v>
      </c>
      <c r="E396" t="s">
        <v>11</v>
      </c>
      <c r="F396">
        <v>8</v>
      </c>
      <c r="G396" t="s">
        <v>74</v>
      </c>
      <c r="H396">
        <v>15</v>
      </c>
      <c r="I396" t="s">
        <v>13</v>
      </c>
      <c r="J396" t="s">
        <v>13</v>
      </c>
      <c r="K396" t="s">
        <v>13</v>
      </c>
      <c r="L396" t="s">
        <v>13</v>
      </c>
      <c r="M396" t="s">
        <v>13</v>
      </c>
      <c r="N396" t="s">
        <v>18</v>
      </c>
      <c r="O396" s="5" t="s">
        <v>17</v>
      </c>
    </row>
    <row r="397" spans="2:15" x14ac:dyDescent="0.3">
      <c r="B397" s="4">
        <v>33</v>
      </c>
      <c r="C397" t="s">
        <v>31</v>
      </c>
      <c r="D397" t="s">
        <v>32</v>
      </c>
      <c r="E397" t="s">
        <v>11</v>
      </c>
      <c r="F397">
        <v>8</v>
      </c>
      <c r="G397" t="s">
        <v>54</v>
      </c>
      <c r="H397">
        <v>8</v>
      </c>
      <c r="N397" t="s">
        <v>13</v>
      </c>
      <c r="O397" s="5" t="s">
        <v>17</v>
      </c>
    </row>
    <row r="398" spans="2:15" x14ac:dyDescent="0.3">
      <c r="B398" s="4">
        <v>487</v>
      </c>
      <c r="C398" t="s">
        <v>84</v>
      </c>
      <c r="D398" t="s">
        <v>85</v>
      </c>
      <c r="E398" t="s">
        <v>86</v>
      </c>
      <c r="F398">
        <v>12</v>
      </c>
      <c r="G398" t="s">
        <v>54</v>
      </c>
      <c r="H398">
        <v>8</v>
      </c>
      <c r="I398" t="s">
        <v>33</v>
      </c>
      <c r="J398" t="s">
        <v>33</v>
      </c>
      <c r="M398" t="s">
        <v>19</v>
      </c>
      <c r="N398" t="s">
        <v>19</v>
      </c>
      <c r="O398" s="5" t="s">
        <v>19</v>
      </c>
    </row>
    <row r="399" spans="2:15" x14ac:dyDescent="0.3">
      <c r="B399" s="4">
        <v>117</v>
      </c>
      <c r="C399" t="s">
        <v>84</v>
      </c>
      <c r="D399" t="s">
        <v>85</v>
      </c>
      <c r="E399" t="s">
        <v>86</v>
      </c>
      <c r="F399">
        <v>12</v>
      </c>
      <c r="G399" t="s">
        <v>30</v>
      </c>
      <c r="H399">
        <v>18</v>
      </c>
      <c r="L399" t="s">
        <v>13</v>
      </c>
      <c r="M399" t="s">
        <v>18</v>
      </c>
      <c r="N399" t="s">
        <v>18</v>
      </c>
      <c r="O399" s="5" t="s">
        <v>19</v>
      </c>
    </row>
    <row r="400" spans="2:15" x14ac:dyDescent="0.3">
      <c r="B400" s="4">
        <v>1906</v>
      </c>
      <c r="C400" t="s">
        <v>61</v>
      </c>
      <c r="D400" t="s">
        <v>62</v>
      </c>
      <c r="E400" t="s">
        <v>11</v>
      </c>
      <c r="F400">
        <v>8</v>
      </c>
      <c r="G400" t="s">
        <v>30</v>
      </c>
      <c r="H400">
        <v>18</v>
      </c>
      <c r="N400" t="s">
        <v>18</v>
      </c>
      <c r="O400" s="5" t="s">
        <v>13</v>
      </c>
    </row>
    <row r="401" spans="2:15" x14ac:dyDescent="0.3">
      <c r="B401" s="4">
        <v>294</v>
      </c>
      <c r="C401" t="s">
        <v>46</v>
      </c>
      <c r="D401" t="s">
        <v>47</v>
      </c>
      <c r="E401" t="s">
        <v>11</v>
      </c>
      <c r="F401">
        <v>8</v>
      </c>
      <c r="G401" t="s">
        <v>40</v>
      </c>
      <c r="H401">
        <v>3</v>
      </c>
      <c r="L401" t="s">
        <v>17</v>
      </c>
      <c r="M401" t="s">
        <v>17</v>
      </c>
      <c r="N401" t="s">
        <v>18</v>
      </c>
      <c r="O401" s="5" t="s">
        <v>18</v>
      </c>
    </row>
    <row r="402" spans="2:15" x14ac:dyDescent="0.3">
      <c r="B402" s="4">
        <v>34</v>
      </c>
      <c r="C402" t="s">
        <v>14</v>
      </c>
      <c r="D402" t="s">
        <v>15</v>
      </c>
      <c r="E402" t="s">
        <v>11</v>
      </c>
      <c r="F402">
        <v>8</v>
      </c>
      <c r="G402" t="s">
        <v>30</v>
      </c>
      <c r="H402">
        <v>18</v>
      </c>
      <c r="I402" t="s">
        <v>18</v>
      </c>
      <c r="J402" t="s">
        <v>18</v>
      </c>
      <c r="K402" t="s">
        <v>13</v>
      </c>
      <c r="L402" t="s">
        <v>18</v>
      </c>
      <c r="M402" t="s">
        <v>17</v>
      </c>
      <c r="N402" t="s">
        <v>17</v>
      </c>
      <c r="O402" s="5" t="s">
        <v>17</v>
      </c>
    </row>
    <row r="403" spans="2:15" x14ac:dyDescent="0.3">
      <c r="B403" s="4">
        <v>1255</v>
      </c>
      <c r="C403" t="s">
        <v>14</v>
      </c>
      <c r="D403" t="s">
        <v>15</v>
      </c>
      <c r="E403" t="s">
        <v>11</v>
      </c>
      <c r="F403">
        <v>8</v>
      </c>
      <c r="G403" t="s">
        <v>57</v>
      </c>
      <c r="H403">
        <v>10</v>
      </c>
      <c r="K403" t="s">
        <v>18</v>
      </c>
      <c r="L403" t="s">
        <v>18</v>
      </c>
      <c r="O403" s="5"/>
    </row>
    <row r="404" spans="2:15" x14ac:dyDescent="0.3">
      <c r="B404" s="4">
        <v>105</v>
      </c>
      <c r="C404" t="s">
        <v>14</v>
      </c>
      <c r="D404" t="s">
        <v>15</v>
      </c>
      <c r="E404" t="s">
        <v>11</v>
      </c>
      <c r="F404">
        <v>8</v>
      </c>
      <c r="G404" t="s">
        <v>57</v>
      </c>
      <c r="H404">
        <v>10</v>
      </c>
      <c r="N404" t="s">
        <v>13</v>
      </c>
      <c r="O404" s="5" t="s">
        <v>13</v>
      </c>
    </row>
    <row r="405" spans="2:15" x14ac:dyDescent="0.3">
      <c r="B405" s="4">
        <v>817</v>
      </c>
      <c r="C405" t="s">
        <v>49</v>
      </c>
      <c r="D405" t="s">
        <v>50</v>
      </c>
      <c r="E405" t="s">
        <v>51</v>
      </c>
      <c r="F405">
        <v>3</v>
      </c>
      <c r="G405" t="s">
        <v>88</v>
      </c>
      <c r="H405">
        <v>12</v>
      </c>
      <c r="M405" t="s">
        <v>17</v>
      </c>
      <c r="N405" t="s">
        <v>52</v>
      </c>
      <c r="O405" s="5" t="s">
        <v>52</v>
      </c>
    </row>
    <row r="406" spans="2:15" x14ac:dyDescent="0.3">
      <c r="B406" s="4">
        <v>225</v>
      </c>
      <c r="C406" t="s">
        <v>103</v>
      </c>
      <c r="D406" t="s">
        <v>104</v>
      </c>
      <c r="E406" t="s">
        <v>105</v>
      </c>
      <c r="F406">
        <v>2</v>
      </c>
      <c r="G406" t="s">
        <v>88</v>
      </c>
      <c r="H406">
        <v>12</v>
      </c>
      <c r="N406" t="s">
        <v>17</v>
      </c>
      <c r="O406" s="5" t="s">
        <v>17</v>
      </c>
    </row>
    <row r="407" spans="2:15" x14ac:dyDescent="0.3">
      <c r="B407" s="4">
        <v>84</v>
      </c>
      <c r="C407" t="s">
        <v>46</v>
      </c>
      <c r="D407" t="s">
        <v>47</v>
      </c>
      <c r="E407" t="s">
        <v>11</v>
      </c>
      <c r="F407">
        <v>8</v>
      </c>
      <c r="G407" t="s">
        <v>16</v>
      </c>
      <c r="H407">
        <v>6</v>
      </c>
      <c r="N407" t="s">
        <v>18</v>
      </c>
      <c r="O407" s="5" t="s">
        <v>18</v>
      </c>
    </row>
    <row r="408" spans="2:15" x14ac:dyDescent="0.3">
      <c r="B408" s="4">
        <v>3285</v>
      </c>
      <c r="C408" t="s">
        <v>14</v>
      </c>
      <c r="D408" t="s">
        <v>15</v>
      </c>
      <c r="E408" t="s">
        <v>11</v>
      </c>
      <c r="F408">
        <v>8</v>
      </c>
      <c r="G408" t="s">
        <v>16</v>
      </c>
      <c r="H408">
        <v>6</v>
      </c>
      <c r="M408" t="s">
        <v>18</v>
      </c>
      <c r="N408" t="s">
        <v>18</v>
      </c>
      <c r="O408" s="5"/>
    </row>
    <row r="409" spans="2:15" x14ac:dyDescent="0.3">
      <c r="B409" s="4">
        <v>7</v>
      </c>
      <c r="C409" t="s">
        <v>46</v>
      </c>
      <c r="D409" t="s">
        <v>47</v>
      </c>
      <c r="E409" t="s">
        <v>11</v>
      </c>
      <c r="F409">
        <v>8</v>
      </c>
      <c r="G409" t="s">
        <v>40</v>
      </c>
      <c r="H409">
        <v>3</v>
      </c>
      <c r="I409" t="s">
        <v>17</v>
      </c>
      <c r="J409" t="s">
        <v>18</v>
      </c>
      <c r="K409" t="s">
        <v>18</v>
      </c>
      <c r="L409" t="s">
        <v>18</v>
      </c>
      <c r="M409" t="s">
        <v>17</v>
      </c>
      <c r="N409" t="s">
        <v>52</v>
      </c>
      <c r="O409" s="5" t="s">
        <v>33</v>
      </c>
    </row>
    <row r="410" spans="2:15" x14ac:dyDescent="0.3">
      <c r="B410" s="4">
        <v>325</v>
      </c>
      <c r="C410" t="s">
        <v>46</v>
      </c>
      <c r="D410" t="s">
        <v>47</v>
      </c>
      <c r="E410" t="s">
        <v>11</v>
      </c>
      <c r="F410">
        <v>8</v>
      </c>
      <c r="G410" t="s">
        <v>87</v>
      </c>
      <c r="H410">
        <v>9</v>
      </c>
      <c r="I410" t="s">
        <v>17</v>
      </c>
      <c r="J410" t="s">
        <v>18</v>
      </c>
      <c r="K410" t="s">
        <v>19</v>
      </c>
      <c r="L410" t="s">
        <v>13</v>
      </c>
      <c r="M410" t="s">
        <v>17</v>
      </c>
      <c r="N410" t="s">
        <v>17</v>
      </c>
      <c r="O410" s="5" t="s">
        <v>18</v>
      </c>
    </row>
    <row r="411" spans="2:15" x14ac:dyDescent="0.3">
      <c r="B411" s="4">
        <v>208</v>
      </c>
      <c r="C411" t="s">
        <v>31</v>
      </c>
      <c r="D411" t="s">
        <v>32</v>
      </c>
      <c r="E411" t="s">
        <v>11</v>
      </c>
      <c r="F411">
        <v>8</v>
      </c>
      <c r="G411" t="s">
        <v>87</v>
      </c>
      <c r="H411">
        <v>9</v>
      </c>
      <c r="K411" t="s">
        <v>18</v>
      </c>
      <c r="L411" t="s">
        <v>18</v>
      </c>
      <c r="M411" t="s">
        <v>17</v>
      </c>
      <c r="N411" t="s">
        <v>17</v>
      </c>
      <c r="O411" s="5" t="s">
        <v>18</v>
      </c>
    </row>
    <row r="412" spans="2:15" x14ac:dyDescent="0.3">
      <c r="B412" s="4">
        <v>100</v>
      </c>
      <c r="C412" t="s">
        <v>49</v>
      </c>
      <c r="D412" t="s">
        <v>50</v>
      </c>
      <c r="E412" t="s">
        <v>51</v>
      </c>
      <c r="F412">
        <v>3</v>
      </c>
      <c r="G412" t="s">
        <v>26</v>
      </c>
      <c r="H412">
        <v>4</v>
      </c>
      <c r="N412" t="s">
        <v>13</v>
      </c>
      <c r="O412" s="5" t="s">
        <v>17</v>
      </c>
    </row>
    <row r="413" spans="2:15" x14ac:dyDescent="0.3">
      <c r="B413" s="4">
        <v>1278</v>
      </c>
      <c r="C413" t="s">
        <v>46</v>
      </c>
      <c r="D413" t="s">
        <v>47</v>
      </c>
      <c r="E413" t="s">
        <v>11</v>
      </c>
      <c r="F413">
        <v>8</v>
      </c>
      <c r="G413" t="s">
        <v>26</v>
      </c>
      <c r="H413">
        <v>4</v>
      </c>
      <c r="K413" t="s">
        <v>13</v>
      </c>
      <c r="L413" t="s">
        <v>13</v>
      </c>
      <c r="M413" t="s">
        <v>13</v>
      </c>
      <c r="N413" t="s">
        <v>13</v>
      </c>
      <c r="O413" s="5"/>
    </row>
    <row r="414" spans="2:15" x14ac:dyDescent="0.3">
      <c r="B414" s="4">
        <v>569</v>
      </c>
      <c r="C414" t="s">
        <v>49</v>
      </c>
      <c r="D414" t="s">
        <v>50</v>
      </c>
      <c r="E414" t="s">
        <v>51</v>
      </c>
      <c r="F414">
        <v>3</v>
      </c>
      <c r="G414" t="s">
        <v>12</v>
      </c>
      <c r="H414">
        <v>7</v>
      </c>
      <c r="L414" t="s">
        <v>13</v>
      </c>
      <c r="M414" t="s">
        <v>13</v>
      </c>
      <c r="N414" t="s">
        <v>13</v>
      </c>
      <c r="O414" s="5"/>
    </row>
    <row r="415" spans="2:15" x14ac:dyDescent="0.3">
      <c r="B415" s="4">
        <v>66</v>
      </c>
      <c r="C415" t="s">
        <v>46</v>
      </c>
      <c r="D415" t="s">
        <v>47</v>
      </c>
      <c r="E415" t="s">
        <v>11</v>
      </c>
      <c r="F415">
        <v>8</v>
      </c>
      <c r="G415" t="s">
        <v>30</v>
      </c>
      <c r="H415">
        <v>18</v>
      </c>
      <c r="L415" t="s">
        <v>13</v>
      </c>
      <c r="M415" t="s">
        <v>13</v>
      </c>
      <c r="N415" t="s">
        <v>13</v>
      </c>
      <c r="O415" s="5" t="s">
        <v>18</v>
      </c>
    </row>
    <row r="416" spans="2:15" x14ac:dyDescent="0.3">
      <c r="B416" s="4">
        <v>870</v>
      </c>
      <c r="C416" t="s">
        <v>46</v>
      </c>
      <c r="D416" t="s">
        <v>47</v>
      </c>
      <c r="E416" t="s">
        <v>11</v>
      </c>
      <c r="F416">
        <v>8</v>
      </c>
      <c r="G416" t="s">
        <v>30</v>
      </c>
      <c r="H416">
        <v>18</v>
      </c>
      <c r="K416" t="s">
        <v>18</v>
      </c>
      <c r="L416" t="s">
        <v>18</v>
      </c>
      <c r="M416" t="s">
        <v>13</v>
      </c>
      <c r="N416" t="s">
        <v>13</v>
      </c>
      <c r="O416" s="5" t="s">
        <v>19</v>
      </c>
    </row>
    <row r="417" spans="2:15" x14ac:dyDescent="0.3">
      <c r="B417" s="4">
        <v>2119</v>
      </c>
      <c r="C417" t="s">
        <v>14</v>
      </c>
      <c r="D417" t="s">
        <v>15</v>
      </c>
      <c r="E417" t="s">
        <v>11</v>
      </c>
      <c r="F417">
        <v>8</v>
      </c>
      <c r="G417" t="s">
        <v>30</v>
      </c>
      <c r="H417">
        <v>18</v>
      </c>
      <c r="N417" t="s">
        <v>13</v>
      </c>
      <c r="O417" s="5" t="s">
        <v>13</v>
      </c>
    </row>
    <row r="418" spans="2:15" x14ac:dyDescent="0.3">
      <c r="B418" s="4">
        <v>2144</v>
      </c>
      <c r="C418" t="s">
        <v>14</v>
      </c>
      <c r="D418" t="s">
        <v>15</v>
      </c>
      <c r="E418" t="s">
        <v>11</v>
      </c>
      <c r="F418">
        <v>8</v>
      </c>
      <c r="G418" t="s">
        <v>54</v>
      </c>
      <c r="H418">
        <v>8</v>
      </c>
      <c r="N418" t="s">
        <v>17</v>
      </c>
      <c r="O418" s="5" t="s">
        <v>17</v>
      </c>
    </row>
    <row r="419" spans="2:15" x14ac:dyDescent="0.3">
      <c r="B419" s="4">
        <v>6</v>
      </c>
      <c r="C419" t="s">
        <v>84</v>
      </c>
      <c r="D419" t="s">
        <v>85</v>
      </c>
      <c r="E419" t="s">
        <v>86</v>
      </c>
      <c r="F419">
        <v>12</v>
      </c>
      <c r="G419" t="s">
        <v>55</v>
      </c>
      <c r="H419">
        <v>2</v>
      </c>
      <c r="J419" t="s">
        <v>18</v>
      </c>
      <c r="K419" t="s">
        <v>13</v>
      </c>
      <c r="L419" t="s">
        <v>13</v>
      </c>
      <c r="M419" t="s">
        <v>13</v>
      </c>
      <c r="N419" t="s">
        <v>17</v>
      </c>
      <c r="O419" s="5" t="s">
        <v>18</v>
      </c>
    </row>
    <row r="420" spans="2:15" x14ac:dyDescent="0.3">
      <c r="B420" s="4">
        <v>204</v>
      </c>
      <c r="C420" t="s">
        <v>46</v>
      </c>
      <c r="D420" t="s">
        <v>47</v>
      </c>
      <c r="E420" t="s">
        <v>11</v>
      </c>
      <c r="F420">
        <v>8</v>
      </c>
      <c r="G420" t="s">
        <v>55</v>
      </c>
      <c r="H420">
        <v>2</v>
      </c>
      <c r="M420" t="s">
        <v>18</v>
      </c>
      <c r="N420" t="s">
        <v>13</v>
      </c>
      <c r="O420" s="5" t="s">
        <v>13</v>
      </c>
    </row>
    <row r="421" spans="2:15" x14ac:dyDescent="0.3">
      <c r="B421" s="4">
        <v>7</v>
      </c>
      <c r="C421" t="s">
        <v>84</v>
      </c>
      <c r="D421" t="s">
        <v>85</v>
      </c>
      <c r="E421" t="s">
        <v>86</v>
      </c>
      <c r="F421">
        <v>12</v>
      </c>
      <c r="G421" t="s">
        <v>58</v>
      </c>
      <c r="H421">
        <v>17</v>
      </c>
      <c r="I421" t="s">
        <v>13</v>
      </c>
      <c r="J421" t="s">
        <v>18</v>
      </c>
      <c r="K421" t="s">
        <v>13</v>
      </c>
      <c r="O421" s="5"/>
    </row>
    <row r="422" spans="2:15" x14ac:dyDescent="0.3">
      <c r="B422" s="4">
        <v>193</v>
      </c>
      <c r="C422" t="s">
        <v>36</v>
      </c>
      <c r="D422" t="s">
        <v>37</v>
      </c>
      <c r="E422" t="s">
        <v>11</v>
      </c>
      <c r="F422">
        <v>8</v>
      </c>
      <c r="G422" t="s">
        <v>58</v>
      </c>
      <c r="H422">
        <v>17</v>
      </c>
      <c r="I422" t="s">
        <v>13</v>
      </c>
      <c r="J422" t="s">
        <v>13</v>
      </c>
      <c r="K422" t="s">
        <v>13</v>
      </c>
      <c r="L422" t="s">
        <v>18</v>
      </c>
      <c r="M422" t="s">
        <v>18</v>
      </c>
      <c r="N422" t="s">
        <v>18</v>
      </c>
      <c r="O422" s="5" t="s">
        <v>17</v>
      </c>
    </row>
    <row r="423" spans="2:15" x14ac:dyDescent="0.3">
      <c r="B423" s="4">
        <v>23</v>
      </c>
      <c r="C423" t="s">
        <v>46</v>
      </c>
      <c r="D423" t="s">
        <v>47</v>
      </c>
      <c r="E423" t="s">
        <v>11</v>
      </c>
      <c r="F423">
        <v>8</v>
      </c>
      <c r="G423" t="s">
        <v>58</v>
      </c>
      <c r="H423">
        <v>17</v>
      </c>
      <c r="M423" t="s">
        <v>13</v>
      </c>
      <c r="N423" t="s">
        <v>18</v>
      </c>
      <c r="O423" s="5" t="s">
        <v>18</v>
      </c>
    </row>
    <row r="424" spans="2:15" x14ac:dyDescent="0.3">
      <c r="B424" s="4">
        <v>14</v>
      </c>
      <c r="C424" t="s">
        <v>46</v>
      </c>
      <c r="D424" t="s">
        <v>47</v>
      </c>
      <c r="E424" t="s">
        <v>11</v>
      </c>
      <c r="F424">
        <v>8</v>
      </c>
      <c r="G424" t="s">
        <v>58</v>
      </c>
      <c r="H424">
        <v>17</v>
      </c>
      <c r="N424" t="s">
        <v>13</v>
      </c>
      <c r="O424" s="5" t="s">
        <v>18</v>
      </c>
    </row>
    <row r="425" spans="2:15" x14ac:dyDescent="0.3">
      <c r="B425" s="4">
        <v>599</v>
      </c>
      <c r="C425" t="s">
        <v>14</v>
      </c>
      <c r="D425" t="s">
        <v>15</v>
      </c>
      <c r="E425" t="s">
        <v>11</v>
      </c>
      <c r="F425">
        <v>8</v>
      </c>
      <c r="G425" t="s">
        <v>55</v>
      </c>
      <c r="H425">
        <v>2</v>
      </c>
      <c r="J425" t="s">
        <v>19</v>
      </c>
      <c r="K425" t="s">
        <v>19</v>
      </c>
      <c r="L425" t="s">
        <v>17</v>
      </c>
      <c r="M425" t="s">
        <v>17</v>
      </c>
      <c r="N425" t="s">
        <v>17</v>
      </c>
      <c r="O425" s="5"/>
    </row>
    <row r="426" spans="2:15" x14ac:dyDescent="0.3">
      <c r="B426" s="4">
        <v>884</v>
      </c>
      <c r="C426" t="s">
        <v>14</v>
      </c>
      <c r="D426" t="s">
        <v>15</v>
      </c>
      <c r="E426" t="s">
        <v>11</v>
      </c>
      <c r="F426">
        <v>8</v>
      </c>
      <c r="G426" t="s">
        <v>55</v>
      </c>
      <c r="H426">
        <v>2</v>
      </c>
      <c r="I426" t="s">
        <v>33</v>
      </c>
      <c r="J426" t="s">
        <v>33</v>
      </c>
      <c r="K426" t="s">
        <v>19</v>
      </c>
      <c r="L426" t="s">
        <v>18</v>
      </c>
      <c r="M426" t="s">
        <v>18</v>
      </c>
      <c r="N426" t="s">
        <v>18</v>
      </c>
      <c r="O426" s="5" t="s">
        <v>18</v>
      </c>
    </row>
    <row r="427" spans="2:15" x14ac:dyDescent="0.3">
      <c r="B427" s="4">
        <v>1</v>
      </c>
      <c r="C427" t="s">
        <v>9</v>
      </c>
      <c r="D427" t="s">
        <v>10</v>
      </c>
      <c r="E427" t="s">
        <v>11</v>
      </c>
      <c r="F427">
        <v>8</v>
      </c>
      <c r="G427" t="s">
        <v>66</v>
      </c>
      <c r="H427">
        <v>5</v>
      </c>
      <c r="I427" t="s">
        <v>18</v>
      </c>
      <c r="J427" t="s">
        <v>18</v>
      </c>
      <c r="K427" t="s">
        <v>19</v>
      </c>
      <c r="L427" t="s">
        <v>19</v>
      </c>
      <c r="M427" t="s">
        <v>19</v>
      </c>
      <c r="N427" t="s">
        <v>52</v>
      </c>
      <c r="O427" s="5" t="s">
        <v>17</v>
      </c>
    </row>
    <row r="428" spans="2:15" x14ac:dyDescent="0.3">
      <c r="B428" s="4">
        <v>538</v>
      </c>
      <c r="C428" t="s">
        <v>70</v>
      </c>
      <c r="D428" t="s">
        <v>71</v>
      </c>
      <c r="E428" t="s">
        <v>11</v>
      </c>
      <c r="F428">
        <v>8</v>
      </c>
      <c r="G428" t="s">
        <v>66</v>
      </c>
      <c r="H428">
        <v>5</v>
      </c>
      <c r="M428" t="s">
        <v>17</v>
      </c>
      <c r="N428" t="s">
        <v>17</v>
      </c>
      <c r="O428" s="5" t="s">
        <v>19</v>
      </c>
    </row>
    <row r="429" spans="2:15" x14ac:dyDescent="0.3">
      <c r="B429" s="4">
        <v>25</v>
      </c>
      <c r="C429" t="s">
        <v>14</v>
      </c>
      <c r="D429" t="s">
        <v>15</v>
      </c>
      <c r="E429" t="s">
        <v>11</v>
      </c>
      <c r="F429">
        <v>8</v>
      </c>
      <c r="G429" t="s">
        <v>89</v>
      </c>
      <c r="H429">
        <v>11</v>
      </c>
      <c r="I429" t="s">
        <v>13</v>
      </c>
      <c r="J429" t="s">
        <v>13</v>
      </c>
      <c r="K429" t="s">
        <v>13</v>
      </c>
      <c r="L429" t="s">
        <v>13</v>
      </c>
      <c r="M429" t="s">
        <v>13</v>
      </c>
      <c r="N429" t="s">
        <v>18</v>
      </c>
      <c r="O429" s="5" t="s">
        <v>18</v>
      </c>
    </row>
    <row r="430" spans="2:15" x14ac:dyDescent="0.3">
      <c r="B430" s="4">
        <v>68</v>
      </c>
      <c r="C430" t="s">
        <v>9</v>
      </c>
      <c r="D430" t="s">
        <v>10</v>
      </c>
      <c r="E430" t="s">
        <v>11</v>
      </c>
      <c r="F430">
        <v>8</v>
      </c>
      <c r="G430" t="s">
        <v>89</v>
      </c>
      <c r="H430">
        <v>11</v>
      </c>
      <c r="I430" t="s">
        <v>34</v>
      </c>
      <c r="J430" t="s">
        <v>52</v>
      </c>
      <c r="K430" t="s">
        <v>33</v>
      </c>
      <c r="L430" t="s">
        <v>52</v>
      </c>
      <c r="M430" t="s">
        <v>33</v>
      </c>
      <c r="N430" t="s">
        <v>33</v>
      </c>
      <c r="O430" s="5"/>
    </row>
    <row r="431" spans="2:15" x14ac:dyDescent="0.3">
      <c r="B431" s="4">
        <v>1995</v>
      </c>
      <c r="C431" t="s">
        <v>9</v>
      </c>
      <c r="D431" t="s">
        <v>10</v>
      </c>
      <c r="E431" t="s">
        <v>11</v>
      </c>
      <c r="F431">
        <v>8</v>
      </c>
      <c r="G431" t="s">
        <v>89</v>
      </c>
      <c r="H431">
        <v>11</v>
      </c>
      <c r="N431" t="s">
        <v>13</v>
      </c>
      <c r="O431" s="5" t="s">
        <v>13</v>
      </c>
    </row>
    <row r="432" spans="2:15" x14ac:dyDescent="0.3">
      <c r="B432" s="4">
        <v>57</v>
      </c>
      <c r="C432" t="s">
        <v>49</v>
      </c>
      <c r="D432" t="s">
        <v>50</v>
      </c>
      <c r="E432" t="s">
        <v>51</v>
      </c>
      <c r="F432">
        <v>3</v>
      </c>
      <c r="G432" t="s">
        <v>26</v>
      </c>
      <c r="H432">
        <v>4</v>
      </c>
      <c r="N432" t="s">
        <v>18</v>
      </c>
      <c r="O432" s="5" t="s">
        <v>13</v>
      </c>
    </row>
    <row r="433" spans="2:15" x14ac:dyDescent="0.3">
      <c r="B433" s="4">
        <v>445</v>
      </c>
      <c r="C433" t="s">
        <v>46</v>
      </c>
      <c r="D433" t="s">
        <v>47</v>
      </c>
      <c r="E433" t="s">
        <v>11</v>
      </c>
      <c r="F433">
        <v>8</v>
      </c>
      <c r="G433" t="s">
        <v>12</v>
      </c>
      <c r="H433">
        <v>7</v>
      </c>
      <c r="L433" t="s">
        <v>18</v>
      </c>
      <c r="M433" t="s">
        <v>13</v>
      </c>
      <c r="N433" t="s">
        <v>13</v>
      </c>
      <c r="O433" s="5"/>
    </row>
    <row r="434" spans="2:15" x14ac:dyDescent="0.3">
      <c r="B434" s="4">
        <v>573</v>
      </c>
      <c r="C434" t="s">
        <v>63</v>
      </c>
      <c r="D434" t="s">
        <v>64</v>
      </c>
      <c r="E434" t="s">
        <v>65</v>
      </c>
      <c r="F434">
        <v>14</v>
      </c>
      <c r="G434" t="s">
        <v>22</v>
      </c>
      <c r="H434">
        <v>1</v>
      </c>
      <c r="N434" t="s">
        <v>17</v>
      </c>
      <c r="O434" s="5" t="s">
        <v>17</v>
      </c>
    </row>
    <row r="435" spans="2:15" x14ac:dyDescent="0.3">
      <c r="B435" s="4">
        <v>21</v>
      </c>
      <c r="C435" t="s">
        <v>9</v>
      </c>
      <c r="D435" t="s">
        <v>10</v>
      </c>
      <c r="E435" t="s">
        <v>11</v>
      </c>
      <c r="F435">
        <v>8</v>
      </c>
      <c r="G435" t="s">
        <v>58</v>
      </c>
      <c r="H435">
        <v>17</v>
      </c>
      <c r="L435" t="s">
        <v>18</v>
      </c>
      <c r="M435" t="s">
        <v>13</v>
      </c>
      <c r="N435" t="s">
        <v>17</v>
      </c>
      <c r="O435" s="5" t="s">
        <v>17</v>
      </c>
    </row>
    <row r="436" spans="2:15" x14ac:dyDescent="0.3">
      <c r="B436" s="4">
        <v>119</v>
      </c>
      <c r="C436" t="s">
        <v>14</v>
      </c>
      <c r="D436" t="s">
        <v>15</v>
      </c>
      <c r="E436" t="s">
        <v>11</v>
      </c>
      <c r="F436">
        <v>8</v>
      </c>
      <c r="G436" t="s">
        <v>54</v>
      </c>
      <c r="H436">
        <v>8</v>
      </c>
      <c r="N436" t="s">
        <v>18</v>
      </c>
      <c r="O436" s="5" t="s">
        <v>19</v>
      </c>
    </row>
    <row r="437" spans="2:15" x14ac:dyDescent="0.3">
      <c r="B437" s="4">
        <v>1</v>
      </c>
      <c r="C437" t="s">
        <v>46</v>
      </c>
      <c r="D437" t="s">
        <v>47</v>
      </c>
      <c r="E437" t="s">
        <v>11</v>
      </c>
      <c r="F437">
        <v>8</v>
      </c>
      <c r="G437" t="s">
        <v>40</v>
      </c>
      <c r="H437">
        <v>3</v>
      </c>
      <c r="I437" t="s">
        <v>13</v>
      </c>
      <c r="J437" t="s">
        <v>13</v>
      </c>
      <c r="K437" t="s">
        <v>13</v>
      </c>
      <c r="L437" t="s">
        <v>13</v>
      </c>
      <c r="M437" t="s">
        <v>13</v>
      </c>
      <c r="N437" t="s">
        <v>13</v>
      </c>
      <c r="O437" s="5" t="s">
        <v>13</v>
      </c>
    </row>
    <row r="438" spans="2:15" x14ac:dyDescent="0.3">
      <c r="B438" s="4">
        <v>8</v>
      </c>
      <c r="C438" t="s">
        <v>46</v>
      </c>
      <c r="D438" t="s">
        <v>47</v>
      </c>
      <c r="E438" t="s">
        <v>11</v>
      </c>
      <c r="F438">
        <v>8</v>
      </c>
      <c r="G438" t="s">
        <v>22</v>
      </c>
      <c r="H438">
        <v>1</v>
      </c>
      <c r="I438" t="s">
        <v>19</v>
      </c>
      <c r="J438" t="s">
        <v>19</v>
      </c>
      <c r="K438" t="s">
        <v>52</v>
      </c>
      <c r="L438" t="s">
        <v>33</v>
      </c>
      <c r="M438" t="s">
        <v>19</v>
      </c>
      <c r="N438" t="s">
        <v>17</v>
      </c>
      <c r="O438" s="5" t="s">
        <v>17</v>
      </c>
    </row>
    <row r="439" spans="2:15" x14ac:dyDescent="0.3">
      <c r="B439" s="4">
        <v>606</v>
      </c>
      <c r="C439" t="s">
        <v>14</v>
      </c>
      <c r="D439" t="s">
        <v>15</v>
      </c>
      <c r="E439" t="s">
        <v>11</v>
      </c>
      <c r="F439">
        <v>8</v>
      </c>
      <c r="G439" t="s">
        <v>22</v>
      </c>
      <c r="H439">
        <v>1</v>
      </c>
      <c r="I439" t="s">
        <v>18</v>
      </c>
      <c r="J439" t="s">
        <v>13</v>
      </c>
      <c r="K439" t="s">
        <v>13</v>
      </c>
      <c r="M439" t="s">
        <v>17</v>
      </c>
      <c r="N439" t="s">
        <v>18</v>
      </c>
      <c r="O439" s="5" t="s">
        <v>18</v>
      </c>
    </row>
    <row r="440" spans="2:15" x14ac:dyDescent="0.3">
      <c r="B440" s="4">
        <v>392</v>
      </c>
      <c r="C440" t="s">
        <v>14</v>
      </c>
      <c r="D440" t="s">
        <v>15</v>
      </c>
      <c r="E440" t="s">
        <v>11</v>
      </c>
      <c r="F440">
        <v>8</v>
      </c>
      <c r="G440" t="s">
        <v>30</v>
      </c>
      <c r="H440">
        <v>18</v>
      </c>
      <c r="I440" t="s">
        <v>13</v>
      </c>
      <c r="J440" t="s">
        <v>13</v>
      </c>
      <c r="K440" t="s">
        <v>13</v>
      </c>
      <c r="L440" t="s">
        <v>13</v>
      </c>
      <c r="M440" t="s">
        <v>13</v>
      </c>
      <c r="N440" t="s">
        <v>18</v>
      </c>
      <c r="O440" s="5" t="s">
        <v>18</v>
      </c>
    </row>
    <row r="441" spans="2:15" x14ac:dyDescent="0.3">
      <c r="B441" s="4">
        <v>1602</v>
      </c>
      <c r="C441" t="s">
        <v>14</v>
      </c>
      <c r="D441" t="s">
        <v>15</v>
      </c>
      <c r="E441" t="s">
        <v>11</v>
      </c>
      <c r="F441">
        <v>8</v>
      </c>
      <c r="G441" t="s">
        <v>55</v>
      </c>
      <c r="H441">
        <v>2</v>
      </c>
      <c r="L441" t="s">
        <v>18</v>
      </c>
      <c r="M441" t="s">
        <v>18</v>
      </c>
      <c r="N441" t="s">
        <v>18</v>
      </c>
      <c r="O441" s="5" t="s">
        <v>17</v>
      </c>
    </row>
    <row r="442" spans="2:15" x14ac:dyDescent="0.3">
      <c r="B442" s="4">
        <v>225</v>
      </c>
      <c r="C442" t="s">
        <v>14</v>
      </c>
      <c r="D442" t="s">
        <v>15</v>
      </c>
      <c r="E442" t="s">
        <v>11</v>
      </c>
      <c r="F442">
        <v>8</v>
      </c>
      <c r="G442" t="s">
        <v>54</v>
      </c>
      <c r="H442">
        <v>8</v>
      </c>
      <c r="I442" t="s">
        <v>13</v>
      </c>
      <c r="J442" t="s">
        <v>13</v>
      </c>
      <c r="K442" t="s">
        <v>18</v>
      </c>
      <c r="L442" t="s">
        <v>13</v>
      </c>
      <c r="M442" t="s">
        <v>17</v>
      </c>
      <c r="N442" t="s">
        <v>19</v>
      </c>
      <c r="O442" s="5" t="s">
        <v>18</v>
      </c>
    </row>
    <row r="443" spans="2:15" x14ac:dyDescent="0.3">
      <c r="B443" s="4">
        <v>3697</v>
      </c>
      <c r="C443" t="s">
        <v>14</v>
      </c>
      <c r="D443" t="s">
        <v>15</v>
      </c>
      <c r="E443" t="s">
        <v>11</v>
      </c>
      <c r="F443">
        <v>8</v>
      </c>
      <c r="G443" t="s">
        <v>16</v>
      </c>
      <c r="H443">
        <v>6</v>
      </c>
      <c r="M443" t="s">
        <v>13</v>
      </c>
      <c r="N443" t="s">
        <v>17</v>
      </c>
      <c r="O443" s="5"/>
    </row>
    <row r="444" spans="2:15" x14ac:dyDescent="0.3">
      <c r="B444" s="4">
        <v>2</v>
      </c>
      <c r="C444" t="s">
        <v>46</v>
      </c>
      <c r="D444" t="s">
        <v>47</v>
      </c>
      <c r="E444" t="s">
        <v>11</v>
      </c>
      <c r="F444">
        <v>8</v>
      </c>
      <c r="G444" t="s">
        <v>22</v>
      </c>
      <c r="H444">
        <v>1</v>
      </c>
      <c r="K444" t="s">
        <v>13</v>
      </c>
      <c r="L444" t="s">
        <v>13</v>
      </c>
      <c r="M444" t="s">
        <v>13</v>
      </c>
      <c r="N444" t="s">
        <v>18</v>
      </c>
      <c r="O444" s="5" t="s">
        <v>18</v>
      </c>
    </row>
    <row r="445" spans="2:15" x14ac:dyDescent="0.3">
      <c r="B445" s="4">
        <v>1121</v>
      </c>
      <c r="C445" t="s">
        <v>46</v>
      </c>
      <c r="D445" t="s">
        <v>47</v>
      </c>
      <c r="E445" t="s">
        <v>11</v>
      </c>
      <c r="F445">
        <v>8</v>
      </c>
      <c r="G445" t="s">
        <v>30</v>
      </c>
      <c r="H445">
        <v>18</v>
      </c>
      <c r="N445" t="s">
        <v>13</v>
      </c>
      <c r="O445" s="5" t="s">
        <v>18</v>
      </c>
    </row>
    <row r="446" spans="2:15" x14ac:dyDescent="0.3">
      <c r="B446" s="4">
        <v>122</v>
      </c>
      <c r="C446" t="s">
        <v>41</v>
      </c>
      <c r="D446" t="s">
        <v>42</v>
      </c>
      <c r="E446" t="s">
        <v>11</v>
      </c>
      <c r="F446">
        <v>8</v>
      </c>
      <c r="G446" t="s">
        <v>74</v>
      </c>
      <c r="H446">
        <v>15</v>
      </c>
      <c r="K446" t="s">
        <v>52</v>
      </c>
      <c r="L446" t="s">
        <v>52</v>
      </c>
      <c r="M446" t="s">
        <v>19</v>
      </c>
      <c r="N446" t="s">
        <v>17</v>
      </c>
      <c r="O446" s="5" t="s">
        <v>18</v>
      </c>
    </row>
    <row r="447" spans="2:15" x14ac:dyDescent="0.3">
      <c r="B447" s="4">
        <v>1907</v>
      </c>
      <c r="C447" t="s">
        <v>92</v>
      </c>
      <c r="D447" t="s">
        <v>93</v>
      </c>
      <c r="E447" t="s">
        <v>11</v>
      </c>
      <c r="F447">
        <v>8</v>
      </c>
      <c r="G447" t="s">
        <v>26</v>
      </c>
      <c r="H447">
        <v>4</v>
      </c>
      <c r="M447" t="s">
        <v>18</v>
      </c>
      <c r="N447" t="s">
        <v>17</v>
      </c>
      <c r="O447" s="5" t="s">
        <v>18</v>
      </c>
    </row>
    <row r="448" spans="2:15" x14ac:dyDescent="0.3">
      <c r="B448" s="4">
        <v>3330</v>
      </c>
      <c r="C448" t="s">
        <v>14</v>
      </c>
      <c r="D448" t="s">
        <v>15</v>
      </c>
      <c r="E448" t="s">
        <v>11</v>
      </c>
      <c r="F448">
        <v>8</v>
      </c>
      <c r="G448" t="s">
        <v>55</v>
      </c>
      <c r="H448">
        <v>2</v>
      </c>
      <c r="M448" t="s">
        <v>18</v>
      </c>
      <c r="N448" t="s">
        <v>19</v>
      </c>
      <c r="O448" s="5"/>
    </row>
    <row r="449" spans="2:15" x14ac:dyDescent="0.3">
      <c r="B449" s="4">
        <v>4495</v>
      </c>
      <c r="C449" t="s">
        <v>14</v>
      </c>
      <c r="D449" t="s">
        <v>15</v>
      </c>
      <c r="E449" t="s">
        <v>11</v>
      </c>
      <c r="F449">
        <v>8</v>
      </c>
      <c r="G449" t="s">
        <v>48</v>
      </c>
      <c r="H449">
        <v>16</v>
      </c>
      <c r="N449" t="s">
        <v>17</v>
      </c>
      <c r="O449" s="5" t="s">
        <v>17</v>
      </c>
    </row>
    <row r="450" spans="2:15" x14ac:dyDescent="0.3">
      <c r="B450" s="4">
        <v>619</v>
      </c>
      <c r="C450" t="s">
        <v>100</v>
      </c>
      <c r="D450" t="s">
        <v>101</v>
      </c>
      <c r="E450" t="s">
        <v>102</v>
      </c>
      <c r="F450">
        <v>4</v>
      </c>
      <c r="G450" t="s">
        <v>81</v>
      </c>
      <c r="H450">
        <v>7</v>
      </c>
      <c r="K450" t="s">
        <v>13</v>
      </c>
      <c r="L450" t="s">
        <v>13</v>
      </c>
      <c r="M450" t="s">
        <v>13</v>
      </c>
      <c r="N450" t="s">
        <v>13</v>
      </c>
      <c r="O450" s="5" t="s">
        <v>13</v>
      </c>
    </row>
    <row r="451" spans="2:15" x14ac:dyDescent="0.3">
      <c r="B451" s="4">
        <v>391</v>
      </c>
      <c r="C451" t="s">
        <v>84</v>
      </c>
      <c r="D451" t="s">
        <v>85</v>
      </c>
      <c r="E451" t="s">
        <v>86</v>
      </c>
      <c r="F451">
        <v>12</v>
      </c>
      <c r="G451" t="s">
        <v>54</v>
      </c>
      <c r="H451">
        <v>8</v>
      </c>
      <c r="M451" t="s">
        <v>18</v>
      </c>
      <c r="N451" t="s">
        <v>13</v>
      </c>
      <c r="O451" s="5"/>
    </row>
    <row r="452" spans="2:15" x14ac:dyDescent="0.3">
      <c r="B452" s="4">
        <v>1</v>
      </c>
      <c r="C452" t="s">
        <v>46</v>
      </c>
      <c r="D452" t="s">
        <v>47</v>
      </c>
      <c r="E452" t="s">
        <v>11</v>
      </c>
      <c r="F452">
        <v>8</v>
      </c>
      <c r="G452" t="s">
        <v>54</v>
      </c>
      <c r="H452">
        <v>8</v>
      </c>
      <c r="I452" t="s">
        <v>13</v>
      </c>
      <c r="J452" t="s">
        <v>13</v>
      </c>
      <c r="K452" t="s">
        <v>13</v>
      </c>
      <c r="L452" t="s">
        <v>13</v>
      </c>
      <c r="M452" t="s">
        <v>13</v>
      </c>
      <c r="N452" t="s">
        <v>18</v>
      </c>
      <c r="O452" s="5" t="s">
        <v>18</v>
      </c>
    </row>
    <row r="453" spans="2:15" x14ac:dyDescent="0.3">
      <c r="B453" s="4">
        <v>1627</v>
      </c>
      <c r="C453" t="s">
        <v>23</v>
      </c>
      <c r="D453" t="s">
        <v>24</v>
      </c>
      <c r="E453" t="s">
        <v>25</v>
      </c>
      <c r="F453">
        <v>1</v>
      </c>
      <c r="G453" t="s">
        <v>22</v>
      </c>
      <c r="H453">
        <v>1</v>
      </c>
      <c r="L453" t="s">
        <v>17</v>
      </c>
      <c r="M453" t="s">
        <v>18</v>
      </c>
      <c r="N453" t="s">
        <v>17</v>
      </c>
      <c r="O453" s="5"/>
    </row>
    <row r="454" spans="2:15" x14ac:dyDescent="0.3">
      <c r="B454" s="4">
        <v>879</v>
      </c>
      <c r="C454" t="s">
        <v>49</v>
      </c>
      <c r="D454" t="s">
        <v>50</v>
      </c>
      <c r="E454" t="s">
        <v>51</v>
      </c>
      <c r="F454">
        <v>3</v>
      </c>
      <c r="G454" t="s">
        <v>22</v>
      </c>
      <c r="H454">
        <v>1</v>
      </c>
      <c r="M454" t="s">
        <v>17</v>
      </c>
      <c r="N454" t="s">
        <v>13</v>
      </c>
      <c r="O454" s="5" t="s">
        <v>18</v>
      </c>
    </row>
    <row r="455" spans="2:15" x14ac:dyDescent="0.3">
      <c r="B455" s="4">
        <v>4195</v>
      </c>
      <c r="C455" t="s">
        <v>23</v>
      </c>
      <c r="D455" t="s">
        <v>24</v>
      </c>
      <c r="E455" t="s">
        <v>25</v>
      </c>
      <c r="F455">
        <v>1</v>
      </c>
      <c r="G455" t="s">
        <v>22</v>
      </c>
      <c r="H455">
        <v>1</v>
      </c>
      <c r="M455" t="s">
        <v>17</v>
      </c>
      <c r="N455" t="s">
        <v>19</v>
      </c>
      <c r="O455" s="5" t="s">
        <v>19</v>
      </c>
    </row>
    <row r="456" spans="2:15" x14ac:dyDescent="0.3">
      <c r="B456" s="4">
        <v>949</v>
      </c>
      <c r="C456" t="s">
        <v>46</v>
      </c>
      <c r="D456" t="s">
        <v>47</v>
      </c>
      <c r="E456" t="s">
        <v>11</v>
      </c>
      <c r="F456">
        <v>8</v>
      </c>
      <c r="G456" t="s">
        <v>55</v>
      </c>
      <c r="H456">
        <v>2</v>
      </c>
      <c r="L456" t="s">
        <v>18</v>
      </c>
      <c r="M456" t="s">
        <v>18</v>
      </c>
      <c r="N456" t="s">
        <v>17</v>
      </c>
      <c r="O456" s="5" t="s">
        <v>17</v>
      </c>
    </row>
    <row r="457" spans="2:15" x14ac:dyDescent="0.3">
      <c r="B457" s="4">
        <v>2833</v>
      </c>
      <c r="C457" t="s">
        <v>14</v>
      </c>
      <c r="D457" t="s">
        <v>15</v>
      </c>
      <c r="E457" t="s">
        <v>11</v>
      </c>
      <c r="F457">
        <v>8</v>
      </c>
      <c r="G457" t="s">
        <v>81</v>
      </c>
      <c r="H457">
        <v>7</v>
      </c>
      <c r="M457" t="s">
        <v>13</v>
      </c>
      <c r="N457" t="s">
        <v>13</v>
      </c>
      <c r="O457" s="5" t="s">
        <v>18</v>
      </c>
    </row>
    <row r="458" spans="2:15" x14ac:dyDescent="0.3">
      <c r="B458" s="4">
        <v>132</v>
      </c>
      <c r="C458" t="s">
        <v>106</v>
      </c>
      <c r="D458" t="s">
        <v>107</v>
      </c>
      <c r="E458" t="s">
        <v>11</v>
      </c>
      <c r="F458">
        <v>8</v>
      </c>
      <c r="G458" t="s">
        <v>48</v>
      </c>
      <c r="H458">
        <v>16</v>
      </c>
      <c r="J458" t="s">
        <v>18</v>
      </c>
      <c r="K458" t="s">
        <v>17</v>
      </c>
      <c r="L458" t="s">
        <v>18</v>
      </c>
      <c r="M458" t="s">
        <v>17</v>
      </c>
      <c r="N458" t="s">
        <v>19</v>
      </c>
      <c r="O458" s="5" t="s">
        <v>17</v>
      </c>
    </row>
    <row r="459" spans="2:15" x14ac:dyDescent="0.3">
      <c r="B459" s="4">
        <v>2470</v>
      </c>
      <c r="C459" t="s">
        <v>61</v>
      </c>
      <c r="D459" t="s">
        <v>62</v>
      </c>
      <c r="E459" t="s">
        <v>11</v>
      </c>
      <c r="F459">
        <v>8</v>
      </c>
      <c r="G459" t="s">
        <v>87</v>
      </c>
      <c r="H459">
        <v>9</v>
      </c>
      <c r="K459" t="s">
        <v>52</v>
      </c>
      <c r="L459" t="s">
        <v>52</v>
      </c>
      <c r="M459" t="s">
        <v>19</v>
      </c>
      <c r="N459" t="s">
        <v>17</v>
      </c>
      <c r="O459" s="5" t="s">
        <v>17</v>
      </c>
    </row>
    <row r="460" spans="2:15" x14ac:dyDescent="0.3">
      <c r="B460" s="4">
        <v>1546</v>
      </c>
      <c r="C460" t="s">
        <v>14</v>
      </c>
      <c r="D460" t="s">
        <v>15</v>
      </c>
      <c r="E460" t="s">
        <v>11</v>
      </c>
      <c r="F460">
        <v>8</v>
      </c>
      <c r="G460" t="s">
        <v>87</v>
      </c>
      <c r="H460">
        <v>9</v>
      </c>
      <c r="I460" t="s">
        <v>13</v>
      </c>
      <c r="J460" t="s">
        <v>13</v>
      </c>
      <c r="O460" s="5"/>
    </row>
    <row r="461" spans="2:15" x14ac:dyDescent="0.3">
      <c r="B461" s="4">
        <v>2056</v>
      </c>
      <c r="C461" t="s">
        <v>23</v>
      </c>
      <c r="D461" t="s">
        <v>24</v>
      </c>
      <c r="E461" t="s">
        <v>25</v>
      </c>
      <c r="F461">
        <v>1</v>
      </c>
      <c r="G461" t="s">
        <v>22</v>
      </c>
      <c r="H461">
        <v>1</v>
      </c>
      <c r="N461" t="s">
        <v>18</v>
      </c>
      <c r="O461" s="5" t="s">
        <v>13</v>
      </c>
    </row>
    <row r="462" spans="2:15" x14ac:dyDescent="0.3">
      <c r="B462" s="4">
        <v>1072</v>
      </c>
      <c r="C462" t="s">
        <v>46</v>
      </c>
      <c r="D462" t="s">
        <v>47</v>
      </c>
      <c r="E462" t="s">
        <v>11</v>
      </c>
      <c r="F462">
        <v>8</v>
      </c>
      <c r="G462" t="s">
        <v>16</v>
      </c>
      <c r="H462">
        <v>6</v>
      </c>
      <c r="L462" t="s">
        <v>13</v>
      </c>
      <c r="M462" t="s">
        <v>17</v>
      </c>
      <c r="N462" t="s">
        <v>18</v>
      </c>
      <c r="O462" s="5" t="s">
        <v>18</v>
      </c>
    </row>
    <row r="463" spans="2:15" x14ac:dyDescent="0.3">
      <c r="B463" s="4">
        <v>1</v>
      </c>
      <c r="C463" t="s">
        <v>84</v>
      </c>
      <c r="D463" t="s">
        <v>85</v>
      </c>
      <c r="E463" t="s">
        <v>86</v>
      </c>
      <c r="F463">
        <v>12</v>
      </c>
      <c r="G463" t="s">
        <v>81</v>
      </c>
      <c r="H463">
        <v>7</v>
      </c>
      <c r="I463" t="s">
        <v>17</v>
      </c>
      <c r="J463" t="s">
        <v>13</v>
      </c>
      <c r="K463" t="s">
        <v>18</v>
      </c>
      <c r="O463" s="5"/>
    </row>
    <row r="464" spans="2:15" x14ac:dyDescent="0.3">
      <c r="B464" s="4">
        <v>681</v>
      </c>
      <c r="C464" t="s">
        <v>84</v>
      </c>
      <c r="D464" t="s">
        <v>85</v>
      </c>
      <c r="E464" t="s">
        <v>86</v>
      </c>
      <c r="F464">
        <v>12</v>
      </c>
      <c r="G464" t="s">
        <v>22</v>
      </c>
      <c r="H464">
        <v>1</v>
      </c>
      <c r="K464" t="s">
        <v>18</v>
      </c>
      <c r="L464" t="s">
        <v>18</v>
      </c>
      <c r="M464" t="s">
        <v>18</v>
      </c>
      <c r="N464" t="s">
        <v>17</v>
      </c>
      <c r="O464" s="5" t="s">
        <v>17</v>
      </c>
    </row>
    <row r="465" spans="2:15" x14ac:dyDescent="0.3">
      <c r="B465" s="4">
        <v>715</v>
      </c>
      <c r="C465" t="s">
        <v>46</v>
      </c>
      <c r="D465" t="s">
        <v>47</v>
      </c>
      <c r="E465" t="s">
        <v>11</v>
      </c>
      <c r="F465">
        <v>8</v>
      </c>
      <c r="G465" t="s">
        <v>88</v>
      </c>
      <c r="H465">
        <v>12</v>
      </c>
      <c r="N465" t="s">
        <v>17</v>
      </c>
      <c r="O465" s="5" t="s">
        <v>19</v>
      </c>
    </row>
    <row r="466" spans="2:15" x14ac:dyDescent="0.3">
      <c r="B466" s="4">
        <v>416</v>
      </c>
      <c r="C466" t="s">
        <v>46</v>
      </c>
      <c r="D466" t="s">
        <v>47</v>
      </c>
      <c r="E466" t="s">
        <v>11</v>
      </c>
      <c r="F466">
        <v>8</v>
      </c>
      <c r="G466" t="s">
        <v>89</v>
      </c>
      <c r="H466">
        <v>11</v>
      </c>
      <c r="I466" t="s">
        <v>17</v>
      </c>
      <c r="J466" t="s">
        <v>13</v>
      </c>
      <c r="K466" t="s">
        <v>13</v>
      </c>
      <c r="L466" t="s">
        <v>13</v>
      </c>
      <c r="M466" t="s">
        <v>13</v>
      </c>
      <c r="N466" t="s">
        <v>13</v>
      </c>
      <c r="O466" s="5" t="s">
        <v>18</v>
      </c>
    </row>
    <row r="467" spans="2:15" x14ac:dyDescent="0.3">
      <c r="B467" s="4">
        <v>226</v>
      </c>
      <c r="C467" t="s">
        <v>14</v>
      </c>
      <c r="D467" t="s">
        <v>15</v>
      </c>
      <c r="E467" t="s">
        <v>11</v>
      </c>
      <c r="F467">
        <v>8</v>
      </c>
      <c r="G467" t="s">
        <v>89</v>
      </c>
      <c r="H467">
        <v>11</v>
      </c>
      <c r="L467" t="s">
        <v>13</v>
      </c>
      <c r="M467" t="s">
        <v>13</v>
      </c>
      <c r="N467" t="s">
        <v>18</v>
      </c>
      <c r="O467" s="5" t="s">
        <v>13</v>
      </c>
    </row>
    <row r="468" spans="2:15" x14ac:dyDescent="0.3">
      <c r="B468" s="4">
        <v>36</v>
      </c>
      <c r="C468" t="s">
        <v>14</v>
      </c>
      <c r="D468" t="s">
        <v>15</v>
      </c>
      <c r="E468" t="s">
        <v>11</v>
      </c>
      <c r="F468">
        <v>8</v>
      </c>
      <c r="G468" t="s">
        <v>88</v>
      </c>
      <c r="H468">
        <v>12</v>
      </c>
      <c r="I468" t="s">
        <v>18</v>
      </c>
      <c r="J468" t="s">
        <v>18</v>
      </c>
      <c r="K468" t="s">
        <v>18</v>
      </c>
      <c r="L468" t="s">
        <v>13</v>
      </c>
      <c r="M468" t="s">
        <v>13</v>
      </c>
      <c r="N468" t="s">
        <v>17</v>
      </c>
      <c r="O468" s="5" t="s">
        <v>13</v>
      </c>
    </row>
    <row r="469" spans="2:15" x14ac:dyDescent="0.3">
      <c r="B469" s="4">
        <v>6</v>
      </c>
      <c r="C469" t="s">
        <v>14</v>
      </c>
      <c r="D469" t="s">
        <v>15</v>
      </c>
      <c r="E469" t="s">
        <v>11</v>
      </c>
      <c r="F469">
        <v>8</v>
      </c>
      <c r="G469" t="s">
        <v>88</v>
      </c>
      <c r="H469">
        <v>12</v>
      </c>
      <c r="I469" t="s">
        <v>18</v>
      </c>
      <c r="J469" t="s">
        <v>18</v>
      </c>
      <c r="K469" t="s">
        <v>13</v>
      </c>
      <c r="L469" t="s">
        <v>13</v>
      </c>
      <c r="M469" t="s">
        <v>13</v>
      </c>
      <c r="N469" t="s">
        <v>18</v>
      </c>
      <c r="O469" s="5" t="s">
        <v>17</v>
      </c>
    </row>
    <row r="470" spans="2:15" x14ac:dyDescent="0.3">
      <c r="B470" s="4">
        <v>257</v>
      </c>
      <c r="C470" t="s">
        <v>46</v>
      </c>
      <c r="D470" t="s">
        <v>47</v>
      </c>
      <c r="E470" t="s">
        <v>11</v>
      </c>
      <c r="F470">
        <v>8</v>
      </c>
      <c r="G470" t="s">
        <v>55</v>
      </c>
      <c r="H470">
        <v>2</v>
      </c>
      <c r="N470" t="s">
        <v>19</v>
      </c>
      <c r="O470" s="5" t="s">
        <v>17</v>
      </c>
    </row>
    <row r="471" spans="2:15" x14ac:dyDescent="0.3">
      <c r="B471" s="4">
        <v>2684</v>
      </c>
      <c r="C471" t="s">
        <v>23</v>
      </c>
      <c r="D471" t="s">
        <v>24</v>
      </c>
      <c r="E471" t="s">
        <v>25</v>
      </c>
      <c r="F471">
        <v>1</v>
      </c>
      <c r="G471" t="s">
        <v>22</v>
      </c>
      <c r="H471">
        <v>1</v>
      </c>
      <c r="L471" t="s">
        <v>13</v>
      </c>
      <c r="M471" t="s">
        <v>13</v>
      </c>
      <c r="O471" s="5"/>
    </row>
    <row r="472" spans="2:15" x14ac:dyDescent="0.3">
      <c r="B472" s="4">
        <v>371</v>
      </c>
      <c r="C472" t="s">
        <v>49</v>
      </c>
      <c r="D472" t="s">
        <v>50</v>
      </c>
      <c r="E472" t="s">
        <v>51</v>
      </c>
      <c r="F472">
        <v>3</v>
      </c>
      <c r="G472" t="s">
        <v>54</v>
      </c>
      <c r="H472">
        <v>8</v>
      </c>
      <c r="M472" t="s">
        <v>18</v>
      </c>
      <c r="N472" t="s">
        <v>13</v>
      </c>
      <c r="O472" s="5"/>
    </row>
    <row r="473" spans="2:15" x14ac:dyDescent="0.3">
      <c r="B473" s="4">
        <v>1595</v>
      </c>
      <c r="C473" t="s">
        <v>49</v>
      </c>
      <c r="D473" t="s">
        <v>50</v>
      </c>
      <c r="E473" t="s">
        <v>51</v>
      </c>
      <c r="F473">
        <v>3</v>
      </c>
      <c r="G473" t="s">
        <v>16</v>
      </c>
      <c r="H473">
        <v>6</v>
      </c>
      <c r="N473" t="s">
        <v>18</v>
      </c>
      <c r="O473" s="5" t="s">
        <v>18</v>
      </c>
    </row>
    <row r="474" spans="2:15" x14ac:dyDescent="0.3">
      <c r="B474" s="4">
        <v>984</v>
      </c>
      <c r="C474" t="s">
        <v>9</v>
      </c>
      <c r="D474" t="s">
        <v>10</v>
      </c>
      <c r="E474" t="s">
        <v>11</v>
      </c>
      <c r="F474">
        <v>8</v>
      </c>
      <c r="G474" t="s">
        <v>40</v>
      </c>
      <c r="H474">
        <v>3</v>
      </c>
      <c r="J474" t="s">
        <v>17</v>
      </c>
      <c r="K474" t="s">
        <v>17</v>
      </c>
      <c r="O474" s="5"/>
    </row>
    <row r="475" spans="2:15" x14ac:dyDescent="0.3">
      <c r="B475" s="4">
        <v>1167</v>
      </c>
      <c r="C475" t="s">
        <v>41</v>
      </c>
      <c r="D475" t="s">
        <v>42</v>
      </c>
      <c r="E475" t="s">
        <v>11</v>
      </c>
      <c r="F475">
        <v>8</v>
      </c>
      <c r="G475" t="s">
        <v>66</v>
      </c>
      <c r="H475">
        <v>5</v>
      </c>
      <c r="M475" t="s">
        <v>13</v>
      </c>
      <c r="N475" t="s">
        <v>19</v>
      </c>
      <c r="O475" s="5" t="s">
        <v>17</v>
      </c>
    </row>
    <row r="476" spans="2:15" x14ac:dyDescent="0.3">
      <c r="B476" s="4">
        <v>251</v>
      </c>
      <c r="C476" t="s">
        <v>23</v>
      </c>
      <c r="D476" t="s">
        <v>24</v>
      </c>
      <c r="E476" t="s">
        <v>25</v>
      </c>
      <c r="F476">
        <v>1</v>
      </c>
      <c r="G476" t="s">
        <v>16</v>
      </c>
      <c r="H476">
        <v>6</v>
      </c>
      <c r="L476" t="s">
        <v>13</v>
      </c>
      <c r="M476" t="s">
        <v>13</v>
      </c>
      <c r="N476" t="s">
        <v>13</v>
      </c>
      <c r="O476" s="5" t="s">
        <v>13</v>
      </c>
    </row>
    <row r="477" spans="2:15" x14ac:dyDescent="0.3">
      <c r="B477" s="4">
        <v>9</v>
      </c>
      <c r="C477" t="s">
        <v>46</v>
      </c>
      <c r="D477" t="s">
        <v>47</v>
      </c>
      <c r="E477" t="s">
        <v>11</v>
      </c>
      <c r="F477">
        <v>8</v>
      </c>
      <c r="G477" t="s">
        <v>57</v>
      </c>
      <c r="H477">
        <v>10</v>
      </c>
      <c r="I477" t="s">
        <v>18</v>
      </c>
      <c r="J477" t="s">
        <v>13</v>
      </c>
      <c r="K477" t="s">
        <v>13</v>
      </c>
      <c r="L477" t="s">
        <v>13</v>
      </c>
      <c r="N477" t="s">
        <v>13</v>
      </c>
      <c r="O477" s="5" t="s">
        <v>13</v>
      </c>
    </row>
    <row r="478" spans="2:15" x14ac:dyDescent="0.3">
      <c r="B478" s="4">
        <v>6</v>
      </c>
      <c r="C478" t="s">
        <v>46</v>
      </c>
      <c r="D478" t="s">
        <v>47</v>
      </c>
      <c r="E478" t="s">
        <v>11</v>
      </c>
      <c r="F478">
        <v>8</v>
      </c>
      <c r="G478" t="s">
        <v>38</v>
      </c>
      <c r="H478">
        <v>13</v>
      </c>
      <c r="I478" t="s">
        <v>18</v>
      </c>
      <c r="J478" t="s">
        <v>13</v>
      </c>
      <c r="K478" t="s">
        <v>13</v>
      </c>
      <c r="L478" t="s">
        <v>13</v>
      </c>
      <c r="M478" t="s">
        <v>13</v>
      </c>
      <c r="N478" t="s">
        <v>18</v>
      </c>
      <c r="O478" s="5" t="s">
        <v>17</v>
      </c>
    </row>
    <row r="479" spans="2:15" x14ac:dyDescent="0.3">
      <c r="B479" s="4">
        <v>29</v>
      </c>
      <c r="C479" t="s">
        <v>63</v>
      </c>
      <c r="D479" t="s">
        <v>64</v>
      </c>
      <c r="E479" t="s">
        <v>65</v>
      </c>
      <c r="F479">
        <v>14</v>
      </c>
      <c r="G479" t="s">
        <v>26</v>
      </c>
      <c r="H479">
        <v>4</v>
      </c>
      <c r="K479" t="s">
        <v>18</v>
      </c>
      <c r="L479" t="s">
        <v>13</v>
      </c>
      <c r="M479" t="s">
        <v>13</v>
      </c>
      <c r="N479" t="s">
        <v>13</v>
      </c>
      <c r="O479" s="5"/>
    </row>
    <row r="480" spans="2:15" x14ac:dyDescent="0.3">
      <c r="B480" s="4">
        <v>14</v>
      </c>
      <c r="C480" t="s">
        <v>63</v>
      </c>
      <c r="D480" t="s">
        <v>64</v>
      </c>
      <c r="E480" t="s">
        <v>65</v>
      </c>
      <c r="F480">
        <v>14</v>
      </c>
      <c r="G480" t="s">
        <v>12</v>
      </c>
      <c r="H480">
        <v>7</v>
      </c>
      <c r="I480" t="s">
        <v>13</v>
      </c>
      <c r="J480" t="s">
        <v>13</v>
      </c>
      <c r="K480" t="s">
        <v>13</v>
      </c>
      <c r="L480" t="s">
        <v>13</v>
      </c>
      <c r="O480" s="5"/>
    </row>
    <row r="481" spans="2:15" x14ac:dyDescent="0.3">
      <c r="B481" s="4">
        <v>573</v>
      </c>
      <c r="C481" t="s">
        <v>14</v>
      </c>
      <c r="D481" t="s">
        <v>15</v>
      </c>
      <c r="E481" t="s">
        <v>11</v>
      </c>
      <c r="F481">
        <v>8</v>
      </c>
      <c r="G481" t="s">
        <v>22</v>
      </c>
      <c r="H481">
        <v>1</v>
      </c>
      <c r="I481" t="s">
        <v>17</v>
      </c>
      <c r="J481" t="s">
        <v>19</v>
      </c>
      <c r="K481" t="s">
        <v>19</v>
      </c>
      <c r="L481" t="s">
        <v>18</v>
      </c>
      <c r="M481" t="s">
        <v>19</v>
      </c>
      <c r="N481" t="s">
        <v>18</v>
      </c>
      <c r="O481" s="5" t="s">
        <v>17</v>
      </c>
    </row>
    <row r="482" spans="2:15" x14ac:dyDescent="0.3">
      <c r="B482" s="4">
        <v>121</v>
      </c>
      <c r="C482" t="s">
        <v>36</v>
      </c>
      <c r="D482" t="s">
        <v>37</v>
      </c>
      <c r="E482" t="s">
        <v>11</v>
      </c>
      <c r="F482">
        <v>8</v>
      </c>
      <c r="G482" t="s">
        <v>58</v>
      </c>
      <c r="H482">
        <v>17</v>
      </c>
      <c r="I482" t="s">
        <v>17</v>
      </c>
      <c r="J482" t="s">
        <v>17</v>
      </c>
      <c r="K482" t="s">
        <v>13</v>
      </c>
      <c r="L482" t="s">
        <v>18</v>
      </c>
      <c r="M482" t="s">
        <v>13</v>
      </c>
      <c r="N482" t="s">
        <v>17</v>
      </c>
      <c r="O482" s="5"/>
    </row>
    <row r="483" spans="2:15" x14ac:dyDescent="0.3">
      <c r="B483" s="4">
        <v>119</v>
      </c>
      <c r="C483" t="s">
        <v>41</v>
      </c>
      <c r="D483" t="s">
        <v>42</v>
      </c>
      <c r="E483" t="s">
        <v>11</v>
      </c>
      <c r="F483">
        <v>8</v>
      </c>
      <c r="G483" t="s">
        <v>54</v>
      </c>
      <c r="H483">
        <v>8</v>
      </c>
      <c r="N483" t="s">
        <v>17</v>
      </c>
      <c r="O483" s="5" t="s">
        <v>13</v>
      </c>
    </row>
    <row r="484" spans="2:15" x14ac:dyDescent="0.3">
      <c r="B484" s="4">
        <v>554</v>
      </c>
      <c r="C484" t="s">
        <v>46</v>
      </c>
      <c r="D484" t="s">
        <v>47</v>
      </c>
      <c r="E484" t="s">
        <v>11</v>
      </c>
      <c r="F484">
        <v>8</v>
      </c>
      <c r="G484" t="s">
        <v>40</v>
      </c>
      <c r="H484">
        <v>3</v>
      </c>
      <c r="J484" t="s">
        <v>13</v>
      </c>
      <c r="K484" t="s">
        <v>13</v>
      </c>
      <c r="L484" t="s">
        <v>13</v>
      </c>
      <c r="M484" t="s">
        <v>13</v>
      </c>
      <c r="O484" s="5"/>
    </row>
    <row r="485" spans="2:15" x14ac:dyDescent="0.3">
      <c r="B485" s="4">
        <v>724</v>
      </c>
      <c r="C485" t="s">
        <v>46</v>
      </c>
      <c r="D485" t="s">
        <v>47</v>
      </c>
      <c r="E485" t="s">
        <v>11</v>
      </c>
      <c r="F485">
        <v>8</v>
      </c>
      <c r="G485" t="s">
        <v>22</v>
      </c>
      <c r="H485">
        <v>1</v>
      </c>
      <c r="M485" t="s">
        <v>19</v>
      </c>
      <c r="N485" t="s">
        <v>17</v>
      </c>
      <c r="O485" s="5"/>
    </row>
    <row r="486" spans="2:15" x14ac:dyDescent="0.3">
      <c r="B486" s="4">
        <v>540</v>
      </c>
      <c r="C486" t="s">
        <v>46</v>
      </c>
      <c r="D486" t="s">
        <v>47</v>
      </c>
      <c r="E486" t="s">
        <v>11</v>
      </c>
      <c r="F486">
        <v>8</v>
      </c>
      <c r="G486" t="s">
        <v>22</v>
      </c>
      <c r="H486">
        <v>1</v>
      </c>
      <c r="L486" t="s">
        <v>18</v>
      </c>
      <c r="M486" t="s">
        <v>18</v>
      </c>
      <c r="N486" t="s">
        <v>19</v>
      </c>
      <c r="O486" s="5" t="s">
        <v>33</v>
      </c>
    </row>
    <row r="487" spans="2:15" x14ac:dyDescent="0.3">
      <c r="B487" s="4">
        <v>28</v>
      </c>
      <c r="C487" t="s">
        <v>78</v>
      </c>
      <c r="D487" t="s">
        <v>79</v>
      </c>
      <c r="E487" t="s">
        <v>80</v>
      </c>
      <c r="F487">
        <v>10</v>
      </c>
      <c r="G487" t="s">
        <v>30</v>
      </c>
      <c r="H487">
        <v>18</v>
      </c>
      <c r="N487" t="s">
        <v>13</v>
      </c>
      <c r="O487" s="5" t="s">
        <v>13</v>
      </c>
    </row>
    <row r="488" spans="2:15" x14ac:dyDescent="0.3">
      <c r="B488" s="4">
        <v>578</v>
      </c>
      <c r="C488" t="s">
        <v>27</v>
      </c>
      <c r="D488" t="s">
        <v>28</v>
      </c>
      <c r="E488" t="s">
        <v>29</v>
      </c>
      <c r="F488">
        <v>6</v>
      </c>
      <c r="G488" t="s">
        <v>55</v>
      </c>
      <c r="H488">
        <v>2</v>
      </c>
      <c r="M488" t="s">
        <v>18</v>
      </c>
      <c r="N488" t="s">
        <v>18</v>
      </c>
      <c r="O488" s="5" t="s">
        <v>18</v>
      </c>
    </row>
    <row r="489" spans="2:15" x14ac:dyDescent="0.3">
      <c r="B489" s="4">
        <v>1073</v>
      </c>
      <c r="C489" t="s">
        <v>27</v>
      </c>
      <c r="D489" t="s">
        <v>28</v>
      </c>
      <c r="E489" t="s">
        <v>29</v>
      </c>
      <c r="F489">
        <v>6</v>
      </c>
      <c r="G489" t="s">
        <v>54</v>
      </c>
      <c r="H489">
        <v>8</v>
      </c>
      <c r="L489" t="s">
        <v>13</v>
      </c>
      <c r="M489" t="s">
        <v>13</v>
      </c>
      <c r="N489" t="s">
        <v>18</v>
      </c>
      <c r="O489" s="5"/>
    </row>
    <row r="490" spans="2:15" x14ac:dyDescent="0.3">
      <c r="B490" s="4">
        <v>804</v>
      </c>
      <c r="C490" t="s">
        <v>100</v>
      </c>
      <c r="D490" t="s">
        <v>101</v>
      </c>
      <c r="E490" t="s">
        <v>102</v>
      </c>
      <c r="F490">
        <v>4</v>
      </c>
      <c r="G490" t="s">
        <v>16</v>
      </c>
      <c r="H490">
        <v>6</v>
      </c>
      <c r="J490" t="s">
        <v>17</v>
      </c>
      <c r="K490" t="s">
        <v>17</v>
      </c>
      <c r="O490" s="5"/>
    </row>
    <row r="491" spans="2:15" x14ac:dyDescent="0.3">
      <c r="B491" s="4">
        <v>252</v>
      </c>
      <c r="C491" t="s">
        <v>49</v>
      </c>
      <c r="D491" t="s">
        <v>50</v>
      </c>
      <c r="E491" t="s">
        <v>51</v>
      </c>
      <c r="F491">
        <v>3</v>
      </c>
      <c r="G491" t="s">
        <v>22</v>
      </c>
      <c r="H491">
        <v>1</v>
      </c>
      <c r="M491" t="s">
        <v>13</v>
      </c>
      <c r="N491" t="s">
        <v>13</v>
      </c>
      <c r="O491" s="5" t="s">
        <v>18</v>
      </c>
    </row>
    <row r="492" spans="2:15" x14ac:dyDescent="0.3">
      <c r="B492" s="4">
        <v>2069</v>
      </c>
      <c r="C492" t="s">
        <v>72</v>
      </c>
      <c r="D492" t="s">
        <v>73</v>
      </c>
      <c r="E492" t="s">
        <v>11</v>
      </c>
      <c r="F492">
        <v>8</v>
      </c>
      <c r="G492" t="s">
        <v>30</v>
      </c>
      <c r="H492">
        <v>18</v>
      </c>
      <c r="N492" t="s">
        <v>13</v>
      </c>
      <c r="O492" s="5" t="s">
        <v>18</v>
      </c>
    </row>
    <row r="493" spans="2:15" x14ac:dyDescent="0.3">
      <c r="B493" s="4">
        <v>2821</v>
      </c>
      <c r="C493" t="s">
        <v>72</v>
      </c>
      <c r="D493" t="s">
        <v>73</v>
      </c>
      <c r="E493" t="s">
        <v>11</v>
      </c>
      <c r="F493">
        <v>8</v>
      </c>
      <c r="G493" t="s">
        <v>74</v>
      </c>
      <c r="H493">
        <v>15</v>
      </c>
      <c r="N493" t="s">
        <v>13</v>
      </c>
      <c r="O493" s="5" t="s">
        <v>13</v>
      </c>
    </row>
    <row r="494" spans="2:15" x14ac:dyDescent="0.3">
      <c r="B494" s="4">
        <v>2136</v>
      </c>
      <c r="C494" t="s">
        <v>20</v>
      </c>
      <c r="D494" t="s">
        <v>21</v>
      </c>
      <c r="E494" t="s">
        <v>11</v>
      </c>
      <c r="F494">
        <v>8</v>
      </c>
      <c r="G494" t="s">
        <v>54</v>
      </c>
      <c r="H494">
        <v>8</v>
      </c>
      <c r="N494" t="s">
        <v>13</v>
      </c>
      <c r="O494" s="5" t="s">
        <v>18</v>
      </c>
    </row>
    <row r="495" spans="2:15" x14ac:dyDescent="0.3">
      <c r="B495" s="4">
        <v>60</v>
      </c>
      <c r="C495" t="s">
        <v>14</v>
      </c>
      <c r="D495" t="s">
        <v>15</v>
      </c>
      <c r="E495" t="s">
        <v>11</v>
      </c>
      <c r="F495">
        <v>8</v>
      </c>
      <c r="G495" t="s">
        <v>54</v>
      </c>
      <c r="H495">
        <v>8</v>
      </c>
      <c r="K495" t="s">
        <v>17</v>
      </c>
      <c r="L495" t="s">
        <v>17</v>
      </c>
      <c r="M495" t="s">
        <v>19</v>
      </c>
      <c r="N495" t="s">
        <v>19</v>
      </c>
      <c r="O495" s="5"/>
    </row>
    <row r="496" spans="2:15" x14ac:dyDescent="0.3">
      <c r="B496" s="4">
        <v>876</v>
      </c>
      <c r="C496" t="s">
        <v>43</v>
      </c>
      <c r="D496" t="s">
        <v>44</v>
      </c>
      <c r="E496" t="s">
        <v>45</v>
      </c>
      <c r="F496">
        <v>5</v>
      </c>
      <c r="G496" t="s">
        <v>30</v>
      </c>
      <c r="H496">
        <v>18</v>
      </c>
      <c r="K496" t="s">
        <v>13</v>
      </c>
      <c r="L496" t="s">
        <v>17</v>
      </c>
      <c r="M496" t="s">
        <v>13</v>
      </c>
      <c r="N496" t="s">
        <v>13</v>
      </c>
      <c r="O496" s="5" t="s">
        <v>17</v>
      </c>
    </row>
    <row r="497" spans="2:15" x14ac:dyDescent="0.3">
      <c r="B497" s="4">
        <v>2233</v>
      </c>
      <c r="C497" t="s">
        <v>27</v>
      </c>
      <c r="D497" t="s">
        <v>28</v>
      </c>
      <c r="E497" t="s">
        <v>29</v>
      </c>
      <c r="F497">
        <v>6</v>
      </c>
      <c r="G497" t="s">
        <v>30</v>
      </c>
      <c r="H497">
        <v>18</v>
      </c>
      <c r="L497" t="s">
        <v>18</v>
      </c>
      <c r="M497" t="s">
        <v>52</v>
      </c>
      <c r="N497" t="s">
        <v>17</v>
      </c>
      <c r="O497" s="5" t="s">
        <v>17</v>
      </c>
    </row>
    <row r="498" spans="2:15" x14ac:dyDescent="0.3">
      <c r="B498" s="4">
        <v>1635</v>
      </c>
      <c r="C498" t="s">
        <v>84</v>
      </c>
      <c r="D498" t="s">
        <v>85</v>
      </c>
      <c r="E498" t="s">
        <v>86</v>
      </c>
      <c r="F498">
        <v>12</v>
      </c>
      <c r="G498" t="s">
        <v>40</v>
      </c>
      <c r="H498">
        <v>3</v>
      </c>
      <c r="J498" t="s">
        <v>19</v>
      </c>
      <c r="K498" t="s">
        <v>18</v>
      </c>
      <c r="O498" s="5"/>
    </row>
    <row r="499" spans="2:15" x14ac:dyDescent="0.3">
      <c r="B499" s="4">
        <v>2543</v>
      </c>
      <c r="C499" t="s">
        <v>14</v>
      </c>
      <c r="D499" t="s">
        <v>15</v>
      </c>
      <c r="E499" t="s">
        <v>11</v>
      </c>
      <c r="F499">
        <v>8</v>
      </c>
      <c r="G499" t="s">
        <v>30</v>
      </c>
      <c r="H499">
        <v>18</v>
      </c>
      <c r="M499" t="s">
        <v>18</v>
      </c>
      <c r="N499" t="s">
        <v>17</v>
      </c>
      <c r="O499" s="5" t="s">
        <v>34</v>
      </c>
    </row>
    <row r="500" spans="2:15" x14ac:dyDescent="0.3">
      <c r="B500" s="4">
        <v>639</v>
      </c>
      <c r="C500" t="s">
        <v>46</v>
      </c>
      <c r="D500" t="s">
        <v>47</v>
      </c>
      <c r="E500" t="s">
        <v>11</v>
      </c>
      <c r="F500">
        <v>8</v>
      </c>
      <c r="G500" t="s">
        <v>57</v>
      </c>
      <c r="H500">
        <v>10</v>
      </c>
      <c r="M500" t="s">
        <v>18</v>
      </c>
      <c r="N500" t="s">
        <v>19</v>
      </c>
      <c r="O500" s="5" t="s">
        <v>19</v>
      </c>
    </row>
    <row r="501" spans="2:15" x14ac:dyDescent="0.3">
      <c r="B501" s="4">
        <v>115</v>
      </c>
      <c r="C501" t="s">
        <v>46</v>
      </c>
      <c r="D501" t="s">
        <v>47</v>
      </c>
      <c r="E501" t="s">
        <v>11</v>
      </c>
      <c r="F501">
        <v>8</v>
      </c>
      <c r="G501" t="s">
        <v>57</v>
      </c>
      <c r="H501">
        <v>10</v>
      </c>
      <c r="J501" t="s">
        <v>13</v>
      </c>
      <c r="K501" t="s">
        <v>13</v>
      </c>
      <c r="L501" t="s">
        <v>13</v>
      </c>
      <c r="M501" t="s">
        <v>13</v>
      </c>
      <c r="N501" t="s">
        <v>13</v>
      </c>
      <c r="O501" s="5" t="s">
        <v>13</v>
      </c>
    </row>
    <row r="502" spans="2:15" x14ac:dyDescent="0.3">
      <c r="B502" s="4">
        <v>382</v>
      </c>
      <c r="C502" t="s">
        <v>14</v>
      </c>
      <c r="D502" t="s">
        <v>15</v>
      </c>
      <c r="E502" t="s">
        <v>11</v>
      </c>
      <c r="F502">
        <v>8</v>
      </c>
      <c r="G502" t="s">
        <v>88</v>
      </c>
      <c r="H502">
        <v>12</v>
      </c>
      <c r="N502" t="s">
        <v>18</v>
      </c>
      <c r="O502" s="5" t="s">
        <v>18</v>
      </c>
    </row>
    <row r="503" spans="2:15" x14ac:dyDescent="0.3">
      <c r="B503" s="4">
        <v>91</v>
      </c>
      <c r="C503" t="s">
        <v>31</v>
      </c>
      <c r="D503" t="s">
        <v>32</v>
      </c>
      <c r="E503" t="s">
        <v>11</v>
      </c>
      <c r="F503">
        <v>8</v>
      </c>
      <c r="G503" t="s">
        <v>88</v>
      </c>
      <c r="H503">
        <v>12</v>
      </c>
      <c r="K503" t="s">
        <v>17</v>
      </c>
      <c r="L503" t="s">
        <v>17</v>
      </c>
      <c r="M503" t="s">
        <v>18</v>
      </c>
      <c r="N503" t="s">
        <v>13</v>
      </c>
      <c r="O503" s="5"/>
    </row>
    <row r="504" spans="2:15" x14ac:dyDescent="0.3">
      <c r="B504" s="4">
        <v>355</v>
      </c>
      <c r="C504" t="s">
        <v>43</v>
      </c>
      <c r="D504" t="s">
        <v>44</v>
      </c>
      <c r="E504" t="s">
        <v>45</v>
      </c>
      <c r="F504">
        <v>5</v>
      </c>
      <c r="G504" t="s">
        <v>16</v>
      </c>
      <c r="H504">
        <v>6</v>
      </c>
      <c r="I504" t="s">
        <v>17</v>
      </c>
      <c r="J504" t="s">
        <v>19</v>
      </c>
      <c r="K504" t="s">
        <v>34</v>
      </c>
      <c r="L504" t="s">
        <v>35</v>
      </c>
      <c r="O504" s="5"/>
    </row>
    <row r="505" spans="2:15" x14ac:dyDescent="0.3">
      <c r="B505" s="4">
        <v>247</v>
      </c>
      <c r="C505" t="s">
        <v>49</v>
      </c>
      <c r="D505" t="s">
        <v>50</v>
      </c>
      <c r="E505" t="s">
        <v>51</v>
      </c>
      <c r="F505">
        <v>3</v>
      </c>
      <c r="G505" t="s">
        <v>16</v>
      </c>
      <c r="H505">
        <v>6</v>
      </c>
      <c r="N505" t="s">
        <v>18</v>
      </c>
      <c r="O505" s="5" t="s">
        <v>13</v>
      </c>
    </row>
    <row r="506" spans="2:15" x14ac:dyDescent="0.3">
      <c r="B506" s="4">
        <v>809</v>
      </c>
      <c r="C506" t="s">
        <v>41</v>
      </c>
      <c r="D506" t="s">
        <v>42</v>
      </c>
      <c r="E506" t="s">
        <v>11</v>
      </c>
      <c r="F506">
        <v>8</v>
      </c>
      <c r="G506" t="s">
        <v>40</v>
      </c>
      <c r="H506">
        <v>3</v>
      </c>
      <c r="M506" t="s">
        <v>18</v>
      </c>
      <c r="N506" t="s">
        <v>17</v>
      </c>
      <c r="O506" s="5" t="s">
        <v>19</v>
      </c>
    </row>
    <row r="507" spans="2:15" x14ac:dyDescent="0.3">
      <c r="B507" s="4">
        <v>2175</v>
      </c>
      <c r="C507" t="s">
        <v>59</v>
      </c>
      <c r="D507" t="s">
        <v>60</v>
      </c>
      <c r="E507" t="s">
        <v>11</v>
      </c>
      <c r="F507">
        <v>8</v>
      </c>
      <c r="G507" t="s">
        <v>87</v>
      </c>
      <c r="H507">
        <v>9</v>
      </c>
      <c r="L507" t="s">
        <v>17</v>
      </c>
      <c r="M507" t="s">
        <v>17</v>
      </c>
      <c r="N507" t="s">
        <v>18</v>
      </c>
      <c r="O507" s="5" t="s">
        <v>18</v>
      </c>
    </row>
    <row r="508" spans="2:15" x14ac:dyDescent="0.3">
      <c r="B508" s="4">
        <v>250</v>
      </c>
      <c r="C508" t="s">
        <v>23</v>
      </c>
      <c r="D508" t="s">
        <v>24</v>
      </c>
      <c r="E508" t="s">
        <v>25</v>
      </c>
      <c r="F508">
        <v>1</v>
      </c>
      <c r="G508" t="s">
        <v>87</v>
      </c>
      <c r="H508">
        <v>9</v>
      </c>
      <c r="N508" t="s">
        <v>17</v>
      </c>
      <c r="O508" s="5" t="s">
        <v>18</v>
      </c>
    </row>
    <row r="509" spans="2:15" x14ac:dyDescent="0.3">
      <c r="B509" s="4">
        <v>83</v>
      </c>
      <c r="C509" t="s">
        <v>46</v>
      </c>
      <c r="D509" t="s">
        <v>47</v>
      </c>
      <c r="E509" t="s">
        <v>11</v>
      </c>
      <c r="F509">
        <v>8</v>
      </c>
      <c r="G509" t="s">
        <v>26</v>
      </c>
      <c r="H509">
        <v>4</v>
      </c>
      <c r="J509" t="s">
        <v>18</v>
      </c>
      <c r="K509" t="s">
        <v>17</v>
      </c>
      <c r="L509" t="s">
        <v>13</v>
      </c>
      <c r="M509" t="s">
        <v>34</v>
      </c>
      <c r="N509" t="s">
        <v>33</v>
      </c>
      <c r="O509" s="5" t="s">
        <v>33</v>
      </c>
    </row>
    <row r="510" spans="2:15" x14ac:dyDescent="0.3">
      <c r="B510" s="4">
        <v>622</v>
      </c>
      <c r="C510" t="s">
        <v>63</v>
      </c>
      <c r="D510" t="s">
        <v>64</v>
      </c>
      <c r="E510" t="s">
        <v>65</v>
      </c>
      <c r="F510">
        <v>14</v>
      </c>
      <c r="G510" t="s">
        <v>26</v>
      </c>
      <c r="H510">
        <v>4</v>
      </c>
      <c r="M510" t="s">
        <v>13</v>
      </c>
      <c r="N510" t="s">
        <v>18</v>
      </c>
      <c r="O510" s="5" t="s">
        <v>18</v>
      </c>
    </row>
    <row r="511" spans="2:15" x14ac:dyDescent="0.3">
      <c r="B511" s="4">
        <v>3098</v>
      </c>
      <c r="C511" t="s">
        <v>20</v>
      </c>
      <c r="D511" t="s">
        <v>21</v>
      </c>
      <c r="E511" t="s">
        <v>11</v>
      </c>
      <c r="F511">
        <v>8</v>
      </c>
      <c r="G511" t="s">
        <v>12</v>
      </c>
      <c r="H511">
        <v>7</v>
      </c>
      <c r="N511" t="s">
        <v>17</v>
      </c>
      <c r="O511" s="5" t="s">
        <v>17</v>
      </c>
    </row>
    <row r="512" spans="2:15" x14ac:dyDescent="0.3">
      <c r="B512" s="4">
        <v>134</v>
      </c>
      <c r="C512" t="s">
        <v>49</v>
      </c>
      <c r="D512" t="s">
        <v>50</v>
      </c>
      <c r="E512" t="s">
        <v>51</v>
      </c>
      <c r="F512">
        <v>3</v>
      </c>
      <c r="G512" t="s">
        <v>30</v>
      </c>
      <c r="H512">
        <v>18</v>
      </c>
      <c r="K512" t="s">
        <v>13</v>
      </c>
      <c r="L512" t="s">
        <v>19</v>
      </c>
      <c r="M512" t="s">
        <v>13</v>
      </c>
      <c r="N512" t="s">
        <v>13</v>
      </c>
      <c r="O512" s="5" t="s">
        <v>13</v>
      </c>
    </row>
    <row r="513" spans="2:15" x14ac:dyDescent="0.3">
      <c r="B513" s="4">
        <v>1992</v>
      </c>
      <c r="C513" t="s">
        <v>20</v>
      </c>
      <c r="D513" t="s">
        <v>21</v>
      </c>
      <c r="E513" t="s">
        <v>11</v>
      </c>
      <c r="F513">
        <v>8</v>
      </c>
      <c r="G513" t="s">
        <v>30</v>
      </c>
      <c r="H513">
        <v>18</v>
      </c>
      <c r="N513" t="s">
        <v>19</v>
      </c>
      <c r="O513" s="5" t="s">
        <v>52</v>
      </c>
    </row>
    <row r="514" spans="2:15" x14ac:dyDescent="0.3">
      <c r="B514" s="4">
        <v>232</v>
      </c>
      <c r="C514" t="s">
        <v>14</v>
      </c>
      <c r="D514" t="s">
        <v>15</v>
      </c>
      <c r="E514" t="s">
        <v>11</v>
      </c>
      <c r="F514">
        <v>8</v>
      </c>
      <c r="G514" t="s">
        <v>30</v>
      </c>
      <c r="H514">
        <v>18</v>
      </c>
      <c r="K514" t="s">
        <v>13</v>
      </c>
      <c r="L514" t="s">
        <v>13</v>
      </c>
      <c r="M514" t="s">
        <v>18</v>
      </c>
      <c r="N514" t="s">
        <v>18</v>
      </c>
      <c r="O514" s="5" t="s">
        <v>13</v>
      </c>
    </row>
    <row r="515" spans="2:15" x14ac:dyDescent="0.3">
      <c r="B515" s="4">
        <v>1313</v>
      </c>
      <c r="C515" t="s">
        <v>23</v>
      </c>
      <c r="D515" t="s">
        <v>24</v>
      </c>
      <c r="E515" t="s">
        <v>25</v>
      </c>
      <c r="F515">
        <v>1</v>
      </c>
      <c r="G515" t="s">
        <v>54</v>
      </c>
      <c r="H515">
        <v>8</v>
      </c>
      <c r="N515" t="s">
        <v>13</v>
      </c>
      <c r="O515" s="5" t="s">
        <v>18</v>
      </c>
    </row>
    <row r="516" spans="2:15" x14ac:dyDescent="0.3">
      <c r="B516" s="4">
        <v>307</v>
      </c>
      <c r="C516" t="s">
        <v>49</v>
      </c>
      <c r="D516" t="s">
        <v>50</v>
      </c>
      <c r="E516" t="s">
        <v>51</v>
      </c>
      <c r="F516">
        <v>3</v>
      </c>
      <c r="G516" t="s">
        <v>55</v>
      </c>
      <c r="H516">
        <v>2</v>
      </c>
      <c r="N516" t="s">
        <v>52</v>
      </c>
      <c r="O516" s="5" t="s">
        <v>19</v>
      </c>
    </row>
    <row r="517" spans="2:15" x14ac:dyDescent="0.3">
      <c r="B517" s="4">
        <v>1</v>
      </c>
      <c r="C517" t="s">
        <v>49</v>
      </c>
      <c r="D517" t="s">
        <v>50</v>
      </c>
      <c r="E517" t="s">
        <v>51</v>
      </c>
      <c r="F517">
        <v>3</v>
      </c>
      <c r="G517" t="s">
        <v>55</v>
      </c>
      <c r="H517">
        <v>2</v>
      </c>
      <c r="L517" t="s">
        <v>17</v>
      </c>
      <c r="M517" t="s">
        <v>18</v>
      </c>
      <c r="N517" t="s">
        <v>17</v>
      </c>
      <c r="O517" s="5" t="s">
        <v>19</v>
      </c>
    </row>
    <row r="518" spans="2:15" x14ac:dyDescent="0.3">
      <c r="B518" s="4">
        <v>722</v>
      </c>
      <c r="C518" t="s">
        <v>49</v>
      </c>
      <c r="D518" t="s">
        <v>50</v>
      </c>
      <c r="E518" t="s">
        <v>51</v>
      </c>
      <c r="F518">
        <v>3</v>
      </c>
      <c r="G518" t="s">
        <v>58</v>
      </c>
      <c r="H518">
        <v>17</v>
      </c>
      <c r="M518" t="s">
        <v>18</v>
      </c>
      <c r="N518" t="s">
        <v>13</v>
      </c>
      <c r="O518" s="5" t="s">
        <v>13</v>
      </c>
    </row>
    <row r="519" spans="2:15" x14ac:dyDescent="0.3">
      <c r="B519" s="4">
        <v>999</v>
      </c>
      <c r="C519" t="s">
        <v>49</v>
      </c>
      <c r="D519" t="s">
        <v>50</v>
      </c>
      <c r="E519" t="s">
        <v>51</v>
      </c>
      <c r="F519">
        <v>3</v>
      </c>
      <c r="G519" t="s">
        <v>58</v>
      </c>
      <c r="H519">
        <v>17</v>
      </c>
      <c r="N519" t="s">
        <v>18</v>
      </c>
      <c r="O519" s="5" t="s">
        <v>18</v>
      </c>
    </row>
    <row r="520" spans="2:15" x14ac:dyDescent="0.3">
      <c r="B520" s="4">
        <v>900</v>
      </c>
      <c r="C520" t="s">
        <v>43</v>
      </c>
      <c r="D520" t="s">
        <v>44</v>
      </c>
      <c r="E520" t="s">
        <v>45</v>
      </c>
      <c r="F520">
        <v>5</v>
      </c>
      <c r="G520" t="s">
        <v>58</v>
      </c>
      <c r="H520">
        <v>17</v>
      </c>
      <c r="L520" t="s">
        <v>13</v>
      </c>
      <c r="M520" t="s">
        <v>13</v>
      </c>
      <c r="N520" t="s">
        <v>17</v>
      </c>
      <c r="O520" s="5" t="s">
        <v>13</v>
      </c>
    </row>
    <row r="521" spans="2:15" x14ac:dyDescent="0.3">
      <c r="B521" s="4">
        <v>466</v>
      </c>
      <c r="C521" t="s">
        <v>27</v>
      </c>
      <c r="D521" t="s">
        <v>28</v>
      </c>
      <c r="E521" t="s">
        <v>29</v>
      </c>
      <c r="F521">
        <v>6</v>
      </c>
      <c r="G521" t="s">
        <v>58</v>
      </c>
      <c r="H521">
        <v>17</v>
      </c>
      <c r="L521" t="s">
        <v>13</v>
      </c>
      <c r="M521" t="s">
        <v>13</v>
      </c>
      <c r="O521" s="5"/>
    </row>
    <row r="522" spans="2:15" x14ac:dyDescent="0.3">
      <c r="B522" s="4">
        <v>552</v>
      </c>
      <c r="C522" t="s">
        <v>27</v>
      </c>
      <c r="D522" t="s">
        <v>28</v>
      </c>
      <c r="E522" t="s">
        <v>29</v>
      </c>
      <c r="F522">
        <v>6</v>
      </c>
      <c r="G522" t="s">
        <v>55</v>
      </c>
      <c r="H522">
        <v>2</v>
      </c>
      <c r="L522" t="s">
        <v>13</v>
      </c>
      <c r="M522" t="s">
        <v>13</v>
      </c>
      <c r="O522" s="5"/>
    </row>
    <row r="523" spans="2:15" x14ac:dyDescent="0.3">
      <c r="B523" s="4">
        <v>436</v>
      </c>
      <c r="C523" t="s">
        <v>9</v>
      </c>
      <c r="D523" t="s">
        <v>10</v>
      </c>
      <c r="E523" t="s">
        <v>11</v>
      </c>
      <c r="F523">
        <v>8</v>
      </c>
      <c r="G523" t="s">
        <v>55</v>
      </c>
      <c r="H523">
        <v>2</v>
      </c>
      <c r="J523" t="s">
        <v>13</v>
      </c>
      <c r="K523" t="s">
        <v>13</v>
      </c>
      <c r="O523" s="5"/>
    </row>
    <row r="524" spans="2:15" x14ac:dyDescent="0.3">
      <c r="B524" s="4">
        <v>848</v>
      </c>
      <c r="C524" t="s">
        <v>46</v>
      </c>
      <c r="D524" t="s">
        <v>47</v>
      </c>
      <c r="E524" t="s">
        <v>11</v>
      </c>
      <c r="F524">
        <v>8</v>
      </c>
      <c r="G524" t="s">
        <v>66</v>
      </c>
      <c r="H524">
        <v>5</v>
      </c>
      <c r="M524" t="s">
        <v>13</v>
      </c>
      <c r="N524" t="s">
        <v>13</v>
      </c>
      <c r="O524" s="5" t="s">
        <v>13</v>
      </c>
    </row>
    <row r="525" spans="2:15" x14ac:dyDescent="0.3">
      <c r="B525" s="4">
        <v>932</v>
      </c>
      <c r="C525" t="s">
        <v>46</v>
      </c>
      <c r="D525" t="s">
        <v>47</v>
      </c>
      <c r="E525" t="s">
        <v>11</v>
      </c>
      <c r="F525">
        <v>8</v>
      </c>
      <c r="G525" t="s">
        <v>66</v>
      </c>
      <c r="H525">
        <v>5</v>
      </c>
      <c r="M525" t="s">
        <v>18</v>
      </c>
      <c r="N525" t="s">
        <v>17</v>
      </c>
      <c r="O525" s="5" t="s">
        <v>17</v>
      </c>
    </row>
    <row r="526" spans="2:15" x14ac:dyDescent="0.3">
      <c r="B526" s="4">
        <v>292</v>
      </c>
      <c r="C526" t="s">
        <v>27</v>
      </c>
      <c r="D526" t="s">
        <v>28</v>
      </c>
      <c r="E526" t="s">
        <v>29</v>
      </c>
      <c r="F526">
        <v>6</v>
      </c>
      <c r="G526" t="s">
        <v>89</v>
      </c>
      <c r="H526">
        <v>11</v>
      </c>
      <c r="I526" t="s">
        <v>13</v>
      </c>
      <c r="J526" t="s">
        <v>18</v>
      </c>
      <c r="L526" t="s">
        <v>13</v>
      </c>
      <c r="M526" t="s">
        <v>18</v>
      </c>
      <c r="O526" s="5"/>
    </row>
    <row r="527" spans="2:15" x14ac:dyDescent="0.3">
      <c r="B527" s="4">
        <v>141</v>
      </c>
      <c r="C527" t="s">
        <v>46</v>
      </c>
      <c r="D527" t="s">
        <v>47</v>
      </c>
      <c r="E527" t="s">
        <v>11</v>
      </c>
      <c r="F527">
        <v>8</v>
      </c>
      <c r="G527" t="s">
        <v>89</v>
      </c>
      <c r="H527">
        <v>11</v>
      </c>
      <c r="I527" t="s">
        <v>13</v>
      </c>
      <c r="J527" t="s">
        <v>13</v>
      </c>
      <c r="K527" t="s">
        <v>13</v>
      </c>
      <c r="L527" t="s">
        <v>13</v>
      </c>
      <c r="M527" t="s">
        <v>13</v>
      </c>
      <c r="O527" s="5"/>
    </row>
    <row r="528" spans="2:15" x14ac:dyDescent="0.3">
      <c r="B528" s="4">
        <v>622</v>
      </c>
      <c r="C528" t="s">
        <v>14</v>
      </c>
      <c r="D528" t="s">
        <v>15</v>
      </c>
      <c r="E528" t="s">
        <v>11</v>
      </c>
      <c r="F528">
        <v>8</v>
      </c>
      <c r="G528" t="s">
        <v>89</v>
      </c>
      <c r="H528">
        <v>11</v>
      </c>
      <c r="I528" t="s">
        <v>13</v>
      </c>
      <c r="J528" t="s">
        <v>13</v>
      </c>
      <c r="K528" t="s">
        <v>18</v>
      </c>
      <c r="L528" t="s">
        <v>13</v>
      </c>
      <c r="M528" t="s">
        <v>13</v>
      </c>
      <c r="N528" t="s">
        <v>13</v>
      </c>
      <c r="O528" s="5" t="s">
        <v>17</v>
      </c>
    </row>
    <row r="529" spans="2:15" x14ac:dyDescent="0.3">
      <c r="B529" s="4">
        <v>2237</v>
      </c>
      <c r="C529" t="s">
        <v>27</v>
      </c>
      <c r="D529" t="s">
        <v>28</v>
      </c>
      <c r="E529" t="s">
        <v>29</v>
      </c>
      <c r="F529">
        <v>6</v>
      </c>
      <c r="G529" t="s">
        <v>40</v>
      </c>
      <c r="H529">
        <v>3</v>
      </c>
      <c r="M529" t="s">
        <v>17</v>
      </c>
      <c r="N529" t="s">
        <v>17</v>
      </c>
      <c r="O529" s="5" t="s">
        <v>18</v>
      </c>
    </row>
    <row r="530" spans="2:15" x14ac:dyDescent="0.3">
      <c r="B530" s="4">
        <v>157</v>
      </c>
      <c r="C530" t="s">
        <v>49</v>
      </c>
      <c r="D530" t="s">
        <v>50</v>
      </c>
      <c r="E530" t="s">
        <v>51</v>
      </c>
      <c r="F530">
        <v>3</v>
      </c>
      <c r="G530" t="s">
        <v>16</v>
      </c>
      <c r="H530">
        <v>6</v>
      </c>
      <c r="I530" t="s">
        <v>13</v>
      </c>
      <c r="J530" t="s">
        <v>13</v>
      </c>
      <c r="K530" t="s">
        <v>13</v>
      </c>
      <c r="L530" t="s">
        <v>18</v>
      </c>
      <c r="M530" t="s">
        <v>13</v>
      </c>
      <c r="N530" t="s">
        <v>18</v>
      </c>
      <c r="O530" s="5"/>
    </row>
    <row r="531" spans="2:15" x14ac:dyDescent="0.3">
      <c r="B531" s="4">
        <v>454</v>
      </c>
      <c r="C531" t="s">
        <v>43</v>
      </c>
      <c r="D531" t="s">
        <v>44</v>
      </c>
      <c r="E531" t="s">
        <v>45</v>
      </c>
      <c r="F531">
        <v>5</v>
      </c>
      <c r="G531" t="s">
        <v>16</v>
      </c>
      <c r="H531">
        <v>6</v>
      </c>
      <c r="M531" t="s">
        <v>13</v>
      </c>
      <c r="N531" t="s">
        <v>13</v>
      </c>
      <c r="O531" s="5" t="s">
        <v>18</v>
      </c>
    </row>
    <row r="532" spans="2:15" x14ac:dyDescent="0.3">
      <c r="B532" s="4">
        <v>674</v>
      </c>
      <c r="C532" t="s">
        <v>78</v>
      </c>
      <c r="D532" t="s">
        <v>79</v>
      </c>
      <c r="E532" t="s">
        <v>80</v>
      </c>
      <c r="F532">
        <v>10</v>
      </c>
      <c r="G532" t="s">
        <v>16</v>
      </c>
      <c r="H532">
        <v>6</v>
      </c>
      <c r="I532" t="s">
        <v>13</v>
      </c>
      <c r="J532" t="s">
        <v>13</v>
      </c>
      <c r="K532" t="s">
        <v>13</v>
      </c>
      <c r="L532" t="s">
        <v>18</v>
      </c>
      <c r="M532" t="s">
        <v>18</v>
      </c>
      <c r="N532" t="s">
        <v>18</v>
      </c>
      <c r="O532" s="5" t="s">
        <v>13</v>
      </c>
    </row>
    <row r="533" spans="2:15" x14ac:dyDescent="0.3">
      <c r="B533" s="4">
        <v>1101</v>
      </c>
      <c r="C533" t="s">
        <v>46</v>
      </c>
      <c r="D533" t="s">
        <v>47</v>
      </c>
      <c r="E533" t="s">
        <v>11</v>
      </c>
      <c r="F533">
        <v>8</v>
      </c>
      <c r="G533" t="s">
        <v>48</v>
      </c>
      <c r="H533">
        <v>16</v>
      </c>
      <c r="L533" t="s">
        <v>18</v>
      </c>
      <c r="M533" t="s">
        <v>17</v>
      </c>
      <c r="N533" t="s">
        <v>18</v>
      </c>
      <c r="O533" s="5"/>
    </row>
    <row r="534" spans="2:15" x14ac:dyDescent="0.3">
      <c r="B534" s="4">
        <v>580</v>
      </c>
      <c r="C534" t="s">
        <v>46</v>
      </c>
      <c r="D534" t="s">
        <v>47</v>
      </c>
      <c r="E534" t="s">
        <v>11</v>
      </c>
      <c r="F534">
        <v>8</v>
      </c>
      <c r="G534" t="s">
        <v>48</v>
      </c>
      <c r="H534">
        <v>16</v>
      </c>
      <c r="M534" t="s">
        <v>13</v>
      </c>
      <c r="N534" t="s">
        <v>18</v>
      </c>
      <c r="O534" s="5"/>
    </row>
    <row r="535" spans="2:15" x14ac:dyDescent="0.3">
      <c r="B535" s="4">
        <v>453</v>
      </c>
      <c r="C535" t="s">
        <v>46</v>
      </c>
      <c r="D535" t="s">
        <v>47</v>
      </c>
      <c r="E535" t="s">
        <v>11</v>
      </c>
      <c r="F535">
        <v>8</v>
      </c>
      <c r="G535" t="s">
        <v>48</v>
      </c>
      <c r="H535">
        <v>16</v>
      </c>
      <c r="L535" t="s">
        <v>17</v>
      </c>
      <c r="M535" t="s">
        <v>18</v>
      </c>
      <c r="N535" t="s">
        <v>18</v>
      </c>
      <c r="O535" s="5" t="s">
        <v>13</v>
      </c>
    </row>
    <row r="536" spans="2:15" x14ac:dyDescent="0.3">
      <c r="B536" s="4">
        <v>1182</v>
      </c>
      <c r="C536" t="s">
        <v>41</v>
      </c>
      <c r="D536" t="s">
        <v>42</v>
      </c>
      <c r="E536" t="s">
        <v>11</v>
      </c>
      <c r="F536">
        <v>8</v>
      </c>
      <c r="G536" t="s">
        <v>22</v>
      </c>
      <c r="H536">
        <v>1</v>
      </c>
      <c r="L536" t="s">
        <v>17</v>
      </c>
      <c r="M536" t="s">
        <v>17</v>
      </c>
      <c r="N536" t="s">
        <v>19</v>
      </c>
      <c r="O536" s="5"/>
    </row>
    <row r="537" spans="2:15" x14ac:dyDescent="0.3">
      <c r="B537" s="4">
        <v>33</v>
      </c>
      <c r="C537" t="s">
        <v>78</v>
      </c>
      <c r="D537" t="s">
        <v>79</v>
      </c>
      <c r="E537" t="s">
        <v>80</v>
      </c>
      <c r="F537">
        <v>10</v>
      </c>
      <c r="G537" t="s">
        <v>16</v>
      </c>
      <c r="H537">
        <v>6</v>
      </c>
      <c r="L537" t="s">
        <v>17</v>
      </c>
      <c r="M537" t="s">
        <v>13</v>
      </c>
      <c r="N537" t="s">
        <v>17</v>
      </c>
      <c r="O537" s="5" t="s">
        <v>13</v>
      </c>
    </row>
    <row r="538" spans="2:15" x14ac:dyDescent="0.3">
      <c r="B538" s="4">
        <v>1130</v>
      </c>
      <c r="C538" t="s">
        <v>14</v>
      </c>
      <c r="D538" t="s">
        <v>15</v>
      </c>
      <c r="E538" t="s">
        <v>11</v>
      </c>
      <c r="F538">
        <v>8</v>
      </c>
      <c r="G538" t="s">
        <v>22</v>
      </c>
      <c r="H538">
        <v>1</v>
      </c>
      <c r="M538" t="s">
        <v>13</v>
      </c>
      <c r="N538" t="s">
        <v>13</v>
      </c>
      <c r="O538" s="5" t="s">
        <v>13</v>
      </c>
    </row>
    <row r="539" spans="2:15" x14ac:dyDescent="0.3">
      <c r="B539" s="4">
        <v>666</v>
      </c>
      <c r="C539" t="s">
        <v>78</v>
      </c>
      <c r="D539" t="s">
        <v>79</v>
      </c>
      <c r="E539" t="s">
        <v>80</v>
      </c>
      <c r="F539">
        <v>10</v>
      </c>
      <c r="G539" t="s">
        <v>12</v>
      </c>
      <c r="H539">
        <v>7</v>
      </c>
      <c r="K539" t="s">
        <v>13</v>
      </c>
      <c r="L539" t="s">
        <v>13</v>
      </c>
      <c r="M539" t="s">
        <v>13</v>
      </c>
      <c r="N539" t="s">
        <v>18</v>
      </c>
      <c r="O539" s="5" t="s">
        <v>17</v>
      </c>
    </row>
    <row r="540" spans="2:15" x14ac:dyDescent="0.3">
      <c r="B540" s="4">
        <v>1550</v>
      </c>
      <c r="C540" t="s">
        <v>84</v>
      </c>
      <c r="D540" t="s">
        <v>85</v>
      </c>
      <c r="E540" t="s">
        <v>86</v>
      </c>
      <c r="F540">
        <v>12</v>
      </c>
      <c r="G540" t="s">
        <v>48</v>
      </c>
      <c r="H540">
        <v>16</v>
      </c>
      <c r="L540" t="s">
        <v>18</v>
      </c>
      <c r="M540" t="s">
        <v>13</v>
      </c>
      <c r="N540" t="s">
        <v>17</v>
      </c>
      <c r="O540" s="5" t="s">
        <v>17</v>
      </c>
    </row>
    <row r="541" spans="2:15" x14ac:dyDescent="0.3">
      <c r="B541" s="4">
        <v>448</v>
      </c>
      <c r="C541" t="s">
        <v>49</v>
      </c>
      <c r="D541" t="s">
        <v>50</v>
      </c>
      <c r="E541" t="s">
        <v>51</v>
      </c>
      <c r="F541">
        <v>3</v>
      </c>
      <c r="G541" t="s">
        <v>53</v>
      </c>
      <c r="H541">
        <v>15</v>
      </c>
      <c r="N541" t="s">
        <v>17</v>
      </c>
      <c r="O541" s="5" t="s">
        <v>13</v>
      </c>
    </row>
    <row r="542" spans="2:15" x14ac:dyDescent="0.3">
      <c r="B542" s="4">
        <v>2</v>
      </c>
      <c r="C542" t="s">
        <v>46</v>
      </c>
      <c r="D542" t="s">
        <v>47</v>
      </c>
      <c r="E542" t="s">
        <v>11</v>
      </c>
      <c r="F542">
        <v>8</v>
      </c>
      <c r="G542" t="s">
        <v>40</v>
      </c>
      <c r="H542">
        <v>3</v>
      </c>
      <c r="K542" t="s">
        <v>19</v>
      </c>
      <c r="L542" t="s">
        <v>19</v>
      </c>
      <c r="O542" s="5"/>
    </row>
    <row r="543" spans="2:15" x14ac:dyDescent="0.3">
      <c r="B543" s="4">
        <v>1951</v>
      </c>
      <c r="C543" t="s">
        <v>27</v>
      </c>
      <c r="D543" t="s">
        <v>28</v>
      </c>
      <c r="E543" t="s">
        <v>29</v>
      </c>
      <c r="F543">
        <v>6</v>
      </c>
      <c r="G543" t="s">
        <v>16</v>
      </c>
      <c r="H543">
        <v>6</v>
      </c>
      <c r="N543" t="s">
        <v>18</v>
      </c>
      <c r="O543" s="5" t="s">
        <v>13</v>
      </c>
    </row>
    <row r="544" spans="2:15" x14ac:dyDescent="0.3">
      <c r="B544" s="4">
        <v>1207</v>
      </c>
      <c r="C544" t="s">
        <v>46</v>
      </c>
      <c r="D544" t="s">
        <v>47</v>
      </c>
      <c r="E544" t="s">
        <v>11</v>
      </c>
      <c r="F544">
        <v>8</v>
      </c>
      <c r="G544" t="s">
        <v>22</v>
      </c>
      <c r="H544">
        <v>1</v>
      </c>
      <c r="N544" t="s">
        <v>13</v>
      </c>
      <c r="O544" s="5" t="s">
        <v>19</v>
      </c>
    </row>
    <row r="545" spans="2:15" x14ac:dyDescent="0.3">
      <c r="B545" s="4">
        <v>969</v>
      </c>
      <c r="C545" t="s">
        <v>41</v>
      </c>
      <c r="D545" t="s">
        <v>42</v>
      </c>
      <c r="E545" t="s">
        <v>11</v>
      </c>
      <c r="F545">
        <v>8</v>
      </c>
      <c r="G545" t="s">
        <v>22</v>
      </c>
      <c r="H545">
        <v>1</v>
      </c>
      <c r="J545" t="s">
        <v>13</v>
      </c>
      <c r="K545" t="s">
        <v>13</v>
      </c>
      <c r="L545" t="s">
        <v>13</v>
      </c>
      <c r="M545" t="s">
        <v>13</v>
      </c>
      <c r="N545" t="s">
        <v>13</v>
      </c>
      <c r="O545" s="5" t="s">
        <v>18</v>
      </c>
    </row>
    <row r="546" spans="2:15" x14ac:dyDescent="0.3">
      <c r="B546" s="4">
        <v>93</v>
      </c>
      <c r="C546" t="s">
        <v>61</v>
      </c>
      <c r="D546" t="s">
        <v>62</v>
      </c>
      <c r="E546" t="s">
        <v>11</v>
      </c>
      <c r="F546">
        <v>8</v>
      </c>
      <c r="G546" t="s">
        <v>26</v>
      </c>
      <c r="H546">
        <v>4</v>
      </c>
      <c r="M546" t="s">
        <v>19</v>
      </c>
      <c r="N546" t="s">
        <v>19</v>
      </c>
      <c r="O546" s="5" t="s">
        <v>17</v>
      </c>
    </row>
    <row r="547" spans="2:15" x14ac:dyDescent="0.3">
      <c r="B547" s="4">
        <v>247</v>
      </c>
      <c r="C547" t="s">
        <v>46</v>
      </c>
      <c r="D547" t="s">
        <v>47</v>
      </c>
      <c r="E547" t="s">
        <v>11</v>
      </c>
      <c r="F547">
        <v>8</v>
      </c>
      <c r="G547" t="s">
        <v>16</v>
      </c>
      <c r="H547">
        <v>6</v>
      </c>
      <c r="M547" t="s">
        <v>13</v>
      </c>
      <c r="N547" t="s">
        <v>18</v>
      </c>
      <c r="O547" s="5" t="s">
        <v>13</v>
      </c>
    </row>
    <row r="548" spans="2:15" x14ac:dyDescent="0.3">
      <c r="B548" s="4">
        <v>907</v>
      </c>
      <c r="C548" t="s">
        <v>49</v>
      </c>
      <c r="D548" t="s">
        <v>50</v>
      </c>
      <c r="E548" t="s">
        <v>51</v>
      </c>
      <c r="F548">
        <v>3</v>
      </c>
      <c r="G548" t="s">
        <v>54</v>
      </c>
      <c r="H548">
        <v>8</v>
      </c>
      <c r="M548" t="s">
        <v>19</v>
      </c>
      <c r="N548" t="s">
        <v>18</v>
      </c>
      <c r="O548" s="5" t="s">
        <v>18</v>
      </c>
    </row>
    <row r="549" spans="2:15" x14ac:dyDescent="0.3">
      <c r="B549" s="4">
        <v>244</v>
      </c>
      <c r="C549" t="s">
        <v>49</v>
      </c>
      <c r="D549" t="s">
        <v>50</v>
      </c>
      <c r="E549" t="s">
        <v>51</v>
      </c>
      <c r="F549">
        <v>3</v>
      </c>
      <c r="G549" t="s">
        <v>55</v>
      </c>
      <c r="H549">
        <v>2</v>
      </c>
      <c r="M549" t="s">
        <v>19</v>
      </c>
      <c r="N549" t="s">
        <v>18</v>
      </c>
      <c r="O549" s="5" t="s">
        <v>13</v>
      </c>
    </row>
    <row r="550" spans="2:15" x14ac:dyDescent="0.3">
      <c r="B550" s="4">
        <v>710</v>
      </c>
      <c r="C550" t="s">
        <v>46</v>
      </c>
      <c r="D550" t="s">
        <v>47</v>
      </c>
      <c r="E550" t="s">
        <v>11</v>
      </c>
      <c r="F550">
        <v>8</v>
      </c>
      <c r="G550" t="s">
        <v>57</v>
      </c>
      <c r="H550">
        <v>10</v>
      </c>
      <c r="N550" t="s">
        <v>13</v>
      </c>
      <c r="O550" s="5" t="s">
        <v>18</v>
      </c>
    </row>
    <row r="551" spans="2:15" x14ac:dyDescent="0.3">
      <c r="B551" s="4">
        <v>333</v>
      </c>
      <c r="C551" t="s">
        <v>46</v>
      </c>
      <c r="D551" t="s">
        <v>47</v>
      </c>
      <c r="E551" t="s">
        <v>11</v>
      </c>
      <c r="F551">
        <v>8</v>
      </c>
      <c r="G551" t="s">
        <v>12</v>
      </c>
      <c r="H551">
        <v>7</v>
      </c>
      <c r="J551" t="s">
        <v>13</v>
      </c>
      <c r="K551" t="s">
        <v>13</v>
      </c>
      <c r="O551" s="5"/>
    </row>
    <row r="552" spans="2:15" x14ac:dyDescent="0.3">
      <c r="B552" s="4">
        <v>575</v>
      </c>
      <c r="C552" t="s">
        <v>46</v>
      </c>
      <c r="D552" t="s">
        <v>47</v>
      </c>
      <c r="E552" t="s">
        <v>11</v>
      </c>
      <c r="F552">
        <v>8</v>
      </c>
      <c r="G552" t="s">
        <v>58</v>
      </c>
      <c r="H552">
        <v>17</v>
      </c>
      <c r="L552" t="s">
        <v>18</v>
      </c>
      <c r="M552" t="s">
        <v>13</v>
      </c>
      <c r="N552" t="s">
        <v>13</v>
      </c>
      <c r="O552" s="5" t="s">
        <v>13</v>
      </c>
    </row>
    <row r="553" spans="2:15" x14ac:dyDescent="0.3">
      <c r="B553" s="4">
        <v>23</v>
      </c>
      <c r="C553" t="s">
        <v>63</v>
      </c>
      <c r="D553" t="s">
        <v>64</v>
      </c>
      <c r="E553" t="s">
        <v>65</v>
      </c>
      <c r="F553">
        <v>14</v>
      </c>
      <c r="G553" t="s">
        <v>22</v>
      </c>
      <c r="H553">
        <v>1</v>
      </c>
      <c r="L553" t="s">
        <v>52</v>
      </c>
      <c r="M553" t="s">
        <v>18</v>
      </c>
      <c r="N553" t="s">
        <v>18</v>
      </c>
      <c r="O553" s="5" t="s">
        <v>18</v>
      </c>
    </row>
    <row r="554" spans="2:15" x14ac:dyDescent="0.3">
      <c r="B554" s="4">
        <v>293</v>
      </c>
      <c r="C554" t="s">
        <v>9</v>
      </c>
      <c r="D554" t="s">
        <v>10</v>
      </c>
      <c r="E554" t="s">
        <v>11</v>
      </c>
      <c r="F554">
        <v>8</v>
      </c>
      <c r="G554" t="s">
        <v>54</v>
      </c>
      <c r="H554">
        <v>8</v>
      </c>
      <c r="L554" t="s">
        <v>52</v>
      </c>
      <c r="M554" t="s">
        <v>19</v>
      </c>
      <c r="N554" t="s">
        <v>17</v>
      </c>
      <c r="O554" s="5" t="s">
        <v>18</v>
      </c>
    </row>
    <row r="555" spans="2:15" x14ac:dyDescent="0.3">
      <c r="B555" s="4">
        <v>298</v>
      </c>
      <c r="C555" t="s">
        <v>9</v>
      </c>
      <c r="D555" t="s">
        <v>10</v>
      </c>
      <c r="E555" t="s">
        <v>11</v>
      </c>
      <c r="F555">
        <v>8</v>
      </c>
      <c r="G555" t="s">
        <v>16</v>
      </c>
      <c r="H555">
        <v>6</v>
      </c>
      <c r="L555" t="s">
        <v>18</v>
      </c>
      <c r="M555" t="s">
        <v>19</v>
      </c>
      <c r="N555" t="s">
        <v>18</v>
      </c>
      <c r="O555" s="5" t="s">
        <v>13</v>
      </c>
    </row>
    <row r="556" spans="2:15" x14ac:dyDescent="0.3">
      <c r="B556" s="4">
        <v>1130</v>
      </c>
      <c r="C556" t="s">
        <v>78</v>
      </c>
      <c r="D556" t="s">
        <v>79</v>
      </c>
      <c r="E556" t="s">
        <v>80</v>
      </c>
      <c r="F556">
        <v>10</v>
      </c>
      <c r="G556" t="s">
        <v>40</v>
      </c>
      <c r="H556">
        <v>3</v>
      </c>
      <c r="N556" t="s">
        <v>13</v>
      </c>
      <c r="O556" s="5" t="s">
        <v>13</v>
      </c>
    </row>
    <row r="557" spans="2:15" x14ac:dyDescent="0.3">
      <c r="B557" s="4">
        <v>2126</v>
      </c>
      <c r="C557" t="s">
        <v>20</v>
      </c>
      <c r="D557" t="s">
        <v>21</v>
      </c>
      <c r="E557" t="s">
        <v>11</v>
      </c>
      <c r="F557">
        <v>8</v>
      </c>
      <c r="G557" t="s">
        <v>66</v>
      </c>
      <c r="H557">
        <v>5</v>
      </c>
      <c r="M557" t="s">
        <v>17</v>
      </c>
      <c r="N557" t="s">
        <v>17</v>
      </c>
      <c r="O557" s="5" t="s">
        <v>18</v>
      </c>
    </row>
    <row r="558" spans="2:15" x14ac:dyDescent="0.3">
      <c r="B558" s="4">
        <v>555</v>
      </c>
      <c r="C558" t="s">
        <v>78</v>
      </c>
      <c r="D558" t="s">
        <v>79</v>
      </c>
      <c r="E558" t="s">
        <v>80</v>
      </c>
      <c r="F558">
        <v>10</v>
      </c>
      <c r="G558" t="s">
        <v>16</v>
      </c>
      <c r="H558">
        <v>6</v>
      </c>
      <c r="I558" t="s">
        <v>13</v>
      </c>
      <c r="J558" t="s">
        <v>13</v>
      </c>
      <c r="K558" t="s">
        <v>13</v>
      </c>
      <c r="O558" s="5"/>
    </row>
    <row r="559" spans="2:15" x14ac:dyDescent="0.3">
      <c r="B559" s="4">
        <v>283</v>
      </c>
      <c r="C559" t="s">
        <v>27</v>
      </c>
      <c r="D559" t="s">
        <v>28</v>
      </c>
      <c r="E559" t="s">
        <v>29</v>
      </c>
      <c r="F559">
        <v>6</v>
      </c>
      <c r="G559" t="s">
        <v>57</v>
      </c>
      <c r="H559">
        <v>10</v>
      </c>
      <c r="I559" t="s">
        <v>18</v>
      </c>
      <c r="J559" t="s">
        <v>17</v>
      </c>
      <c r="K559" t="s">
        <v>19</v>
      </c>
      <c r="M559" t="s">
        <v>18</v>
      </c>
      <c r="N559" t="s">
        <v>19</v>
      </c>
      <c r="O559" s="5" t="s">
        <v>19</v>
      </c>
    </row>
    <row r="560" spans="2:15" x14ac:dyDescent="0.3">
      <c r="B560" s="4">
        <v>83</v>
      </c>
      <c r="C560" t="s">
        <v>23</v>
      </c>
      <c r="D560" t="s">
        <v>24</v>
      </c>
      <c r="E560" t="s">
        <v>25</v>
      </c>
      <c r="F560">
        <v>1</v>
      </c>
      <c r="G560" t="s">
        <v>38</v>
      </c>
      <c r="H560">
        <v>13</v>
      </c>
      <c r="J560" t="s">
        <v>13</v>
      </c>
      <c r="K560" t="s">
        <v>13</v>
      </c>
      <c r="L560" t="s">
        <v>17</v>
      </c>
      <c r="M560" t="s">
        <v>13</v>
      </c>
      <c r="N560" t="s">
        <v>13</v>
      </c>
      <c r="O560" s="5" t="s">
        <v>17</v>
      </c>
    </row>
    <row r="561" spans="2:15" x14ac:dyDescent="0.3">
      <c r="B561" s="4">
        <v>586</v>
      </c>
      <c r="C561" t="s">
        <v>103</v>
      </c>
      <c r="D561" t="s">
        <v>104</v>
      </c>
      <c r="E561" t="s">
        <v>105</v>
      </c>
      <c r="F561">
        <v>2</v>
      </c>
      <c r="G561" t="s">
        <v>26</v>
      </c>
      <c r="H561">
        <v>4</v>
      </c>
      <c r="I561" t="s">
        <v>33</v>
      </c>
      <c r="J561" t="s">
        <v>35</v>
      </c>
      <c r="L561" t="s">
        <v>13</v>
      </c>
      <c r="M561" t="s">
        <v>13</v>
      </c>
      <c r="N561" t="s">
        <v>13</v>
      </c>
      <c r="O561" s="5" t="s">
        <v>13</v>
      </c>
    </row>
    <row r="562" spans="2:15" x14ac:dyDescent="0.3">
      <c r="B562" s="4">
        <v>704</v>
      </c>
      <c r="C562" t="s">
        <v>90</v>
      </c>
      <c r="D562" t="s">
        <v>91</v>
      </c>
      <c r="E562" t="s">
        <v>11</v>
      </c>
      <c r="F562">
        <v>8</v>
      </c>
      <c r="G562" t="s">
        <v>12</v>
      </c>
      <c r="H562">
        <v>7</v>
      </c>
      <c r="M562" t="s">
        <v>18</v>
      </c>
      <c r="N562" t="s">
        <v>18</v>
      </c>
      <c r="O562" s="5" t="s">
        <v>19</v>
      </c>
    </row>
    <row r="563" spans="2:15" x14ac:dyDescent="0.3">
      <c r="B563" s="4">
        <v>217</v>
      </c>
      <c r="C563" t="s">
        <v>14</v>
      </c>
      <c r="D563" t="s">
        <v>15</v>
      </c>
      <c r="E563" t="s">
        <v>11</v>
      </c>
      <c r="F563">
        <v>8</v>
      </c>
      <c r="G563" t="s">
        <v>22</v>
      </c>
      <c r="H563">
        <v>1</v>
      </c>
      <c r="M563" t="s">
        <v>13</v>
      </c>
      <c r="N563" t="s">
        <v>18</v>
      </c>
      <c r="O563" s="5"/>
    </row>
    <row r="564" spans="2:15" x14ac:dyDescent="0.3">
      <c r="B564" s="4">
        <v>24</v>
      </c>
      <c r="C564" t="s">
        <v>9</v>
      </c>
      <c r="D564" t="s">
        <v>10</v>
      </c>
      <c r="E564" t="s">
        <v>11</v>
      </c>
      <c r="F564">
        <v>8</v>
      </c>
      <c r="G564" t="s">
        <v>58</v>
      </c>
      <c r="H564">
        <v>17</v>
      </c>
      <c r="I564" t="s">
        <v>13</v>
      </c>
      <c r="J564" t="s">
        <v>13</v>
      </c>
      <c r="K564" t="s">
        <v>13</v>
      </c>
      <c r="L564" t="s">
        <v>18</v>
      </c>
      <c r="M564" t="s">
        <v>13</v>
      </c>
      <c r="N564" t="s">
        <v>18</v>
      </c>
      <c r="O564" s="5" t="s">
        <v>18</v>
      </c>
    </row>
    <row r="565" spans="2:15" x14ac:dyDescent="0.3">
      <c r="B565" s="4">
        <v>1079</v>
      </c>
      <c r="C565" t="s">
        <v>23</v>
      </c>
      <c r="D565" t="s">
        <v>24</v>
      </c>
      <c r="E565" t="s">
        <v>25</v>
      </c>
      <c r="F565">
        <v>1</v>
      </c>
      <c r="G565" t="s">
        <v>54</v>
      </c>
      <c r="H565">
        <v>8</v>
      </c>
      <c r="L565" t="s">
        <v>13</v>
      </c>
      <c r="M565" t="s">
        <v>18</v>
      </c>
      <c r="N565" t="s">
        <v>13</v>
      </c>
      <c r="O565" s="5" t="s">
        <v>13</v>
      </c>
    </row>
    <row r="566" spans="2:15" x14ac:dyDescent="0.3">
      <c r="B566" s="4">
        <v>200</v>
      </c>
      <c r="C566" t="s">
        <v>49</v>
      </c>
      <c r="D566" t="s">
        <v>50</v>
      </c>
      <c r="E566" t="s">
        <v>51</v>
      </c>
      <c r="F566">
        <v>3</v>
      </c>
      <c r="G566" t="s">
        <v>40</v>
      </c>
      <c r="H566">
        <v>3</v>
      </c>
      <c r="I566" t="s">
        <v>13</v>
      </c>
      <c r="J566" t="s">
        <v>13</v>
      </c>
      <c r="K566" t="s">
        <v>13</v>
      </c>
      <c r="L566" t="s">
        <v>13</v>
      </c>
      <c r="M566" t="s">
        <v>13</v>
      </c>
      <c r="N566" t="s">
        <v>13</v>
      </c>
      <c r="O566" s="5" t="s">
        <v>13</v>
      </c>
    </row>
    <row r="567" spans="2:15" x14ac:dyDescent="0.3">
      <c r="B567" s="4">
        <v>133</v>
      </c>
      <c r="C567" t="s">
        <v>49</v>
      </c>
      <c r="D567" t="s">
        <v>50</v>
      </c>
      <c r="E567" t="s">
        <v>51</v>
      </c>
      <c r="F567">
        <v>3</v>
      </c>
      <c r="G567" t="s">
        <v>22</v>
      </c>
      <c r="H567">
        <v>1</v>
      </c>
      <c r="J567" t="s">
        <v>13</v>
      </c>
      <c r="K567" t="s">
        <v>13</v>
      </c>
      <c r="L567" t="s">
        <v>13</v>
      </c>
      <c r="M567" t="s">
        <v>13</v>
      </c>
      <c r="N567" t="s">
        <v>13</v>
      </c>
      <c r="O567" s="5" t="s">
        <v>18</v>
      </c>
    </row>
    <row r="568" spans="2:15" x14ac:dyDescent="0.3">
      <c r="B568" s="4">
        <v>2032</v>
      </c>
      <c r="C568" t="s">
        <v>14</v>
      </c>
      <c r="D568" t="s">
        <v>15</v>
      </c>
      <c r="E568" t="s">
        <v>11</v>
      </c>
      <c r="F568">
        <v>8</v>
      </c>
      <c r="G568" t="s">
        <v>22</v>
      </c>
      <c r="H568">
        <v>1</v>
      </c>
      <c r="M568" t="s">
        <v>18</v>
      </c>
      <c r="N568" t="s">
        <v>18</v>
      </c>
      <c r="O568" s="5"/>
    </row>
    <row r="569" spans="2:15" x14ac:dyDescent="0.3">
      <c r="B569" s="4">
        <v>1660</v>
      </c>
      <c r="C569" t="s">
        <v>23</v>
      </c>
      <c r="D569" t="s">
        <v>24</v>
      </c>
      <c r="E569" t="s">
        <v>25</v>
      </c>
      <c r="F569">
        <v>1</v>
      </c>
      <c r="G569" t="s">
        <v>30</v>
      </c>
      <c r="H569">
        <v>18</v>
      </c>
      <c r="L569" t="s">
        <v>13</v>
      </c>
      <c r="M569" t="s">
        <v>18</v>
      </c>
      <c r="N569" t="s">
        <v>18</v>
      </c>
      <c r="O569" s="5"/>
    </row>
    <row r="570" spans="2:15" x14ac:dyDescent="0.3">
      <c r="B570" s="4">
        <v>1582</v>
      </c>
      <c r="C570" t="s">
        <v>49</v>
      </c>
      <c r="D570" t="s">
        <v>50</v>
      </c>
      <c r="E570" t="s">
        <v>51</v>
      </c>
      <c r="F570">
        <v>3</v>
      </c>
      <c r="G570" t="s">
        <v>55</v>
      </c>
      <c r="H570">
        <v>2</v>
      </c>
      <c r="M570" t="s">
        <v>13</v>
      </c>
      <c r="N570" t="s">
        <v>13</v>
      </c>
      <c r="O570" s="5" t="s">
        <v>17</v>
      </c>
    </row>
    <row r="571" spans="2:15" x14ac:dyDescent="0.3">
      <c r="B571" s="4">
        <v>1795</v>
      </c>
      <c r="C571" t="s">
        <v>14</v>
      </c>
      <c r="D571" t="s">
        <v>15</v>
      </c>
      <c r="E571" t="s">
        <v>11</v>
      </c>
      <c r="F571">
        <v>8</v>
      </c>
      <c r="G571" t="s">
        <v>54</v>
      </c>
      <c r="H571">
        <v>8</v>
      </c>
      <c r="L571" t="s">
        <v>19</v>
      </c>
      <c r="M571" t="s">
        <v>52</v>
      </c>
      <c r="N571" t="s">
        <v>18</v>
      </c>
      <c r="O571" s="5" t="s">
        <v>18</v>
      </c>
    </row>
    <row r="572" spans="2:15" x14ac:dyDescent="0.3">
      <c r="B572" s="4">
        <v>1149</v>
      </c>
      <c r="C572" t="s">
        <v>23</v>
      </c>
      <c r="D572" t="s">
        <v>24</v>
      </c>
      <c r="E572" t="s">
        <v>25</v>
      </c>
      <c r="F572">
        <v>1</v>
      </c>
      <c r="G572" t="s">
        <v>16</v>
      </c>
      <c r="H572">
        <v>6</v>
      </c>
      <c r="K572" t="s">
        <v>18</v>
      </c>
      <c r="L572" t="s">
        <v>13</v>
      </c>
      <c r="M572" t="s">
        <v>13</v>
      </c>
      <c r="N572" t="s">
        <v>18</v>
      </c>
      <c r="O572" s="5"/>
    </row>
    <row r="573" spans="2:15" x14ac:dyDescent="0.3">
      <c r="B573" s="4">
        <v>453</v>
      </c>
      <c r="C573" t="s">
        <v>46</v>
      </c>
      <c r="D573" t="s">
        <v>47</v>
      </c>
      <c r="E573" t="s">
        <v>11</v>
      </c>
      <c r="F573">
        <v>8</v>
      </c>
      <c r="G573" t="s">
        <v>22</v>
      </c>
      <c r="H573">
        <v>1</v>
      </c>
      <c r="I573" t="s">
        <v>13</v>
      </c>
      <c r="J573" t="s">
        <v>13</v>
      </c>
      <c r="K573" t="s">
        <v>13</v>
      </c>
      <c r="L573" t="s">
        <v>13</v>
      </c>
      <c r="M573" t="s">
        <v>13</v>
      </c>
      <c r="N573" t="s">
        <v>13</v>
      </c>
      <c r="O573" s="5" t="s">
        <v>13</v>
      </c>
    </row>
    <row r="574" spans="2:15" x14ac:dyDescent="0.3">
      <c r="B574" s="4">
        <v>260</v>
      </c>
      <c r="C574" t="s">
        <v>43</v>
      </c>
      <c r="D574" t="s">
        <v>44</v>
      </c>
      <c r="E574" t="s">
        <v>45</v>
      </c>
      <c r="F574">
        <v>5</v>
      </c>
      <c r="G574" t="s">
        <v>30</v>
      </c>
      <c r="H574">
        <v>18</v>
      </c>
      <c r="N574" t="s">
        <v>13</v>
      </c>
      <c r="O574" s="5" t="s">
        <v>17</v>
      </c>
    </row>
    <row r="575" spans="2:15" x14ac:dyDescent="0.3">
      <c r="B575" s="4">
        <v>1289</v>
      </c>
      <c r="C575" t="s">
        <v>49</v>
      </c>
      <c r="D575" t="s">
        <v>50</v>
      </c>
      <c r="E575" t="s">
        <v>51</v>
      </c>
      <c r="F575">
        <v>3</v>
      </c>
      <c r="G575" t="s">
        <v>74</v>
      </c>
      <c r="H575">
        <v>15</v>
      </c>
      <c r="L575" t="s">
        <v>19</v>
      </c>
      <c r="M575" t="s">
        <v>18</v>
      </c>
      <c r="N575" t="s">
        <v>18</v>
      </c>
      <c r="O575" s="5" t="s">
        <v>17</v>
      </c>
    </row>
    <row r="576" spans="2:15" x14ac:dyDescent="0.3">
      <c r="B576" s="4">
        <v>1476</v>
      </c>
      <c r="C576" t="s">
        <v>49</v>
      </c>
      <c r="D576" t="s">
        <v>50</v>
      </c>
      <c r="E576" t="s">
        <v>51</v>
      </c>
      <c r="F576">
        <v>3</v>
      </c>
      <c r="G576" t="s">
        <v>26</v>
      </c>
      <c r="H576">
        <v>4</v>
      </c>
      <c r="M576" t="s">
        <v>13</v>
      </c>
      <c r="N576" t="s">
        <v>18</v>
      </c>
      <c r="O576" s="5" t="s">
        <v>13</v>
      </c>
    </row>
    <row r="577" spans="2:15" x14ac:dyDescent="0.3">
      <c r="B577" s="4">
        <v>1212</v>
      </c>
      <c r="C577" t="s">
        <v>46</v>
      </c>
      <c r="D577" t="s">
        <v>47</v>
      </c>
      <c r="E577" t="s">
        <v>11</v>
      </c>
      <c r="F577">
        <v>8</v>
      </c>
      <c r="G577" t="s">
        <v>55</v>
      </c>
      <c r="H577">
        <v>2</v>
      </c>
      <c r="J577" t="s">
        <v>52</v>
      </c>
      <c r="K577" t="s">
        <v>52</v>
      </c>
      <c r="L577" t="s">
        <v>52</v>
      </c>
      <c r="O577" s="5"/>
    </row>
    <row r="578" spans="2:15" x14ac:dyDescent="0.3">
      <c r="B578" s="4">
        <v>883</v>
      </c>
      <c r="C578" t="s">
        <v>46</v>
      </c>
      <c r="D578" t="s">
        <v>47</v>
      </c>
      <c r="E578" t="s">
        <v>11</v>
      </c>
      <c r="F578">
        <v>8</v>
      </c>
      <c r="G578" t="s">
        <v>48</v>
      </c>
      <c r="H578">
        <v>16</v>
      </c>
      <c r="J578" t="s">
        <v>17</v>
      </c>
      <c r="K578" t="s">
        <v>13</v>
      </c>
      <c r="L578" t="s">
        <v>13</v>
      </c>
      <c r="M578" t="s">
        <v>13</v>
      </c>
      <c r="O578" s="5"/>
    </row>
    <row r="579" spans="2:15" x14ac:dyDescent="0.3">
      <c r="B579" s="4">
        <v>159</v>
      </c>
      <c r="C579" t="s">
        <v>46</v>
      </c>
      <c r="D579" t="s">
        <v>47</v>
      </c>
      <c r="E579" t="s">
        <v>11</v>
      </c>
      <c r="F579">
        <v>8</v>
      </c>
      <c r="G579" t="s">
        <v>81</v>
      </c>
      <c r="H579">
        <v>7</v>
      </c>
      <c r="J579" t="s">
        <v>17</v>
      </c>
      <c r="K579" t="s">
        <v>18</v>
      </c>
      <c r="O579" s="5"/>
    </row>
    <row r="580" spans="2:15" x14ac:dyDescent="0.3">
      <c r="B580" s="4">
        <v>238</v>
      </c>
      <c r="C580" t="s">
        <v>14</v>
      </c>
      <c r="D580" t="s">
        <v>15</v>
      </c>
      <c r="E580" t="s">
        <v>11</v>
      </c>
      <c r="F580">
        <v>8</v>
      </c>
      <c r="G580" t="s">
        <v>54</v>
      </c>
      <c r="H580">
        <v>8</v>
      </c>
      <c r="K580" t="s">
        <v>13</v>
      </c>
      <c r="L580" t="s">
        <v>18</v>
      </c>
      <c r="O580" s="5"/>
    </row>
    <row r="581" spans="2:15" x14ac:dyDescent="0.3">
      <c r="B581" s="4">
        <v>1008</v>
      </c>
      <c r="C581" t="s">
        <v>14</v>
      </c>
      <c r="D581" t="s">
        <v>15</v>
      </c>
      <c r="E581" t="s">
        <v>11</v>
      </c>
      <c r="F581">
        <v>8</v>
      </c>
      <c r="G581" t="s">
        <v>54</v>
      </c>
      <c r="H581">
        <v>8</v>
      </c>
      <c r="L581" t="s">
        <v>13</v>
      </c>
      <c r="M581" t="s">
        <v>19</v>
      </c>
      <c r="N581" t="s">
        <v>13</v>
      </c>
      <c r="O581" s="5" t="s">
        <v>17</v>
      </c>
    </row>
    <row r="582" spans="2:15" x14ac:dyDescent="0.3">
      <c r="B582" s="4">
        <v>7</v>
      </c>
      <c r="C582" t="s">
        <v>14</v>
      </c>
      <c r="D582" t="s">
        <v>15</v>
      </c>
      <c r="E582" t="s">
        <v>11</v>
      </c>
      <c r="F582">
        <v>8</v>
      </c>
      <c r="G582" t="s">
        <v>22</v>
      </c>
      <c r="H582">
        <v>1</v>
      </c>
      <c r="J582" t="s">
        <v>52</v>
      </c>
      <c r="K582" t="s">
        <v>33</v>
      </c>
      <c r="L582" t="s">
        <v>19</v>
      </c>
      <c r="M582" t="s">
        <v>52</v>
      </c>
      <c r="N582" t="s">
        <v>19</v>
      </c>
      <c r="O582" s="5" t="s">
        <v>52</v>
      </c>
    </row>
    <row r="583" spans="2:15" x14ac:dyDescent="0.3">
      <c r="B583" s="4">
        <v>7</v>
      </c>
      <c r="C583" t="s">
        <v>46</v>
      </c>
      <c r="D583" t="s">
        <v>47</v>
      </c>
      <c r="E583" t="s">
        <v>11</v>
      </c>
      <c r="F583">
        <v>8</v>
      </c>
      <c r="G583" t="s">
        <v>22</v>
      </c>
      <c r="H583">
        <v>1</v>
      </c>
      <c r="L583" t="s">
        <v>19</v>
      </c>
      <c r="M583" t="s">
        <v>18</v>
      </c>
      <c r="O583" s="5"/>
    </row>
    <row r="584" spans="2:15" x14ac:dyDescent="0.3">
      <c r="B584" s="4">
        <v>770</v>
      </c>
      <c r="C584" t="s">
        <v>49</v>
      </c>
      <c r="D584" t="s">
        <v>50</v>
      </c>
      <c r="E584" t="s">
        <v>51</v>
      </c>
      <c r="F584">
        <v>3</v>
      </c>
      <c r="G584" t="s">
        <v>22</v>
      </c>
      <c r="H584">
        <v>1</v>
      </c>
      <c r="L584" t="s">
        <v>13</v>
      </c>
      <c r="M584" t="s">
        <v>13</v>
      </c>
      <c r="N584" t="s">
        <v>18</v>
      </c>
      <c r="O584" s="5" t="s">
        <v>13</v>
      </c>
    </row>
    <row r="585" spans="2:15" x14ac:dyDescent="0.3">
      <c r="B585" s="4">
        <v>1351</v>
      </c>
      <c r="C585" t="s">
        <v>46</v>
      </c>
      <c r="D585" t="s">
        <v>47</v>
      </c>
      <c r="E585" t="s">
        <v>11</v>
      </c>
      <c r="F585">
        <v>8</v>
      </c>
      <c r="G585" t="s">
        <v>55</v>
      </c>
      <c r="H585">
        <v>2</v>
      </c>
      <c r="N585" t="s">
        <v>13</v>
      </c>
      <c r="O585" s="5" t="s">
        <v>18</v>
      </c>
    </row>
    <row r="586" spans="2:15" x14ac:dyDescent="0.3">
      <c r="B586" s="4">
        <v>615</v>
      </c>
      <c r="C586" t="s">
        <v>84</v>
      </c>
      <c r="D586" t="s">
        <v>85</v>
      </c>
      <c r="E586" t="s">
        <v>86</v>
      </c>
      <c r="F586">
        <v>12</v>
      </c>
      <c r="G586" t="s">
        <v>81</v>
      </c>
      <c r="H586">
        <v>7</v>
      </c>
      <c r="N586" t="s">
        <v>13</v>
      </c>
      <c r="O586" s="5" t="s">
        <v>17</v>
      </c>
    </row>
    <row r="587" spans="2:15" x14ac:dyDescent="0.3">
      <c r="B587" s="4">
        <v>14</v>
      </c>
      <c r="C587" t="s">
        <v>84</v>
      </c>
      <c r="D587" t="s">
        <v>85</v>
      </c>
      <c r="E587" t="s">
        <v>86</v>
      </c>
      <c r="F587">
        <v>12</v>
      </c>
      <c r="G587" t="s">
        <v>48</v>
      </c>
      <c r="H587">
        <v>16</v>
      </c>
      <c r="I587" t="s">
        <v>13</v>
      </c>
      <c r="J587" t="s">
        <v>13</v>
      </c>
      <c r="K587" t="s">
        <v>13</v>
      </c>
      <c r="L587" t="s">
        <v>13</v>
      </c>
      <c r="O587" s="5"/>
    </row>
    <row r="588" spans="2:15" x14ac:dyDescent="0.3">
      <c r="B588" s="4">
        <v>1236</v>
      </c>
      <c r="C588" t="s">
        <v>41</v>
      </c>
      <c r="D588" t="s">
        <v>42</v>
      </c>
      <c r="E588" t="s">
        <v>11</v>
      </c>
      <c r="F588">
        <v>8</v>
      </c>
      <c r="G588" t="s">
        <v>87</v>
      </c>
      <c r="H588">
        <v>9</v>
      </c>
      <c r="L588" t="s">
        <v>33</v>
      </c>
      <c r="M588" t="s">
        <v>33</v>
      </c>
      <c r="N588" t="s">
        <v>19</v>
      </c>
      <c r="O588" s="5" t="s">
        <v>17</v>
      </c>
    </row>
    <row r="589" spans="2:15" x14ac:dyDescent="0.3">
      <c r="B589" s="4">
        <v>2591</v>
      </c>
      <c r="C589" t="s">
        <v>31</v>
      </c>
      <c r="D589" t="s">
        <v>32</v>
      </c>
      <c r="E589" t="s">
        <v>11</v>
      </c>
      <c r="F589">
        <v>8</v>
      </c>
      <c r="G589" t="s">
        <v>87</v>
      </c>
      <c r="H589">
        <v>9</v>
      </c>
      <c r="M589" t="s">
        <v>13</v>
      </c>
      <c r="N589" t="s">
        <v>18</v>
      </c>
      <c r="O589" s="5" t="s">
        <v>33</v>
      </c>
    </row>
    <row r="590" spans="2:15" x14ac:dyDescent="0.3">
      <c r="B590" s="4">
        <v>2818</v>
      </c>
      <c r="C590" t="s">
        <v>20</v>
      </c>
      <c r="D590" t="s">
        <v>21</v>
      </c>
      <c r="E590" t="s">
        <v>11</v>
      </c>
      <c r="F590">
        <v>8</v>
      </c>
      <c r="G590" t="s">
        <v>22</v>
      </c>
      <c r="H590">
        <v>1</v>
      </c>
      <c r="N590" t="s">
        <v>18</v>
      </c>
      <c r="O590" s="5" t="s">
        <v>18</v>
      </c>
    </row>
    <row r="591" spans="2:15" x14ac:dyDescent="0.3">
      <c r="B591" s="4">
        <v>439</v>
      </c>
      <c r="C591" t="s">
        <v>46</v>
      </c>
      <c r="D591" t="s">
        <v>47</v>
      </c>
      <c r="E591" t="s">
        <v>11</v>
      </c>
      <c r="F591">
        <v>8</v>
      </c>
      <c r="G591" t="s">
        <v>16</v>
      </c>
      <c r="H591">
        <v>6</v>
      </c>
      <c r="L591" t="s">
        <v>18</v>
      </c>
      <c r="M591" t="s">
        <v>13</v>
      </c>
      <c r="N591" t="s">
        <v>13</v>
      </c>
      <c r="O591" s="5" t="s">
        <v>17</v>
      </c>
    </row>
    <row r="592" spans="2:15" x14ac:dyDescent="0.3">
      <c r="B592" s="4">
        <v>282</v>
      </c>
      <c r="C592" t="s">
        <v>14</v>
      </c>
      <c r="D592" t="s">
        <v>15</v>
      </c>
      <c r="E592" t="s">
        <v>11</v>
      </c>
      <c r="F592">
        <v>8</v>
      </c>
      <c r="G592" t="s">
        <v>81</v>
      </c>
      <c r="H592">
        <v>7</v>
      </c>
      <c r="M592" t="s">
        <v>19</v>
      </c>
      <c r="N592" t="s">
        <v>19</v>
      </c>
      <c r="O592" s="5" t="s">
        <v>52</v>
      </c>
    </row>
    <row r="593" spans="2:15" x14ac:dyDescent="0.3">
      <c r="B593" s="4">
        <v>1334</v>
      </c>
      <c r="C593" t="s">
        <v>14</v>
      </c>
      <c r="D593" t="s">
        <v>15</v>
      </c>
      <c r="E593" t="s">
        <v>11</v>
      </c>
      <c r="F593">
        <v>8</v>
      </c>
      <c r="G593" t="s">
        <v>22</v>
      </c>
      <c r="H593">
        <v>1</v>
      </c>
      <c r="J593" t="s">
        <v>13</v>
      </c>
      <c r="K593" t="s">
        <v>13</v>
      </c>
      <c r="O593" s="5"/>
    </row>
    <row r="594" spans="2:15" x14ac:dyDescent="0.3">
      <c r="B594" s="4">
        <v>484</v>
      </c>
      <c r="C594" t="s">
        <v>49</v>
      </c>
      <c r="D594" t="s">
        <v>50</v>
      </c>
      <c r="E594" t="s">
        <v>51</v>
      </c>
      <c r="F594">
        <v>3</v>
      </c>
      <c r="G594" t="s">
        <v>88</v>
      </c>
      <c r="H594">
        <v>12</v>
      </c>
      <c r="I594" t="s">
        <v>13</v>
      </c>
      <c r="J594" t="s">
        <v>13</v>
      </c>
      <c r="O594" s="5"/>
    </row>
    <row r="595" spans="2:15" x14ac:dyDescent="0.3">
      <c r="B595" s="4">
        <v>742</v>
      </c>
      <c r="C595" t="s">
        <v>49</v>
      </c>
      <c r="D595" t="s">
        <v>50</v>
      </c>
      <c r="E595" t="s">
        <v>51</v>
      </c>
      <c r="F595">
        <v>3</v>
      </c>
      <c r="G595" t="s">
        <v>89</v>
      </c>
      <c r="H595">
        <v>11</v>
      </c>
      <c r="K595" t="s">
        <v>13</v>
      </c>
      <c r="L595" t="s">
        <v>13</v>
      </c>
      <c r="M595" t="s">
        <v>13</v>
      </c>
      <c r="N595" t="s">
        <v>13</v>
      </c>
      <c r="O595" s="5"/>
    </row>
    <row r="596" spans="2:15" x14ac:dyDescent="0.3">
      <c r="B596" s="4">
        <v>145</v>
      </c>
      <c r="C596" t="s">
        <v>46</v>
      </c>
      <c r="D596" t="s">
        <v>47</v>
      </c>
      <c r="E596" t="s">
        <v>11</v>
      </c>
      <c r="F596">
        <v>8</v>
      </c>
      <c r="G596" t="s">
        <v>89</v>
      </c>
      <c r="H596">
        <v>11</v>
      </c>
      <c r="I596" t="s">
        <v>18</v>
      </c>
      <c r="J596" t="s">
        <v>13</v>
      </c>
      <c r="K596" t="s">
        <v>13</v>
      </c>
      <c r="L596" t="s">
        <v>13</v>
      </c>
      <c r="M596" t="s">
        <v>13</v>
      </c>
      <c r="N596" t="s">
        <v>13</v>
      </c>
      <c r="O596" s="5" t="s">
        <v>13</v>
      </c>
    </row>
    <row r="597" spans="2:15" x14ac:dyDescent="0.3">
      <c r="B597" s="4">
        <v>158</v>
      </c>
      <c r="C597" t="s">
        <v>46</v>
      </c>
      <c r="D597" t="s">
        <v>47</v>
      </c>
      <c r="E597" t="s">
        <v>11</v>
      </c>
      <c r="F597">
        <v>8</v>
      </c>
      <c r="G597" t="s">
        <v>88</v>
      </c>
      <c r="H597">
        <v>12</v>
      </c>
      <c r="I597" t="s">
        <v>18</v>
      </c>
      <c r="J597" t="s">
        <v>17</v>
      </c>
      <c r="K597" t="s">
        <v>18</v>
      </c>
      <c r="O597" s="5"/>
    </row>
    <row r="598" spans="2:15" x14ac:dyDescent="0.3">
      <c r="B598" s="4">
        <v>779</v>
      </c>
      <c r="C598" t="s">
        <v>49</v>
      </c>
      <c r="D598" t="s">
        <v>50</v>
      </c>
      <c r="E598" t="s">
        <v>51</v>
      </c>
      <c r="F598">
        <v>3</v>
      </c>
      <c r="G598" t="s">
        <v>88</v>
      </c>
      <c r="H598">
        <v>12</v>
      </c>
      <c r="L598" t="s">
        <v>13</v>
      </c>
      <c r="M598" t="s">
        <v>13</v>
      </c>
      <c r="N598" t="s">
        <v>13</v>
      </c>
      <c r="O598" s="5" t="s">
        <v>13</v>
      </c>
    </row>
    <row r="599" spans="2:15" x14ac:dyDescent="0.3">
      <c r="B599" s="4">
        <v>584</v>
      </c>
      <c r="C599" t="s">
        <v>49</v>
      </c>
      <c r="D599" t="s">
        <v>50</v>
      </c>
      <c r="E599" t="s">
        <v>51</v>
      </c>
      <c r="F599">
        <v>3</v>
      </c>
      <c r="G599" t="s">
        <v>55</v>
      </c>
      <c r="H599">
        <v>2</v>
      </c>
      <c r="I599" t="s">
        <v>17</v>
      </c>
      <c r="J599" t="s">
        <v>13</v>
      </c>
      <c r="K599" t="s">
        <v>13</v>
      </c>
      <c r="O599" s="5"/>
    </row>
    <row r="600" spans="2:15" x14ac:dyDescent="0.3">
      <c r="B600" s="4">
        <v>2506</v>
      </c>
      <c r="C600" t="s">
        <v>59</v>
      </c>
      <c r="D600" t="s">
        <v>60</v>
      </c>
      <c r="E600" t="s">
        <v>11</v>
      </c>
      <c r="F600">
        <v>8</v>
      </c>
      <c r="G600" t="s">
        <v>22</v>
      </c>
      <c r="H600">
        <v>1</v>
      </c>
      <c r="N600" t="s">
        <v>13</v>
      </c>
      <c r="O600" s="5" t="s">
        <v>13</v>
      </c>
    </row>
    <row r="601" spans="2:15" x14ac:dyDescent="0.3">
      <c r="B601" s="4">
        <v>3</v>
      </c>
      <c r="C601" t="s">
        <v>14</v>
      </c>
      <c r="D601" t="s">
        <v>15</v>
      </c>
      <c r="E601" t="s">
        <v>11</v>
      </c>
      <c r="F601">
        <v>8</v>
      </c>
      <c r="G601" t="s">
        <v>54</v>
      </c>
      <c r="H601">
        <v>8</v>
      </c>
      <c r="I601" t="s">
        <v>19</v>
      </c>
      <c r="J601" t="s">
        <v>19</v>
      </c>
      <c r="K601" t="s">
        <v>19</v>
      </c>
      <c r="L601" t="s">
        <v>13</v>
      </c>
      <c r="M601" t="s">
        <v>13</v>
      </c>
      <c r="N601" t="s">
        <v>17</v>
      </c>
      <c r="O601" s="5" t="s">
        <v>35</v>
      </c>
    </row>
    <row r="602" spans="2:15" x14ac:dyDescent="0.3">
      <c r="B602" s="4">
        <v>3508</v>
      </c>
      <c r="C602" t="s">
        <v>14</v>
      </c>
      <c r="D602" t="s">
        <v>15</v>
      </c>
      <c r="E602" t="s">
        <v>11</v>
      </c>
      <c r="F602">
        <v>8</v>
      </c>
      <c r="G602" t="s">
        <v>16</v>
      </c>
      <c r="H602">
        <v>6</v>
      </c>
      <c r="L602" t="s">
        <v>13</v>
      </c>
      <c r="M602" t="s">
        <v>18</v>
      </c>
      <c r="N602" t="s">
        <v>18</v>
      </c>
      <c r="O602" s="5" t="s">
        <v>17</v>
      </c>
    </row>
    <row r="603" spans="2:15" x14ac:dyDescent="0.3">
      <c r="B603" s="4">
        <v>44</v>
      </c>
      <c r="C603" t="s">
        <v>46</v>
      </c>
      <c r="D603" t="s">
        <v>47</v>
      </c>
      <c r="E603" t="s">
        <v>11</v>
      </c>
      <c r="F603">
        <v>8</v>
      </c>
      <c r="G603" t="s">
        <v>40</v>
      </c>
      <c r="H603">
        <v>3</v>
      </c>
      <c r="I603" t="s">
        <v>34</v>
      </c>
      <c r="J603" t="s">
        <v>34</v>
      </c>
      <c r="O603" s="5"/>
    </row>
    <row r="604" spans="2:15" x14ac:dyDescent="0.3">
      <c r="B604" s="4">
        <v>693</v>
      </c>
      <c r="C604" t="s">
        <v>9</v>
      </c>
      <c r="D604" t="s">
        <v>10</v>
      </c>
      <c r="E604" t="s">
        <v>11</v>
      </c>
      <c r="F604">
        <v>8</v>
      </c>
      <c r="G604" t="s">
        <v>66</v>
      </c>
      <c r="H604">
        <v>5</v>
      </c>
      <c r="K604" t="s">
        <v>13</v>
      </c>
      <c r="L604" t="s">
        <v>13</v>
      </c>
      <c r="M604" t="s">
        <v>13</v>
      </c>
      <c r="N604" t="s">
        <v>13</v>
      </c>
      <c r="O604" s="5" t="s">
        <v>13</v>
      </c>
    </row>
    <row r="605" spans="2:15" x14ac:dyDescent="0.3">
      <c r="B605" s="4">
        <v>400</v>
      </c>
      <c r="C605" t="s">
        <v>75</v>
      </c>
      <c r="D605" t="s">
        <v>76</v>
      </c>
      <c r="E605" t="s">
        <v>77</v>
      </c>
      <c r="F605">
        <v>7</v>
      </c>
      <c r="G605" t="s">
        <v>16</v>
      </c>
      <c r="H605">
        <v>6</v>
      </c>
      <c r="K605" t="s">
        <v>13</v>
      </c>
      <c r="L605" t="s">
        <v>13</v>
      </c>
      <c r="M605" t="s">
        <v>18</v>
      </c>
      <c r="N605" t="s">
        <v>17</v>
      </c>
      <c r="O605" s="5" t="s">
        <v>17</v>
      </c>
    </row>
    <row r="606" spans="2:15" x14ac:dyDescent="0.3">
      <c r="B606" s="4">
        <v>1660</v>
      </c>
      <c r="C606" t="s">
        <v>23</v>
      </c>
      <c r="D606" t="s">
        <v>24</v>
      </c>
      <c r="E606" t="s">
        <v>25</v>
      </c>
      <c r="F606">
        <v>1</v>
      </c>
      <c r="G606" t="s">
        <v>57</v>
      </c>
      <c r="H606">
        <v>10</v>
      </c>
      <c r="N606" t="s">
        <v>17</v>
      </c>
      <c r="O606" s="5" t="s">
        <v>13</v>
      </c>
    </row>
    <row r="607" spans="2:15" x14ac:dyDescent="0.3">
      <c r="B607" s="4">
        <v>1260</v>
      </c>
      <c r="C607" t="s">
        <v>46</v>
      </c>
      <c r="D607" t="s">
        <v>47</v>
      </c>
      <c r="E607" t="s">
        <v>11</v>
      </c>
      <c r="F607">
        <v>8</v>
      </c>
      <c r="G607" t="s">
        <v>38</v>
      </c>
      <c r="H607">
        <v>13</v>
      </c>
      <c r="M607" t="s">
        <v>13</v>
      </c>
      <c r="N607" t="s">
        <v>13</v>
      </c>
      <c r="O607" s="5" t="s">
        <v>13</v>
      </c>
    </row>
    <row r="608" spans="2:15" x14ac:dyDescent="0.3">
      <c r="B608" s="4">
        <v>11</v>
      </c>
      <c r="C608" t="s">
        <v>63</v>
      </c>
      <c r="D608" t="s">
        <v>64</v>
      </c>
      <c r="E608" t="s">
        <v>65</v>
      </c>
      <c r="F608">
        <v>14</v>
      </c>
      <c r="G608" t="s">
        <v>26</v>
      </c>
      <c r="H608">
        <v>4</v>
      </c>
      <c r="M608" t="s">
        <v>18</v>
      </c>
      <c r="N608" t="s">
        <v>17</v>
      </c>
      <c r="O608" s="5" t="s">
        <v>17</v>
      </c>
    </row>
    <row r="609" spans="2:15" x14ac:dyDescent="0.3">
      <c r="B609" s="4">
        <v>17</v>
      </c>
      <c r="C609" t="s">
        <v>46</v>
      </c>
      <c r="D609" t="s">
        <v>47</v>
      </c>
      <c r="E609" t="s">
        <v>11</v>
      </c>
      <c r="F609">
        <v>8</v>
      </c>
      <c r="G609" t="s">
        <v>12</v>
      </c>
      <c r="H609">
        <v>7</v>
      </c>
      <c r="I609" t="s">
        <v>18</v>
      </c>
      <c r="J609" t="s">
        <v>18</v>
      </c>
      <c r="K609" t="s">
        <v>18</v>
      </c>
      <c r="L609" t="s">
        <v>18</v>
      </c>
      <c r="O609" s="5"/>
    </row>
    <row r="610" spans="2:15" x14ac:dyDescent="0.3">
      <c r="B610" s="4">
        <v>614</v>
      </c>
      <c r="C610" t="s">
        <v>49</v>
      </c>
      <c r="D610" t="s">
        <v>50</v>
      </c>
      <c r="E610" t="s">
        <v>51</v>
      </c>
      <c r="F610">
        <v>3</v>
      </c>
      <c r="G610" t="s">
        <v>22</v>
      </c>
      <c r="H610">
        <v>1</v>
      </c>
      <c r="N610" t="s">
        <v>17</v>
      </c>
      <c r="O610" s="5" t="s">
        <v>18</v>
      </c>
    </row>
    <row r="611" spans="2:15" x14ac:dyDescent="0.3">
      <c r="B611" s="4">
        <v>2444</v>
      </c>
      <c r="C611" t="s">
        <v>14</v>
      </c>
      <c r="D611" t="s">
        <v>15</v>
      </c>
      <c r="E611" t="s">
        <v>11</v>
      </c>
      <c r="F611">
        <v>8</v>
      </c>
      <c r="G611" t="s">
        <v>58</v>
      </c>
      <c r="H611">
        <v>17</v>
      </c>
      <c r="L611" t="s">
        <v>13</v>
      </c>
      <c r="M611" t="s">
        <v>13</v>
      </c>
      <c r="O611" s="5"/>
    </row>
    <row r="612" spans="2:15" x14ac:dyDescent="0.3">
      <c r="B612" s="4">
        <v>825</v>
      </c>
      <c r="C612" t="s">
        <v>46</v>
      </c>
      <c r="D612" t="s">
        <v>47</v>
      </c>
      <c r="E612" t="s">
        <v>11</v>
      </c>
      <c r="F612">
        <v>8</v>
      </c>
      <c r="G612" t="s">
        <v>54</v>
      </c>
      <c r="H612">
        <v>8</v>
      </c>
      <c r="K612" t="s">
        <v>17</v>
      </c>
      <c r="L612" t="s">
        <v>17</v>
      </c>
      <c r="O612" s="5"/>
    </row>
    <row r="613" spans="2:15" x14ac:dyDescent="0.3">
      <c r="B613" s="4">
        <v>301</v>
      </c>
      <c r="C613" t="s">
        <v>46</v>
      </c>
      <c r="D613" t="s">
        <v>47</v>
      </c>
      <c r="E613" t="s">
        <v>11</v>
      </c>
      <c r="F613">
        <v>8</v>
      </c>
      <c r="G613" t="s">
        <v>40</v>
      </c>
      <c r="H613">
        <v>3</v>
      </c>
      <c r="N613" t="s">
        <v>18</v>
      </c>
      <c r="O613" s="5" t="s">
        <v>19</v>
      </c>
    </row>
    <row r="614" spans="2:15" x14ac:dyDescent="0.3">
      <c r="B614" s="4">
        <v>1</v>
      </c>
      <c r="C614" t="s">
        <v>14</v>
      </c>
      <c r="D614" t="s">
        <v>15</v>
      </c>
      <c r="E614" t="s">
        <v>11</v>
      </c>
      <c r="F614">
        <v>8</v>
      </c>
      <c r="G614" t="s">
        <v>22</v>
      </c>
      <c r="H614">
        <v>1</v>
      </c>
      <c r="I614" t="s">
        <v>13</v>
      </c>
      <c r="J614" t="s">
        <v>13</v>
      </c>
      <c r="K614" t="s">
        <v>13</v>
      </c>
      <c r="L614" t="s">
        <v>13</v>
      </c>
      <c r="M614" t="s">
        <v>13</v>
      </c>
      <c r="N614" t="s">
        <v>18</v>
      </c>
      <c r="O614" s="5" t="s">
        <v>17</v>
      </c>
    </row>
    <row r="615" spans="2:15" x14ac:dyDescent="0.3">
      <c r="B615" s="4">
        <v>32</v>
      </c>
      <c r="C615" t="s">
        <v>49</v>
      </c>
      <c r="D615" t="s">
        <v>50</v>
      </c>
      <c r="E615" t="s">
        <v>51</v>
      </c>
      <c r="F615">
        <v>3</v>
      </c>
      <c r="G615" t="s">
        <v>22</v>
      </c>
      <c r="H615">
        <v>1</v>
      </c>
      <c r="I615" t="s">
        <v>19</v>
      </c>
      <c r="J615" t="s">
        <v>18</v>
      </c>
      <c r="K615" t="s">
        <v>13</v>
      </c>
      <c r="L615" t="s">
        <v>13</v>
      </c>
      <c r="M615" t="s">
        <v>13</v>
      </c>
      <c r="N615" t="s">
        <v>13</v>
      </c>
      <c r="O615" s="5" t="s">
        <v>18</v>
      </c>
    </row>
    <row r="616" spans="2:15" x14ac:dyDescent="0.3">
      <c r="B616" s="4">
        <v>33</v>
      </c>
      <c r="C616" t="s">
        <v>49</v>
      </c>
      <c r="D616" t="s">
        <v>50</v>
      </c>
      <c r="E616" t="s">
        <v>51</v>
      </c>
      <c r="F616">
        <v>3</v>
      </c>
      <c r="G616" t="s">
        <v>30</v>
      </c>
      <c r="H616">
        <v>18</v>
      </c>
      <c r="N616" t="s">
        <v>18</v>
      </c>
      <c r="O616" s="5" t="s">
        <v>18</v>
      </c>
    </row>
    <row r="617" spans="2:15" x14ac:dyDescent="0.3">
      <c r="B617" s="4">
        <v>40</v>
      </c>
      <c r="C617" t="s">
        <v>14</v>
      </c>
      <c r="D617" t="s">
        <v>15</v>
      </c>
      <c r="E617" t="s">
        <v>11</v>
      </c>
      <c r="F617">
        <v>8</v>
      </c>
      <c r="G617" t="s">
        <v>55</v>
      </c>
      <c r="H617">
        <v>2</v>
      </c>
      <c r="I617" t="s">
        <v>19</v>
      </c>
      <c r="J617" t="s">
        <v>19</v>
      </c>
      <c r="O617" s="5"/>
    </row>
    <row r="618" spans="2:15" x14ac:dyDescent="0.3">
      <c r="B618" s="4">
        <v>2013</v>
      </c>
      <c r="C618" t="s">
        <v>14</v>
      </c>
      <c r="D618" t="s">
        <v>15</v>
      </c>
      <c r="E618" t="s">
        <v>11</v>
      </c>
      <c r="F618">
        <v>8</v>
      </c>
      <c r="G618" t="s">
        <v>54</v>
      </c>
      <c r="H618">
        <v>8</v>
      </c>
      <c r="M618" t="s">
        <v>19</v>
      </c>
      <c r="N618" t="s">
        <v>18</v>
      </c>
      <c r="O618" s="5" t="s">
        <v>19</v>
      </c>
    </row>
    <row r="619" spans="2:15" x14ac:dyDescent="0.3">
      <c r="B619" s="4">
        <v>10</v>
      </c>
      <c r="C619" t="s">
        <v>46</v>
      </c>
      <c r="D619" t="s">
        <v>47</v>
      </c>
      <c r="E619" t="s">
        <v>11</v>
      </c>
      <c r="F619">
        <v>8</v>
      </c>
      <c r="G619" t="s">
        <v>16</v>
      </c>
      <c r="H619">
        <v>6</v>
      </c>
      <c r="I619" t="s">
        <v>52</v>
      </c>
      <c r="J619" t="s">
        <v>19</v>
      </c>
      <c r="K619" t="s">
        <v>19</v>
      </c>
      <c r="L619" t="s">
        <v>19</v>
      </c>
      <c r="M619" t="s">
        <v>52</v>
      </c>
      <c r="N619" t="s">
        <v>19</v>
      </c>
      <c r="O619" s="5" t="s">
        <v>19</v>
      </c>
    </row>
    <row r="620" spans="2:15" x14ac:dyDescent="0.3">
      <c r="B620" s="4">
        <v>303</v>
      </c>
      <c r="C620" t="s">
        <v>49</v>
      </c>
      <c r="D620" t="s">
        <v>50</v>
      </c>
      <c r="E620" t="s">
        <v>51</v>
      </c>
      <c r="F620">
        <v>3</v>
      </c>
      <c r="G620" t="s">
        <v>22</v>
      </c>
      <c r="H620">
        <v>1</v>
      </c>
      <c r="M620" t="s">
        <v>17</v>
      </c>
      <c r="N620" t="s">
        <v>17</v>
      </c>
      <c r="O620" s="5" t="s">
        <v>18</v>
      </c>
    </row>
    <row r="621" spans="2:15" x14ac:dyDescent="0.3">
      <c r="B621" s="4">
        <v>380</v>
      </c>
      <c r="C621" t="s">
        <v>49</v>
      </c>
      <c r="D621" t="s">
        <v>50</v>
      </c>
      <c r="E621" t="s">
        <v>51</v>
      </c>
      <c r="F621">
        <v>3</v>
      </c>
      <c r="G621" t="s">
        <v>30</v>
      </c>
      <c r="H621">
        <v>18</v>
      </c>
      <c r="N621" t="s">
        <v>17</v>
      </c>
      <c r="O621" s="5" t="s">
        <v>18</v>
      </c>
    </row>
    <row r="622" spans="2:15" x14ac:dyDescent="0.3">
      <c r="B622" s="4">
        <v>404</v>
      </c>
      <c r="C622" t="s">
        <v>49</v>
      </c>
      <c r="D622" t="s">
        <v>50</v>
      </c>
      <c r="E622" t="s">
        <v>51</v>
      </c>
      <c r="F622">
        <v>3</v>
      </c>
      <c r="G622" t="s">
        <v>74</v>
      </c>
      <c r="H622">
        <v>15</v>
      </c>
      <c r="N622" t="s">
        <v>17</v>
      </c>
      <c r="O622" s="5" t="s">
        <v>18</v>
      </c>
    </row>
    <row r="623" spans="2:15" x14ac:dyDescent="0.3">
      <c r="B623" s="4">
        <v>1110</v>
      </c>
      <c r="C623" t="s">
        <v>49</v>
      </c>
      <c r="D623" t="s">
        <v>50</v>
      </c>
      <c r="E623" t="s">
        <v>51</v>
      </c>
      <c r="F623">
        <v>3</v>
      </c>
      <c r="G623" t="s">
        <v>54</v>
      </c>
      <c r="H623">
        <v>8</v>
      </c>
      <c r="M623" t="s">
        <v>13</v>
      </c>
      <c r="N623" t="s">
        <v>18</v>
      </c>
      <c r="O623" s="5" t="s">
        <v>18</v>
      </c>
    </row>
    <row r="624" spans="2:15" x14ac:dyDescent="0.3">
      <c r="B624" s="4">
        <v>1398</v>
      </c>
      <c r="C624" t="s">
        <v>46</v>
      </c>
      <c r="D624" t="s">
        <v>47</v>
      </c>
      <c r="E624" t="s">
        <v>11</v>
      </c>
      <c r="F624">
        <v>8</v>
      </c>
      <c r="G624" t="s">
        <v>54</v>
      </c>
      <c r="H624">
        <v>8</v>
      </c>
      <c r="N624" t="s">
        <v>13</v>
      </c>
      <c r="O624" s="5" t="s">
        <v>13</v>
      </c>
    </row>
    <row r="625" spans="2:15" x14ac:dyDescent="0.3">
      <c r="B625" s="4">
        <v>1668</v>
      </c>
      <c r="C625" t="s">
        <v>46</v>
      </c>
      <c r="D625" t="s">
        <v>47</v>
      </c>
      <c r="E625" t="s">
        <v>11</v>
      </c>
      <c r="F625">
        <v>8</v>
      </c>
      <c r="G625" t="s">
        <v>30</v>
      </c>
      <c r="H625">
        <v>18</v>
      </c>
      <c r="N625" t="s">
        <v>17</v>
      </c>
      <c r="O625" s="5" t="s">
        <v>18</v>
      </c>
    </row>
    <row r="626" spans="2:15" x14ac:dyDescent="0.3">
      <c r="B626" s="4">
        <v>685</v>
      </c>
      <c r="C626" t="s">
        <v>49</v>
      </c>
      <c r="D626" t="s">
        <v>50</v>
      </c>
      <c r="E626" t="s">
        <v>51</v>
      </c>
      <c r="F626">
        <v>3</v>
      </c>
      <c r="G626" t="s">
        <v>30</v>
      </c>
      <c r="H626">
        <v>18</v>
      </c>
      <c r="M626" t="s">
        <v>18</v>
      </c>
      <c r="N626" t="s">
        <v>18</v>
      </c>
      <c r="O626" s="5" t="s">
        <v>13</v>
      </c>
    </row>
    <row r="627" spans="2:15" x14ac:dyDescent="0.3">
      <c r="B627" s="4">
        <v>1556</v>
      </c>
      <c r="C627" t="s">
        <v>23</v>
      </c>
      <c r="D627" t="s">
        <v>24</v>
      </c>
      <c r="E627" t="s">
        <v>25</v>
      </c>
      <c r="F627">
        <v>1</v>
      </c>
      <c r="G627" t="s">
        <v>40</v>
      </c>
      <c r="H627">
        <v>3</v>
      </c>
      <c r="M627" t="s">
        <v>18</v>
      </c>
      <c r="N627" t="s">
        <v>13</v>
      </c>
      <c r="O627" s="5" t="s">
        <v>13</v>
      </c>
    </row>
    <row r="628" spans="2:15" x14ac:dyDescent="0.3">
      <c r="B628" s="4">
        <v>134</v>
      </c>
      <c r="C628" t="s">
        <v>14</v>
      </c>
      <c r="D628" t="s">
        <v>15</v>
      </c>
      <c r="E628" t="s">
        <v>11</v>
      </c>
      <c r="F628">
        <v>8</v>
      </c>
      <c r="G628" t="s">
        <v>30</v>
      </c>
      <c r="H628">
        <v>18</v>
      </c>
      <c r="M628" t="s">
        <v>13</v>
      </c>
      <c r="N628" t="s">
        <v>13</v>
      </c>
      <c r="O628" s="5"/>
    </row>
    <row r="629" spans="2:15" x14ac:dyDescent="0.3">
      <c r="B629" s="4">
        <v>614</v>
      </c>
      <c r="C629" t="s">
        <v>49</v>
      </c>
      <c r="D629" t="s">
        <v>50</v>
      </c>
      <c r="E629" t="s">
        <v>51</v>
      </c>
      <c r="F629">
        <v>3</v>
      </c>
      <c r="G629" t="s">
        <v>57</v>
      </c>
      <c r="H629">
        <v>10</v>
      </c>
      <c r="K629" t="s">
        <v>13</v>
      </c>
      <c r="L629" t="s">
        <v>18</v>
      </c>
      <c r="M629" t="s">
        <v>13</v>
      </c>
      <c r="N629" t="s">
        <v>13</v>
      </c>
      <c r="O629" s="5" t="s">
        <v>18</v>
      </c>
    </row>
    <row r="630" spans="2:15" x14ac:dyDescent="0.3">
      <c r="B630" s="4">
        <v>4</v>
      </c>
      <c r="C630" t="s">
        <v>14</v>
      </c>
      <c r="D630" t="s">
        <v>15</v>
      </c>
      <c r="E630" t="s">
        <v>11</v>
      </c>
      <c r="F630">
        <v>8</v>
      </c>
      <c r="G630" t="s">
        <v>57</v>
      </c>
      <c r="H630">
        <v>10</v>
      </c>
      <c r="I630" t="s">
        <v>19</v>
      </c>
      <c r="J630" t="s">
        <v>17</v>
      </c>
      <c r="K630" t="s">
        <v>17</v>
      </c>
      <c r="M630" t="s">
        <v>13</v>
      </c>
      <c r="N630" t="s">
        <v>17</v>
      </c>
      <c r="O630" s="5" t="s">
        <v>17</v>
      </c>
    </row>
    <row r="631" spans="2:15" x14ac:dyDescent="0.3">
      <c r="B631" s="4">
        <v>1010</v>
      </c>
      <c r="C631" t="s">
        <v>41</v>
      </c>
      <c r="D631" t="s">
        <v>42</v>
      </c>
      <c r="E631" t="s">
        <v>11</v>
      </c>
      <c r="F631">
        <v>8</v>
      </c>
      <c r="G631" t="s">
        <v>88</v>
      </c>
      <c r="H631">
        <v>12</v>
      </c>
      <c r="M631" t="s">
        <v>17</v>
      </c>
      <c r="N631" t="s">
        <v>17</v>
      </c>
      <c r="O631" s="5" t="s">
        <v>19</v>
      </c>
    </row>
    <row r="632" spans="2:15" x14ac:dyDescent="0.3">
      <c r="B632" s="4">
        <v>8</v>
      </c>
      <c r="C632" t="s">
        <v>63</v>
      </c>
      <c r="D632" t="s">
        <v>64</v>
      </c>
      <c r="E632" t="s">
        <v>65</v>
      </c>
      <c r="F632">
        <v>14</v>
      </c>
      <c r="G632" t="s">
        <v>88</v>
      </c>
      <c r="H632">
        <v>12</v>
      </c>
      <c r="J632" t="s">
        <v>13</v>
      </c>
      <c r="K632" t="s">
        <v>17</v>
      </c>
      <c r="L632" t="s">
        <v>19</v>
      </c>
      <c r="O632" s="5"/>
    </row>
    <row r="633" spans="2:15" x14ac:dyDescent="0.3">
      <c r="B633" s="4">
        <v>1202</v>
      </c>
      <c r="C633" t="s">
        <v>23</v>
      </c>
      <c r="D633" t="s">
        <v>24</v>
      </c>
      <c r="E633" t="s">
        <v>25</v>
      </c>
      <c r="F633">
        <v>1</v>
      </c>
      <c r="G633" t="s">
        <v>16</v>
      </c>
      <c r="H633">
        <v>6</v>
      </c>
      <c r="M633" t="s">
        <v>13</v>
      </c>
      <c r="N633" t="s">
        <v>17</v>
      </c>
      <c r="O633" s="5" t="s">
        <v>18</v>
      </c>
    </row>
    <row r="634" spans="2:15" x14ac:dyDescent="0.3">
      <c r="B634" s="4">
        <v>1327</v>
      </c>
      <c r="C634" t="s">
        <v>23</v>
      </c>
      <c r="D634" t="s">
        <v>24</v>
      </c>
      <c r="E634" t="s">
        <v>25</v>
      </c>
      <c r="F634">
        <v>1</v>
      </c>
      <c r="G634" t="s">
        <v>16</v>
      </c>
      <c r="H634">
        <v>6</v>
      </c>
      <c r="N634" t="s">
        <v>13</v>
      </c>
      <c r="O634" s="5" t="s">
        <v>13</v>
      </c>
    </row>
    <row r="635" spans="2:15" x14ac:dyDescent="0.3">
      <c r="B635" s="4">
        <v>1</v>
      </c>
      <c r="C635" t="s">
        <v>46</v>
      </c>
      <c r="D635" t="s">
        <v>47</v>
      </c>
      <c r="E635" t="s">
        <v>11</v>
      </c>
      <c r="F635">
        <v>8</v>
      </c>
      <c r="G635" t="s">
        <v>40</v>
      </c>
      <c r="H635">
        <v>3</v>
      </c>
      <c r="I635" t="s">
        <v>34</v>
      </c>
      <c r="J635" t="s">
        <v>34</v>
      </c>
      <c r="K635" t="s">
        <v>33</v>
      </c>
      <c r="O635" s="5"/>
    </row>
    <row r="636" spans="2:15" x14ac:dyDescent="0.3">
      <c r="B636" s="4">
        <v>87</v>
      </c>
      <c r="C636" t="s">
        <v>14</v>
      </c>
      <c r="D636" t="s">
        <v>15</v>
      </c>
      <c r="E636" t="s">
        <v>11</v>
      </c>
      <c r="F636">
        <v>8</v>
      </c>
      <c r="G636" t="s">
        <v>87</v>
      </c>
      <c r="H636">
        <v>9</v>
      </c>
      <c r="K636" t="s">
        <v>13</v>
      </c>
      <c r="L636" t="s">
        <v>13</v>
      </c>
      <c r="O636" s="5"/>
    </row>
    <row r="637" spans="2:15" x14ac:dyDescent="0.3">
      <c r="B637" s="4">
        <v>3715</v>
      </c>
      <c r="C637" t="s">
        <v>14</v>
      </c>
      <c r="D637" t="s">
        <v>15</v>
      </c>
      <c r="E637" t="s">
        <v>11</v>
      </c>
      <c r="F637">
        <v>8</v>
      </c>
      <c r="G637" t="s">
        <v>87</v>
      </c>
      <c r="H637">
        <v>9</v>
      </c>
      <c r="M637" t="s">
        <v>17</v>
      </c>
      <c r="N637" t="s">
        <v>17</v>
      </c>
      <c r="O637" s="5"/>
    </row>
    <row r="638" spans="2:15" x14ac:dyDescent="0.3">
      <c r="B638" s="4">
        <v>5</v>
      </c>
      <c r="C638" t="s">
        <v>46</v>
      </c>
      <c r="D638" t="s">
        <v>47</v>
      </c>
      <c r="E638" t="s">
        <v>11</v>
      </c>
      <c r="F638">
        <v>8</v>
      </c>
      <c r="G638" t="s">
        <v>26</v>
      </c>
      <c r="H638">
        <v>4</v>
      </c>
      <c r="J638" t="s">
        <v>13</v>
      </c>
      <c r="K638" t="s">
        <v>13</v>
      </c>
      <c r="L638" t="s">
        <v>13</v>
      </c>
      <c r="N638" t="s">
        <v>17</v>
      </c>
      <c r="O638" s="5" t="s">
        <v>18</v>
      </c>
    </row>
    <row r="639" spans="2:15" x14ac:dyDescent="0.3">
      <c r="B639" s="4">
        <v>20</v>
      </c>
      <c r="C639" t="s">
        <v>46</v>
      </c>
      <c r="D639" t="s">
        <v>47</v>
      </c>
      <c r="E639" t="s">
        <v>11</v>
      </c>
      <c r="F639">
        <v>8</v>
      </c>
      <c r="G639" t="s">
        <v>26</v>
      </c>
      <c r="H639">
        <v>4</v>
      </c>
      <c r="M639" t="s">
        <v>18</v>
      </c>
      <c r="N639" t="s">
        <v>13</v>
      </c>
      <c r="O639" s="5" t="s">
        <v>18</v>
      </c>
    </row>
    <row r="640" spans="2:15" x14ac:dyDescent="0.3">
      <c r="B640" s="4">
        <v>16</v>
      </c>
      <c r="C640" t="s">
        <v>46</v>
      </c>
      <c r="D640" t="s">
        <v>47</v>
      </c>
      <c r="E640" t="s">
        <v>11</v>
      </c>
      <c r="F640">
        <v>8</v>
      </c>
      <c r="G640" t="s">
        <v>12</v>
      </c>
      <c r="H640">
        <v>7</v>
      </c>
      <c r="I640" t="s">
        <v>13</v>
      </c>
      <c r="J640" t="s">
        <v>13</v>
      </c>
      <c r="K640" t="s">
        <v>13</v>
      </c>
      <c r="L640" t="s">
        <v>13</v>
      </c>
      <c r="O640" s="5"/>
    </row>
    <row r="641" spans="2:15" x14ac:dyDescent="0.3">
      <c r="B641" s="4">
        <v>3726</v>
      </c>
      <c r="C641" t="s">
        <v>14</v>
      </c>
      <c r="D641" t="s">
        <v>15</v>
      </c>
      <c r="E641" t="s">
        <v>11</v>
      </c>
      <c r="F641">
        <v>8</v>
      </c>
      <c r="G641" t="s">
        <v>30</v>
      </c>
      <c r="H641">
        <v>18</v>
      </c>
      <c r="M641" t="s">
        <v>13</v>
      </c>
      <c r="N641" t="s">
        <v>18</v>
      </c>
      <c r="O641" s="5"/>
    </row>
    <row r="642" spans="2:15" x14ac:dyDescent="0.3">
      <c r="B642" s="4">
        <v>378</v>
      </c>
      <c r="C642" t="s">
        <v>46</v>
      </c>
      <c r="D642" t="s">
        <v>47</v>
      </c>
      <c r="E642" t="s">
        <v>11</v>
      </c>
      <c r="F642">
        <v>8</v>
      </c>
      <c r="G642" t="s">
        <v>30</v>
      </c>
      <c r="H642">
        <v>18</v>
      </c>
      <c r="I642" t="s">
        <v>18</v>
      </c>
      <c r="J642" t="s">
        <v>18</v>
      </c>
      <c r="K642" t="s">
        <v>13</v>
      </c>
      <c r="L642" t="s">
        <v>18</v>
      </c>
      <c r="M642" t="s">
        <v>13</v>
      </c>
      <c r="O642" s="5"/>
    </row>
    <row r="643" spans="2:15" x14ac:dyDescent="0.3">
      <c r="B643" s="4">
        <v>184</v>
      </c>
      <c r="C643" t="s">
        <v>46</v>
      </c>
      <c r="D643" t="s">
        <v>47</v>
      </c>
      <c r="E643" t="s">
        <v>11</v>
      </c>
      <c r="F643">
        <v>8</v>
      </c>
      <c r="G643" t="s">
        <v>30</v>
      </c>
      <c r="H643">
        <v>18</v>
      </c>
      <c r="I643" t="s">
        <v>18</v>
      </c>
      <c r="J643" t="s">
        <v>18</v>
      </c>
      <c r="K643" t="s">
        <v>18</v>
      </c>
      <c r="L643" t="s">
        <v>13</v>
      </c>
      <c r="M643" t="s">
        <v>13</v>
      </c>
      <c r="N643" t="s">
        <v>18</v>
      </c>
      <c r="O643" s="5" t="s">
        <v>18</v>
      </c>
    </row>
    <row r="644" spans="2:15" x14ac:dyDescent="0.3">
      <c r="B644" s="4">
        <v>475</v>
      </c>
      <c r="C644" t="s">
        <v>49</v>
      </c>
      <c r="D644" t="s">
        <v>50</v>
      </c>
      <c r="E644" t="s">
        <v>51</v>
      </c>
      <c r="F644">
        <v>3</v>
      </c>
      <c r="G644" t="s">
        <v>54</v>
      </c>
      <c r="H644">
        <v>8</v>
      </c>
      <c r="I644" t="s">
        <v>17</v>
      </c>
      <c r="J644" t="s">
        <v>18</v>
      </c>
      <c r="K644" t="s">
        <v>13</v>
      </c>
      <c r="O644" s="5"/>
    </row>
    <row r="645" spans="2:15" x14ac:dyDescent="0.3">
      <c r="B645" s="4">
        <v>20</v>
      </c>
      <c r="C645" t="s">
        <v>63</v>
      </c>
      <c r="D645" t="s">
        <v>64</v>
      </c>
      <c r="E645" t="s">
        <v>65</v>
      </c>
      <c r="F645">
        <v>14</v>
      </c>
      <c r="G645" t="s">
        <v>55</v>
      </c>
      <c r="H645">
        <v>2</v>
      </c>
      <c r="L645" t="s">
        <v>13</v>
      </c>
      <c r="M645" t="s">
        <v>18</v>
      </c>
      <c r="N645" t="s">
        <v>17</v>
      </c>
      <c r="O645" s="5" t="s">
        <v>17</v>
      </c>
    </row>
    <row r="646" spans="2:15" x14ac:dyDescent="0.3">
      <c r="B646" s="4">
        <v>852</v>
      </c>
      <c r="C646" t="s">
        <v>14</v>
      </c>
      <c r="D646" t="s">
        <v>15</v>
      </c>
      <c r="E646" t="s">
        <v>11</v>
      </c>
      <c r="F646">
        <v>8</v>
      </c>
      <c r="G646" t="s">
        <v>55</v>
      </c>
      <c r="H646">
        <v>2</v>
      </c>
      <c r="K646" t="s">
        <v>13</v>
      </c>
      <c r="L646" t="s">
        <v>18</v>
      </c>
      <c r="O646" s="5"/>
    </row>
    <row r="647" spans="2:15" x14ac:dyDescent="0.3">
      <c r="B647" s="4">
        <v>683</v>
      </c>
      <c r="C647" t="s">
        <v>46</v>
      </c>
      <c r="D647" t="s">
        <v>47</v>
      </c>
      <c r="E647" t="s">
        <v>11</v>
      </c>
      <c r="F647">
        <v>8</v>
      </c>
      <c r="G647" t="s">
        <v>58</v>
      </c>
      <c r="H647">
        <v>17</v>
      </c>
      <c r="N647" t="s">
        <v>17</v>
      </c>
      <c r="O647" s="5" t="s">
        <v>18</v>
      </c>
    </row>
    <row r="648" spans="2:15" x14ac:dyDescent="0.3">
      <c r="B648" s="4">
        <v>1442</v>
      </c>
      <c r="C648" t="s">
        <v>46</v>
      </c>
      <c r="D648" t="s">
        <v>47</v>
      </c>
      <c r="E648" t="s">
        <v>11</v>
      </c>
      <c r="F648">
        <v>8</v>
      </c>
      <c r="G648" t="s">
        <v>58</v>
      </c>
      <c r="H648">
        <v>17</v>
      </c>
      <c r="M648" t="s">
        <v>19</v>
      </c>
      <c r="N648" t="s">
        <v>13</v>
      </c>
      <c r="O648" s="5"/>
    </row>
    <row r="649" spans="2:15" x14ac:dyDescent="0.3">
      <c r="B649" s="4">
        <v>6</v>
      </c>
      <c r="C649" t="s">
        <v>108</v>
      </c>
      <c r="D649" t="s">
        <v>109</v>
      </c>
      <c r="E649" t="s">
        <v>77</v>
      </c>
      <c r="F649">
        <v>7</v>
      </c>
      <c r="G649" t="s">
        <v>58</v>
      </c>
      <c r="H649">
        <v>17</v>
      </c>
      <c r="N649" t="s">
        <v>13</v>
      </c>
      <c r="O649" s="5" t="s">
        <v>18</v>
      </c>
    </row>
    <row r="650" spans="2:15" x14ac:dyDescent="0.3">
      <c r="B650" s="4">
        <v>1056</v>
      </c>
      <c r="C650" t="s">
        <v>108</v>
      </c>
      <c r="D650" t="s">
        <v>109</v>
      </c>
      <c r="E650" t="s">
        <v>77</v>
      </c>
      <c r="F650">
        <v>7</v>
      </c>
      <c r="G650" t="s">
        <v>58</v>
      </c>
      <c r="H650">
        <v>17</v>
      </c>
      <c r="K650" t="s">
        <v>17</v>
      </c>
      <c r="L650" t="s">
        <v>13</v>
      </c>
      <c r="M650" t="s">
        <v>13</v>
      </c>
      <c r="N650" t="s">
        <v>13</v>
      </c>
      <c r="O650" s="5" t="s">
        <v>13</v>
      </c>
    </row>
    <row r="651" spans="2:15" x14ac:dyDescent="0.3">
      <c r="B651" s="4">
        <v>2299</v>
      </c>
      <c r="C651" t="s">
        <v>20</v>
      </c>
      <c r="D651" t="s">
        <v>21</v>
      </c>
      <c r="E651" t="s">
        <v>11</v>
      </c>
      <c r="F651">
        <v>8</v>
      </c>
      <c r="G651" t="s">
        <v>55</v>
      </c>
      <c r="H651">
        <v>2</v>
      </c>
      <c r="N651" t="s">
        <v>18</v>
      </c>
      <c r="O651" s="5" t="s">
        <v>18</v>
      </c>
    </row>
    <row r="652" spans="2:15" x14ac:dyDescent="0.3">
      <c r="B652" s="4">
        <v>1136</v>
      </c>
      <c r="C652" t="s">
        <v>36</v>
      </c>
      <c r="D652" t="s">
        <v>37</v>
      </c>
      <c r="E652" t="s">
        <v>11</v>
      </c>
      <c r="F652">
        <v>8</v>
      </c>
      <c r="G652" t="s">
        <v>55</v>
      </c>
      <c r="H652">
        <v>2</v>
      </c>
      <c r="K652" t="s">
        <v>13</v>
      </c>
      <c r="L652" t="s">
        <v>13</v>
      </c>
      <c r="O652" s="5"/>
    </row>
    <row r="653" spans="2:15" x14ac:dyDescent="0.3">
      <c r="B653" s="4">
        <v>1963</v>
      </c>
      <c r="C653" t="s">
        <v>20</v>
      </c>
      <c r="D653" t="s">
        <v>21</v>
      </c>
      <c r="E653" t="s">
        <v>11</v>
      </c>
      <c r="F653">
        <v>8</v>
      </c>
      <c r="G653" t="s">
        <v>66</v>
      </c>
      <c r="H653">
        <v>5</v>
      </c>
      <c r="M653" t="s">
        <v>13</v>
      </c>
      <c r="N653" t="s">
        <v>18</v>
      </c>
      <c r="O653" s="5" t="s">
        <v>18</v>
      </c>
    </row>
    <row r="654" spans="2:15" x14ac:dyDescent="0.3">
      <c r="B654" s="4">
        <v>2799</v>
      </c>
      <c r="C654" t="s">
        <v>61</v>
      </c>
      <c r="D654" t="s">
        <v>62</v>
      </c>
      <c r="E654" t="s">
        <v>11</v>
      </c>
      <c r="F654">
        <v>8</v>
      </c>
      <c r="G654" t="s">
        <v>66</v>
      </c>
      <c r="H654">
        <v>5</v>
      </c>
      <c r="M654" t="s">
        <v>13</v>
      </c>
      <c r="N654" t="s">
        <v>13</v>
      </c>
      <c r="O654" s="5" t="s">
        <v>17</v>
      </c>
    </row>
    <row r="655" spans="2:15" x14ac:dyDescent="0.3">
      <c r="B655" s="4">
        <v>293</v>
      </c>
      <c r="C655" t="s">
        <v>46</v>
      </c>
      <c r="D655" t="s">
        <v>47</v>
      </c>
      <c r="E655" t="s">
        <v>11</v>
      </c>
      <c r="F655">
        <v>8</v>
      </c>
      <c r="G655" t="s">
        <v>89</v>
      </c>
      <c r="H655">
        <v>11</v>
      </c>
      <c r="J655" t="s">
        <v>18</v>
      </c>
      <c r="K655" t="s">
        <v>13</v>
      </c>
      <c r="O655" s="5"/>
    </row>
    <row r="656" spans="2:15" x14ac:dyDescent="0.3">
      <c r="B656" s="4">
        <v>1104</v>
      </c>
      <c r="C656" t="s">
        <v>23</v>
      </c>
      <c r="D656" t="s">
        <v>24</v>
      </c>
      <c r="E656" t="s">
        <v>25</v>
      </c>
      <c r="F656">
        <v>1</v>
      </c>
      <c r="G656" t="s">
        <v>89</v>
      </c>
      <c r="H656">
        <v>11</v>
      </c>
      <c r="N656" t="s">
        <v>13</v>
      </c>
      <c r="O656" s="5" t="s">
        <v>18</v>
      </c>
    </row>
    <row r="657" spans="2:15" x14ac:dyDescent="0.3">
      <c r="B657" s="4">
        <v>655</v>
      </c>
      <c r="C657" t="s">
        <v>14</v>
      </c>
      <c r="D657" t="s">
        <v>15</v>
      </c>
      <c r="E657" t="s">
        <v>11</v>
      </c>
      <c r="F657">
        <v>8</v>
      </c>
      <c r="G657" t="s">
        <v>89</v>
      </c>
      <c r="H657">
        <v>11</v>
      </c>
      <c r="K657" t="s">
        <v>18</v>
      </c>
      <c r="L657" t="s">
        <v>18</v>
      </c>
      <c r="M657" t="s">
        <v>18</v>
      </c>
      <c r="N657" t="s">
        <v>18</v>
      </c>
      <c r="O657" s="5" t="s">
        <v>18</v>
      </c>
    </row>
    <row r="658" spans="2:15" x14ac:dyDescent="0.3">
      <c r="B658" s="4">
        <v>337</v>
      </c>
      <c r="C658" t="s">
        <v>61</v>
      </c>
      <c r="D658" t="s">
        <v>62</v>
      </c>
      <c r="E658" t="s">
        <v>11</v>
      </c>
      <c r="F658">
        <v>8</v>
      </c>
      <c r="G658" t="s">
        <v>57</v>
      </c>
      <c r="H658">
        <v>10</v>
      </c>
      <c r="L658" t="s">
        <v>19</v>
      </c>
      <c r="M658" t="s">
        <v>17</v>
      </c>
      <c r="O658" s="5"/>
    </row>
    <row r="659" spans="2:15" x14ac:dyDescent="0.3">
      <c r="B659" s="4">
        <v>546</v>
      </c>
      <c r="C659" t="s">
        <v>49</v>
      </c>
      <c r="D659" t="s">
        <v>50</v>
      </c>
      <c r="E659" t="s">
        <v>51</v>
      </c>
      <c r="F659">
        <v>3</v>
      </c>
      <c r="G659" t="s">
        <v>38</v>
      </c>
      <c r="H659">
        <v>13</v>
      </c>
      <c r="K659" t="s">
        <v>13</v>
      </c>
      <c r="L659" t="s">
        <v>13</v>
      </c>
      <c r="M659" t="s">
        <v>18</v>
      </c>
      <c r="N659" t="s">
        <v>18</v>
      </c>
      <c r="O659" s="5" t="s">
        <v>18</v>
      </c>
    </row>
    <row r="660" spans="2:15" x14ac:dyDescent="0.3">
      <c r="B660" s="4">
        <v>2504</v>
      </c>
      <c r="C660" t="s">
        <v>92</v>
      </c>
      <c r="D660" t="s">
        <v>93</v>
      </c>
      <c r="E660" t="s">
        <v>11</v>
      </c>
      <c r="F660">
        <v>8</v>
      </c>
      <c r="G660" t="s">
        <v>26</v>
      </c>
      <c r="H660">
        <v>4</v>
      </c>
      <c r="N660" t="s">
        <v>13</v>
      </c>
      <c r="O660" s="5" t="s">
        <v>18</v>
      </c>
    </row>
    <row r="661" spans="2:15" x14ac:dyDescent="0.3">
      <c r="B661" s="4">
        <v>1179</v>
      </c>
      <c r="C661" t="s">
        <v>75</v>
      </c>
      <c r="D661" t="s">
        <v>76</v>
      </c>
      <c r="E661" t="s">
        <v>77</v>
      </c>
      <c r="F661">
        <v>7</v>
      </c>
      <c r="G661" t="s">
        <v>12</v>
      </c>
      <c r="H661">
        <v>7</v>
      </c>
      <c r="L661" t="s">
        <v>18</v>
      </c>
      <c r="M661" t="s">
        <v>13</v>
      </c>
      <c r="O661" s="5"/>
    </row>
    <row r="662" spans="2:15" x14ac:dyDescent="0.3">
      <c r="B662" s="4">
        <v>1020</v>
      </c>
      <c r="C662" t="s">
        <v>46</v>
      </c>
      <c r="D662" t="s">
        <v>47</v>
      </c>
      <c r="E662" t="s">
        <v>11</v>
      </c>
      <c r="F662">
        <v>8</v>
      </c>
      <c r="G662" t="s">
        <v>22</v>
      </c>
      <c r="H662">
        <v>1</v>
      </c>
      <c r="J662" t="s">
        <v>19</v>
      </c>
      <c r="K662" t="s">
        <v>33</v>
      </c>
      <c r="L662" t="s">
        <v>33</v>
      </c>
      <c r="O662" s="5"/>
    </row>
    <row r="663" spans="2:15" x14ac:dyDescent="0.3">
      <c r="B663" s="4">
        <v>34</v>
      </c>
      <c r="C663" t="s">
        <v>27</v>
      </c>
      <c r="D663" t="s">
        <v>28</v>
      </c>
      <c r="E663" t="s">
        <v>29</v>
      </c>
      <c r="F663">
        <v>6</v>
      </c>
      <c r="G663" t="s">
        <v>58</v>
      </c>
      <c r="H663">
        <v>17</v>
      </c>
      <c r="J663" t="s">
        <v>18</v>
      </c>
      <c r="K663" t="s">
        <v>13</v>
      </c>
      <c r="O663" s="5"/>
    </row>
    <row r="664" spans="2:15" x14ac:dyDescent="0.3">
      <c r="B664" s="4">
        <v>2881</v>
      </c>
      <c r="C664" t="s">
        <v>23</v>
      </c>
      <c r="D664" t="s">
        <v>24</v>
      </c>
      <c r="E664" t="s">
        <v>25</v>
      </c>
      <c r="F664">
        <v>1</v>
      </c>
      <c r="G664" t="s">
        <v>54</v>
      </c>
      <c r="H664">
        <v>8</v>
      </c>
      <c r="L664" t="s">
        <v>52</v>
      </c>
      <c r="M664" t="s">
        <v>52</v>
      </c>
      <c r="N664" t="s">
        <v>19</v>
      </c>
      <c r="O664" s="5" t="s">
        <v>19</v>
      </c>
    </row>
    <row r="665" spans="2:15" x14ac:dyDescent="0.3">
      <c r="B665" s="4">
        <v>690</v>
      </c>
      <c r="C665" t="s">
        <v>67</v>
      </c>
      <c r="D665" t="s">
        <v>68</v>
      </c>
      <c r="E665" t="s">
        <v>69</v>
      </c>
      <c r="F665">
        <v>11</v>
      </c>
      <c r="G665" t="s">
        <v>40</v>
      </c>
      <c r="H665">
        <v>3</v>
      </c>
      <c r="L665" t="s">
        <v>13</v>
      </c>
      <c r="M665" t="s">
        <v>13</v>
      </c>
      <c r="N665" t="s">
        <v>13</v>
      </c>
      <c r="O665" s="5" t="s">
        <v>18</v>
      </c>
    </row>
    <row r="666" spans="2:15" x14ac:dyDescent="0.3">
      <c r="B666" s="4">
        <v>784</v>
      </c>
      <c r="C666" t="s">
        <v>49</v>
      </c>
      <c r="D666" t="s">
        <v>50</v>
      </c>
      <c r="E666" t="s">
        <v>51</v>
      </c>
      <c r="F666">
        <v>3</v>
      </c>
      <c r="G666" t="s">
        <v>22</v>
      </c>
      <c r="H666">
        <v>1</v>
      </c>
      <c r="N666" t="s">
        <v>18</v>
      </c>
      <c r="O666" s="5" t="s">
        <v>19</v>
      </c>
    </row>
    <row r="667" spans="2:15" x14ac:dyDescent="0.3">
      <c r="B667" s="4">
        <v>3911</v>
      </c>
      <c r="C667" t="s">
        <v>14</v>
      </c>
      <c r="D667" t="s">
        <v>15</v>
      </c>
      <c r="E667" t="s">
        <v>11</v>
      </c>
      <c r="F667">
        <v>8</v>
      </c>
      <c r="G667" t="s">
        <v>22</v>
      </c>
      <c r="H667">
        <v>1</v>
      </c>
      <c r="N667" t="s">
        <v>17</v>
      </c>
      <c r="O667" s="5" t="s">
        <v>18</v>
      </c>
    </row>
    <row r="668" spans="2:15" x14ac:dyDescent="0.3">
      <c r="B668" s="4">
        <v>809</v>
      </c>
      <c r="C668" t="s">
        <v>41</v>
      </c>
      <c r="D668" t="s">
        <v>42</v>
      </c>
      <c r="E668" t="s">
        <v>11</v>
      </c>
      <c r="F668">
        <v>8</v>
      </c>
      <c r="G668" t="s">
        <v>30</v>
      </c>
      <c r="H668">
        <v>18</v>
      </c>
      <c r="L668" t="s">
        <v>13</v>
      </c>
      <c r="M668" t="s">
        <v>13</v>
      </c>
      <c r="O668" s="5"/>
    </row>
    <row r="669" spans="2:15" x14ac:dyDescent="0.3">
      <c r="B669" s="4">
        <v>707</v>
      </c>
      <c r="C669" t="s">
        <v>46</v>
      </c>
      <c r="D669" t="s">
        <v>47</v>
      </c>
      <c r="E669" t="s">
        <v>11</v>
      </c>
      <c r="F669">
        <v>8</v>
      </c>
      <c r="G669" t="s">
        <v>55</v>
      </c>
      <c r="H669">
        <v>2</v>
      </c>
      <c r="M669" t="s">
        <v>18</v>
      </c>
      <c r="N669" t="s">
        <v>18</v>
      </c>
      <c r="O669" s="5" t="s">
        <v>17</v>
      </c>
    </row>
    <row r="670" spans="2:15" x14ac:dyDescent="0.3">
      <c r="B670" s="4">
        <v>235</v>
      </c>
      <c r="C670" t="s">
        <v>46</v>
      </c>
      <c r="D670" t="s">
        <v>47</v>
      </c>
      <c r="E670" t="s">
        <v>11</v>
      </c>
      <c r="F670">
        <v>8</v>
      </c>
      <c r="G670" t="s">
        <v>54</v>
      </c>
      <c r="H670">
        <v>8</v>
      </c>
      <c r="L670" t="s">
        <v>19</v>
      </c>
      <c r="M670" t="s">
        <v>17</v>
      </c>
      <c r="N670" t="s">
        <v>17</v>
      </c>
      <c r="O670" s="5" t="s">
        <v>19</v>
      </c>
    </row>
    <row r="671" spans="2:15" x14ac:dyDescent="0.3">
      <c r="B671" s="4">
        <v>658</v>
      </c>
      <c r="C671" t="s">
        <v>46</v>
      </c>
      <c r="D671" t="s">
        <v>47</v>
      </c>
      <c r="E671" t="s">
        <v>11</v>
      </c>
      <c r="F671">
        <v>8</v>
      </c>
      <c r="G671" t="s">
        <v>16</v>
      </c>
      <c r="H671">
        <v>6</v>
      </c>
      <c r="M671" t="s">
        <v>13</v>
      </c>
      <c r="N671" t="s">
        <v>18</v>
      </c>
      <c r="O671" s="5" t="s">
        <v>17</v>
      </c>
    </row>
    <row r="672" spans="2:15" x14ac:dyDescent="0.3">
      <c r="B672" s="4">
        <v>3128</v>
      </c>
      <c r="C672" t="s">
        <v>23</v>
      </c>
      <c r="D672" t="s">
        <v>24</v>
      </c>
      <c r="E672" t="s">
        <v>25</v>
      </c>
      <c r="F672">
        <v>1</v>
      </c>
      <c r="G672" t="s">
        <v>22</v>
      </c>
      <c r="H672">
        <v>1</v>
      </c>
      <c r="M672" t="s">
        <v>19</v>
      </c>
      <c r="N672" t="s">
        <v>52</v>
      </c>
      <c r="O672" s="5" t="s">
        <v>17</v>
      </c>
    </row>
    <row r="673" spans="2:15" x14ac:dyDescent="0.3">
      <c r="B673" s="4">
        <v>531</v>
      </c>
      <c r="C673" t="s">
        <v>49</v>
      </c>
      <c r="D673" t="s">
        <v>50</v>
      </c>
      <c r="E673" t="s">
        <v>51</v>
      </c>
      <c r="F673">
        <v>3</v>
      </c>
      <c r="G673" t="s">
        <v>30</v>
      </c>
      <c r="H673">
        <v>18</v>
      </c>
      <c r="J673" t="s">
        <v>18</v>
      </c>
      <c r="K673" t="s">
        <v>13</v>
      </c>
      <c r="M673" t="s">
        <v>13</v>
      </c>
      <c r="N673" t="s">
        <v>13</v>
      </c>
      <c r="O673" s="5"/>
    </row>
    <row r="674" spans="2:15" x14ac:dyDescent="0.3">
      <c r="B674" s="4">
        <v>3929</v>
      </c>
      <c r="C674" t="s">
        <v>14</v>
      </c>
      <c r="D674" t="s">
        <v>15</v>
      </c>
      <c r="E674" t="s">
        <v>11</v>
      </c>
      <c r="F674">
        <v>8</v>
      </c>
      <c r="G674" t="s">
        <v>74</v>
      </c>
      <c r="H674">
        <v>15</v>
      </c>
      <c r="L674" t="s">
        <v>13</v>
      </c>
      <c r="M674" t="s">
        <v>13</v>
      </c>
      <c r="N674" t="s">
        <v>17</v>
      </c>
      <c r="O674" s="5" t="s">
        <v>19</v>
      </c>
    </row>
    <row r="675" spans="2:15" x14ac:dyDescent="0.3">
      <c r="B675" s="4">
        <v>3836</v>
      </c>
      <c r="C675" t="s">
        <v>20</v>
      </c>
      <c r="D675" t="s">
        <v>21</v>
      </c>
      <c r="E675" t="s">
        <v>11</v>
      </c>
      <c r="F675">
        <v>8</v>
      </c>
      <c r="G675" t="s">
        <v>54</v>
      </c>
      <c r="H675">
        <v>8</v>
      </c>
      <c r="N675" t="s">
        <v>18</v>
      </c>
      <c r="O675" s="5" t="s">
        <v>13</v>
      </c>
    </row>
    <row r="676" spans="2:15" x14ac:dyDescent="0.3">
      <c r="B676" s="4">
        <v>191</v>
      </c>
      <c r="C676" t="s">
        <v>94</v>
      </c>
      <c r="D676" t="s">
        <v>95</v>
      </c>
      <c r="E676" t="s">
        <v>96</v>
      </c>
      <c r="F676">
        <v>13</v>
      </c>
      <c r="G676" t="s">
        <v>54</v>
      </c>
      <c r="H676">
        <v>8</v>
      </c>
      <c r="J676" t="s">
        <v>13</v>
      </c>
      <c r="K676" t="s">
        <v>13</v>
      </c>
      <c r="L676" t="s">
        <v>18</v>
      </c>
      <c r="M676" t="s">
        <v>13</v>
      </c>
      <c r="N676" t="s">
        <v>18</v>
      </c>
      <c r="O676" s="5" t="s">
        <v>18</v>
      </c>
    </row>
    <row r="677" spans="2:15" x14ac:dyDescent="0.3">
      <c r="B677" s="4">
        <v>2</v>
      </c>
      <c r="C677" t="s">
        <v>43</v>
      </c>
      <c r="D677" t="s">
        <v>44</v>
      </c>
      <c r="E677" t="s">
        <v>45</v>
      </c>
      <c r="F677">
        <v>5</v>
      </c>
      <c r="G677" t="s">
        <v>30</v>
      </c>
      <c r="H677">
        <v>18</v>
      </c>
      <c r="I677" t="s">
        <v>17</v>
      </c>
      <c r="J677" t="s">
        <v>17</v>
      </c>
      <c r="K677" t="s">
        <v>17</v>
      </c>
      <c r="L677" t="s">
        <v>13</v>
      </c>
      <c r="M677" t="s">
        <v>13</v>
      </c>
      <c r="O677" s="5"/>
    </row>
    <row r="678" spans="2:15" x14ac:dyDescent="0.3">
      <c r="B678" s="4">
        <v>859</v>
      </c>
      <c r="C678" t="s">
        <v>14</v>
      </c>
      <c r="D678" t="s">
        <v>15</v>
      </c>
      <c r="E678" t="s">
        <v>11</v>
      </c>
      <c r="F678">
        <v>8</v>
      </c>
      <c r="G678" t="s">
        <v>12</v>
      </c>
      <c r="H678">
        <v>7</v>
      </c>
      <c r="N678" t="s">
        <v>13</v>
      </c>
      <c r="O678" s="5" t="s">
        <v>17</v>
      </c>
    </row>
    <row r="679" spans="2:15" x14ac:dyDescent="0.3">
      <c r="B679" s="4">
        <v>596</v>
      </c>
      <c r="C679" t="s">
        <v>46</v>
      </c>
      <c r="D679" t="s">
        <v>47</v>
      </c>
      <c r="E679" t="s">
        <v>11</v>
      </c>
      <c r="F679">
        <v>8</v>
      </c>
      <c r="G679" t="s">
        <v>38</v>
      </c>
      <c r="H679">
        <v>13</v>
      </c>
      <c r="M679" t="s">
        <v>13</v>
      </c>
      <c r="N679" t="s">
        <v>18</v>
      </c>
      <c r="O679" s="5" t="s">
        <v>19</v>
      </c>
    </row>
    <row r="680" spans="2:15" x14ac:dyDescent="0.3">
      <c r="B680" s="4">
        <v>1157</v>
      </c>
      <c r="C680" t="s">
        <v>46</v>
      </c>
      <c r="D680" t="s">
        <v>47</v>
      </c>
      <c r="E680" t="s">
        <v>11</v>
      </c>
      <c r="F680">
        <v>8</v>
      </c>
      <c r="G680" t="s">
        <v>39</v>
      </c>
      <c r="H680">
        <v>12</v>
      </c>
      <c r="J680" t="s">
        <v>13</v>
      </c>
      <c r="K680" t="s">
        <v>13</v>
      </c>
      <c r="L680" t="s">
        <v>13</v>
      </c>
      <c r="M680" t="s">
        <v>13</v>
      </c>
      <c r="N680" t="s">
        <v>13</v>
      </c>
      <c r="O680" s="5"/>
    </row>
    <row r="681" spans="2:15" x14ac:dyDescent="0.3">
      <c r="B681" s="4">
        <v>1134</v>
      </c>
      <c r="C681" t="s">
        <v>43</v>
      </c>
      <c r="D681" t="s">
        <v>44</v>
      </c>
      <c r="E681" t="s">
        <v>45</v>
      </c>
      <c r="F681">
        <v>5</v>
      </c>
      <c r="G681" t="s">
        <v>40</v>
      </c>
      <c r="H681">
        <v>3</v>
      </c>
      <c r="M681" t="s">
        <v>18</v>
      </c>
      <c r="N681" t="s">
        <v>17</v>
      </c>
      <c r="O681" s="5" t="s">
        <v>17</v>
      </c>
    </row>
    <row r="682" spans="2:15" x14ac:dyDescent="0.3">
      <c r="B682" s="4">
        <v>654</v>
      </c>
      <c r="C682" t="s">
        <v>84</v>
      </c>
      <c r="D682" t="s">
        <v>85</v>
      </c>
      <c r="E682" t="s">
        <v>86</v>
      </c>
      <c r="F682">
        <v>12</v>
      </c>
      <c r="G682" t="s">
        <v>16</v>
      </c>
      <c r="H682">
        <v>6</v>
      </c>
      <c r="M682" t="s">
        <v>13</v>
      </c>
      <c r="N682" t="s">
        <v>18</v>
      </c>
      <c r="O682" s="5" t="s">
        <v>18</v>
      </c>
    </row>
    <row r="683" spans="2:15" x14ac:dyDescent="0.3">
      <c r="B683" s="4">
        <v>692</v>
      </c>
      <c r="C683" t="s">
        <v>67</v>
      </c>
      <c r="D683" t="s">
        <v>68</v>
      </c>
      <c r="E683" t="s">
        <v>69</v>
      </c>
      <c r="F683">
        <v>11</v>
      </c>
      <c r="G683" t="s">
        <v>16</v>
      </c>
      <c r="H683">
        <v>6</v>
      </c>
      <c r="L683" t="s">
        <v>13</v>
      </c>
      <c r="M683" t="s">
        <v>13</v>
      </c>
      <c r="N683" t="s">
        <v>18</v>
      </c>
      <c r="O683" s="5" t="s">
        <v>18</v>
      </c>
    </row>
    <row r="684" spans="2:15" x14ac:dyDescent="0.3">
      <c r="B684" s="4">
        <v>10</v>
      </c>
      <c r="C684" t="s">
        <v>46</v>
      </c>
      <c r="D684" t="s">
        <v>47</v>
      </c>
      <c r="E684" t="s">
        <v>11</v>
      </c>
      <c r="F684">
        <v>8</v>
      </c>
      <c r="G684" t="s">
        <v>40</v>
      </c>
      <c r="H684">
        <v>3</v>
      </c>
      <c r="L684" t="s">
        <v>17</v>
      </c>
      <c r="M684" t="s">
        <v>17</v>
      </c>
      <c r="N684" t="s">
        <v>18</v>
      </c>
      <c r="O684" s="5" t="s">
        <v>18</v>
      </c>
    </row>
    <row r="685" spans="2:15" x14ac:dyDescent="0.3">
      <c r="B685" s="4">
        <v>67</v>
      </c>
      <c r="C685" t="s">
        <v>46</v>
      </c>
      <c r="D685" t="s">
        <v>47</v>
      </c>
      <c r="E685" t="s">
        <v>11</v>
      </c>
      <c r="F685">
        <v>8</v>
      </c>
      <c r="G685" t="s">
        <v>16</v>
      </c>
      <c r="H685">
        <v>6</v>
      </c>
      <c r="I685" t="s">
        <v>17</v>
      </c>
      <c r="J685" t="s">
        <v>17</v>
      </c>
      <c r="K685" t="s">
        <v>17</v>
      </c>
      <c r="L685" t="s">
        <v>19</v>
      </c>
      <c r="M685" t="s">
        <v>19</v>
      </c>
      <c r="N685" t="s">
        <v>19</v>
      </c>
      <c r="O685" s="5" t="s">
        <v>13</v>
      </c>
    </row>
    <row r="686" spans="2:15" x14ac:dyDescent="0.3">
      <c r="B686" s="4">
        <v>1176</v>
      </c>
      <c r="C686" t="s">
        <v>43</v>
      </c>
      <c r="D686" t="s">
        <v>44</v>
      </c>
      <c r="E686" t="s">
        <v>45</v>
      </c>
      <c r="F686">
        <v>5</v>
      </c>
      <c r="G686" t="s">
        <v>40</v>
      </c>
      <c r="H686">
        <v>3</v>
      </c>
      <c r="M686" t="s">
        <v>18</v>
      </c>
      <c r="N686" t="s">
        <v>18</v>
      </c>
      <c r="O686" s="5" t="s">
        <v>18</v>
      </c>
    </row>
    <row r="687" spans="2:15" x14ac:dyDescent="0.3">
      <c r="B687" s="4">
        <v>160</v>
      </c>
      <c r="C687" t="s">
        <v>49</v>
      </c>
      <c r="D687" t="s">
        <v>50</v>
      </c>
      <c r="E687" t="s">
        <v>51</v>
      </c>
      <c r="F687">
        <v>3</v>
      </c>
      <c r="G687" t="s">
        <v>16</v>
      </c>
      <c r="H687">
        <v>6</v>
      </c>
      <c r="I687" t="s">
        <v>52</v>
      </c>
      <c r="J687" t="s">
        <v>33</v>
      </c>
      <c r="K687" t="s">
        <v>18</v>
      </c>
      <c r="L687" t="s">
        <v>52</v>
      </c>
      <c r="M687" t="s">
        <v>52</v>
      </c>
      <c r="N687" t="s">
        <v>52</v>
      </c>
      <c r="O687" s="5" t="s">
        <v>17</v>
      </c>
    </row>
    <row r="688" spans="2:15" x14ac:dyDescent="0.3">
      <c r="B688" s="4">
        <v>1143</v>
      </c>
      <c r="C688" t="s">
        <v>46</v>
      </c>
      <c r="D688" t="s">
        <v>47</v>
      </c>
      <c r="E688" t="s">
        <v>11</v>
      </c>
      <c r="F688">
        <v>8</v>
      </c>
      <c r="G688" t="s">
        <v>16</v>
      </c>
      <c r="H688">
        <v>6</v>
      </c>
      <c r="L688" t="s">
        <v>13</v>
      </c>
      <c r="M688" t="s">
        <v>13</v>
      </c>
      <c r="N688" t="s">
        <v>18</v>
      </c>
      <c r="O688" s="5" t="s">
        <v>13</v>
      </c>
    </row>
    <row r="689" spans="2:15" x14ac:dyDescent="0.3">
      <c r="B689" s="4">
        <v>1</v>
      </c>
      <c r="C689" t="s">
        <v>43</v>
      </c>
      <c r="D689" t="s">
        <v>44</v>
      </c>
      <c r="E689" t="s">
        <v>45</v>
      </c>
      <c r="F689">
        <v>5</v>
      </c>
      <c r="G689" t="s">
        <v>16</v>
      </c>
      <c r="H689">
        <v>6</v>
      </c>
      <c r="I689" t="s">
        <v>33</v>
      </c>
      <c r="J689" t="s">
        <v>33</v>
      </c>
      <c r="K689" t="s">
        <v>52</v>
      </c>
      <c r="L689" t="s">
        <v>52</v>
      </c>
      <c r="M689" t="s">
        <v>17</v>
      </c>
      <c r="N689" t="s">
        <v>17</v>
      </c>
      <c r="O689" s="5" t="s">
        <v>19</v>
      </c>
    </row>
    <row r="690" spans="2:15" x14ac:dyDescent="0.3">
      <c r="B690" s="4">
        <v>2</v>
      </c>
      <c r="C690" t="s">
        <v>9</v>
      </c>
      <c r="D690" t="s">
        <v>10</v>
      </c>
      <c r="E690" t="s">
        <v>11</v>
      </c>
      <c r="F690">
        <v>8</v>
      </c>
      <c r="G690" t="s">
        <v>48</v>
      </c>
      <c r="H690">
        <v>16</v>
      </c>
      <c r="K690" t="s">
        <v>17</v>
      </c>
      <c r="L690" t="s">
        <v>19</v>
      </c>
      <c r="M690" t="s">
        <v>52</v>
      </c>
      <c r="N690" t="s">
        <v>33</v>
      </c>
      <c r="O690" s="5" t="s">
        <v>35</v>
      </c>
    </row>
    <row r="691" spans="2:15" x14ac:dyDescent="0.3">
      <c r="B691" s="4">
        <v>151</v>
      </c>
      <c r="C691" t="s">
        <v>46</v>
      </c>
      <c r="D691" t="s">
        <v>47</v>
      </c>
      <c r="E691" t="s">
        <v>11</v>
      </c>
      <c r="F691">
        <v>8</v>
      </c>
      <c r="G691" t="s">
        <v>48</v>
      </c>
      <c r="H691">
        <v>16</v>
      </c>
      <c r="I691" t="s">
        <v>17</v>
      </c>
      <c r="J691" t="s">
        <v>18</v>
      </c>
      <c r="K691" t="s">
        <v>18</v>
      </c>
      <c r="L691" t="s">
        <v>13</v>
      </c>
      <c r="M691" t="s">
        <v>18</v>
      </c>
      <c r="N691" t="s">
        <v>18</v>
      </c>
      <c r="O691" s="5" t="s">
        <v>13</v>
      </c>
    </row>
    <row r="692" spans="2:15" x14ac:dyDescent="0.3">
      <c r="B692" s="4">
        <v>45</v>
      </c>
      <c r="C692" t="s">
        <v>49</v>
      </c>
      <c r="D692" t="s">
        <v>50</v>
      </c>
      <c r="E692" t="s">
        <v>51</v>
      </c>
      <c r="F692">
        <v>3</v>
      </c>
      <c r="G692" t="s">
        <v>48</v>
      </c>
      <c r="H692">
        <v>16</v>
      </c>
      <c r="N692" t="s">
        <v>18</v>
      </c>
      <c r="O692" s="5" t="s">
        <v>13</v>
      </c>
    </row>
    <row r="693" spans="2:15" x14ac:dyDescent="0.3">
      <c r="B693" s="4">
        <v>166</v>
      </c>
      <c r="C693" t="s">
        <v>63</v>
      </c>
      <c r="D693" t="s">
        <v>64</v>
      </c>
      <c r="E693" t="s">
        <v>65</v>
      </c>
      <c r="F693">
        <v>14</v>
      </c>
      <c r="G693" t="s">
        <v>22</v>
      </c>
      <c r="H693">
        <v>1</v>
      </c>
      <c r="M693" t="s">
        <v>18</v>
      </c>
      <c r="N693" t="s">
        <v>52</v>
      </c>
      <c r="O693" s="5" t="s">
        <v>35</v>
      </c>
    </row>
    <row r="694" spans="2:15" x14ac:dyDescent="0.3">
      <c r="B694" s="4">
        <v>186</v>
      </c>
      <c r="C694" t="s">
        <v>46</v>
      </c>
      <c r="D694" t="s">
        <v>47</v>
      </c>
      <c r="E694" t="s">
        <v>11</v>
      </c>
      <c r="F694">
        <v>8</v>
      </c>
      <c r="G694" t="s">
        <v>16</v>
      </c>
      <c r="H694">
        <v>6</v>
      </c>
      <c r="I694" t="s">
        <v>18</v>
      </c>
      <c r="J694" t="s">
        <v>18</v>
      </c>
      <c r="K694" t="s">
        <v>17</v>
      </c>
      <c r="L694" t="s">
        <v>18</v>
      </c>
      <c r="M694" t="s">
        <v>17</v>
      </c>
      <c r="N694" t="s">
        <v>19</v>
      </c>
      <c r="O694" s="5" t="s">
        <v>19</v>
      </c>
    </row>
    <row r="695" spans="2:15" x14ac:dyDescent="0.3">
      <c r="B695" s="4">
        <v>25</v>
      </c>
      <c r="C695" t="s">
        <v>27</v>
      </c>
      <c r="D695" t="s">
        <v>28</v>
      </c>
      <c r="E695" t="s">
        <v>29</v>
      </c>
      <c r="F695">
        <v>6</v>
      </c>
      <c r="G695" t="s">
        <v>12</v>
      </c>
      <c r="H695">
        <v>7</v>
      </c>
      <c r="I695" t="s">
        <v>13</v>
      </c>
      <c r="J695" t="s">
        <v>13</v>
      </c>
      <c r="K695" t="s">
        <v>13</v>
      </c>
      <c r="L695" t="s">
        <v>13</v>
      </c>
      <c r="M695" t="s">
        <v>17</v>
      </c>
      <c r="N695" t="s">
        <v>13</v>
      </c>
      <c r="O695" s="5" t="s">
        <v>17</v>
      </c>
    </row>
    <row r="696" spans="2:15" x14ac:dyDescent="0.3">
      <c r="B696" s="4">
        <v>218</v>
      </c>
      <c r="C696" t="s">
        <v>23</v>
      </c>
      <c r="D696" t="s">
        <v>24</v>
      </c>
      <c r="E696" t="s">
        <v>25</v>
      </c>
      <c r="F696">
        <v>1</v>
      </c>
      <c r="G696" t="s">
        <v>22</v>
      </c>
      <c r="H696">
        <v>1</v>
      </c>
      <c r="M696" t="s">
        <v>13</v>
      </c>
      <c r="N696" t="s">
        <v>13</v>
      </c>
      <c r="O696" s="5" t="s">
        <v>13</v>
      </c>
    </row>
    <row r="697" spans="2:15" x14ac:dyDescent="0.3">
      <c r="B697" s="4">
        <v>58</v>
      </c>
      <c r="C697" t="s">
        <v>46</v>
      </c>
      <c r="D697" t="s">
        <v>47</v>
      </c>
      <c r="E697" t="s">
        <v>11</v>
      </c>
      <c r="F697">
        <v>8</v>
      </c>
      <c r="G697" t="s">
        <v>58</v>
      </c>
      <c r="H697">
        <v>17</v>
      </c>
      <c r="K697" t="s">
        <v>13</v>
      </c>
      <c r="L697" t="s">
        <v>17</v>
      </c>
      <c r="M697" t="s">
        <v>17</v>
      </c>
      <c r="O697" s="5"/>
    </row>
    <row r="698" spans="2:15" x14ac:dyDescent="0.3">
      <c r="B698" s="4">
        <v>1257</v>
      </c>
      <c r="C698" t="s">
        <v>46</v>
      </c>
      <c r="D698" t="s">
        <v>47</v>
      </c>
      <c r="E698" t="s">
        <v>11</v>
      </c>
      <c r="F698">
        <v>8</v>
      </c>
      <c r="G698" t="s">
        <v>54</v>
      </c>
      <c r="H698">
        <v>8</v>
      </c>
      <c r="M698" t="s">
        <v>13</v>
      </c>
      <c r="N698" t="s">
        <v>18</v>
      </c>
      <c r="O698" s="5"/>
    </row>
    <row r="699" spans="2:15" x14ac:dyDescent="0.3">
      <c r="B699" s="4">
        <v>1591</v>
      </c>
      <c r="C699" t="s">
        <v>14</v>
      </c>
      <c r="D699" t="s">
        <v>15</v>
      </c>
      <c r="E699" t="s">
        <v>11</v>
      </c>
      <c r="F699">
        <v>8</v>
      </c>
      <c r="G699" t="s">
        <v>40</v>
      </c>
      <c r="H699">
        <v>3</v>
      </c>
      <c r="K699" t="s">
        <v>18</v>
      </c>
      <c r="L699" t="s">
        <v>18</v>
      </c>
      <c r="M699" t="s">
        <v>13</v>
      </c>
      <c r="N699" t="s">
        <v>18</v>
      </c>
      <c r="O699" s="5" t="s">
        <v>13</v>
      </c>
    </row>
    <row r="700" spans="2:15" x14ac:dyDescent="0.3">
      <c r="B700" s="4">
        <v>626</v>
      </c>
      <c r="C700" t="s">
        <v>72</v>
      </c>
      <c r="D700" t="s">
        <v>73</v>
      </c>
      <c r="E700" t="s">
        <v>11</v>
      </c>
      <c r="F700">
        <v>8</v>
      </c>
      <c r="G700" t="s">
        <v>22</v>
      </c>
      <c r="H700">
        <v>1</v>
      </c>
      <c r="I700" t="s">
        <v>13</v>
      </c>
      <c r="J700" t="s">
        <v>13</v>
      </c>
      <c r="K700" t="s">
        <v>13</v>
      </c>
      <c r="L700" t="s">
        <v>13</v>
      </c>
      <c r="M700" t="s">
        <v>17</v>
      </c>
      <c r="N700" t="s">
        <v>13</v>
      </c>
      <c r="O700" s="5" t="s">
        <v>13</v>
      </c>
    </row>
    <row r="701" spans="2:15" x14ac:dyDescent="0.3">
      <c r="B701" s="4">
        <v>1456</v>
      </c>
      <c r="C701" t="s">
        <v>72</v>
      </c>
      <c r="D701" t="s">
        <v>73</v>
      </c>
      <c r="E701" t="s">
        <v>11</v>
      </c>
      <c r="F701">
        <v>8</v>
      </c>
      <c r="G701" t="s">
        <v>22</v>
      </c>
      <c r="H701">
        <v>1</v>
      </c>
      <c r="I701" t="s">
        <v>13</v>
      </c>
      <c r="J701" t="s">
        <v>13</v>
      </c>
      <c r="K701" t="s">
        <v>13</v>
      </c>
      <c r="L701" t="s">
        <v>13</v>
      </c>
      <c r="O701" s="5"/>
    </row>
    <row r="702" spans="2:15" x14ac:dyDescent="0.3">
      <c r="B702" s="4">
        <v>106</v>
      </c>
      <c r="C702" t="s">
        <v>49</v>
      </c>
      <c r="D702" t="s">
        <v>50</v>
      </c>
      <c r="E702" t="s">
        <v>51</v>
      </c>
      <c r="F702">
        <v>3</v>
      </c>
      <c r="G702" t="s">
        <v>30</v>
      </c>
      <c r="H702">
        <v>18</v>
      </c>
      <c r="I702" t="s">
        <v>52</v>
      </c>
      <c r="J702" t="s">
        <v>34</v>
      </c>
      <c r="K702" t="s">
        <v>34</v>
      </c>
      <c r="O702" s="5"/>
    </row>
    <row r="703" spans="2:15" x14ac:dyDescent="0.3">
      <c r="B703" s="4">
        <v>1333</v>
      </c>
      <c r="C703" t="s">
        <v>9</v>
      </c>
      <c r="D703" t="s">
        <v>10</v>
      </c>
      <c r="E703" t="s">
        <v>11</v>
      </c>
      <c r="F703">
        <v>8</v>
      </c>
      <c r="G703" t="s">
        <v>55</v>
      </c>
      <c r="H703">
        <v>2</v>
      </c>
      <c r="N703" t="s">
        <v>18</v>
      </c>
      <c r="O703" s="5" t="s">
        <v>13</v>
      </c>
    </row>
    <row r="704" spans="2:15" x14ac:dyDescent="0.3">
      <c r="B704" s="4">
        <v>414</v>
      </c>
      <c r="C704" t="s">
        <v>14</v>
      </c>
      <c r="D704" t="s">
        <v>15</v>
      </c>
      <c r="E704" t="s">
        <v>11</v>
      </c>
      <c r="F704">
        <v>8</v>
      </c>
      <c r="G704" t="s">
        <v>54</v>
      </c>
      <c r="H704">
        <v>8</v>
      </c>
      <c r="I704" t="s">
        <v>17</v>
      </c>
      <c r="J704" t="s">
        <v>18</v>
      </c>
      <c r="K704" t="s">
        <v>18</v>
      </c>
      <c r="M704" t="s">
        <v>17</v>
      </c>
      <c r="N704" t="s">
        <v>17</v>
      </c>
      <c r="O704" s="5"/>
    </row>
    <row r="705" spans="2:15" x14ac:dyDescent="0.3">
      <c r="B705" s="4">
        <v>20</v>
      </c>
      <c r="C705" t="s">
        <v>46</v>
      </c>
      <c r="D705" t="s">
        <v>47</v>
      </c>
      <c r="E705" t="s">
        <v>11</v>
      </c>
      <c r="F705">
        <v>8</v>
      </c>
      <c r="G705" t="s">
        <v>16</v>
      </c>
      <c r="H705">
        <v>6</v>
      </c>
      <c r="J705" t="s">
        <v>13</v>
      </c>
      <c r="K705" t="s">
        <v>13</v>
      </c>
      <c r="O705" s="5"/>
    </row>
    <row r="706" spans="2:15" x14ac:dyDescent="0.3">
      <c r="B706" s="4">
        <v>5</v>
      </c>
      <c r="C706" t="s">
        <v>14</v>
      </c>
      <c r="D706" t="s">
        <v>15</v>
      </c>
      <c r="E706" t="s">
        <v>11</v>
      </c>
      <c r="F706">
        <v>8</v>
      </c>
      <c r="G706" t="s">
        <v>22</v>
      </c>
      <c r="H706">
        <v>1</v>
      </c>
      <c r="I706" t="s">
        <v>13</v>
      </c>
      <c r="J706" t="s">
        <v>13</v>
      </c>
      <c r="K706" t="s">
        <v>13</v>
      </c>
      <c r="L706" t="s">
        <v>13</v>
      </c>
      <c r="M706" t="s">
        <v>13</v>
      </c>
      <c r="N706" t="s">
        <v>13</v>
      </c>
      <c r="O706" s="5" t="s">
        <v>17</v>
      </c>
    </row>
    <row r="707" spans="2:15" x14ac:dyDescent="0.3">
      <c r="B707" s="4">
        <v>1504</v>
      </c>
      <c r="C707" t="s">
        <v>14</v>
      </c>
      <c r="D707" t="s">
        <v>15</v>
      </c>
      <c r="E707" t="s">
        <v>11</v>
      </c>
      <c r="F707">
        <v>8</v>
      </c>
      <c r="G707" t="s">
        <v>30</v>
      </c>
      <c r="H707">
        <v>18</v>
      </c>
      <c r="N707" t="s">
        <v>17</v>
      </c>
      <c r="O707" s="5" t="s">
        <v>13</v>
      </c>
    </row>
    <row r="708" spans="2:15" x14ac:dyDescent="0.3">
      <c r="B708" s="4">
        <v>490</v>
      </c>
      <c r="C708" t="s">
        <v>23</v>
      </c>
      <c r="D708" t="s">
        <v>24</v>
      </c>
      <c r="E708" t="s">
        <v>25</v>
      </c>
      <c r="F708">
        <v>1</v>
      </c>
      <c r="G708" t="s">
        <v>74</v>
      </c>
      <c r="H708">
        <v>15</v>
      </c>
      <c r="N708" t="s">
        <v>17</v>
      </c>
      <c r="O708" s="5" t="s">
        <v>17</v>
      </c>
    </row>
    <row r="709" spans="2:15" x14ac:dyDescent="0.3">
      <c r="B709" s="4">
        <v>1</v>
      </c>
      <c r="C709" t="s">
        <v>23</v>
      </c>
      <c r="D709" t="s">
        <v>24</v>
      </c>
      <c r="E709" t="s">
        <v>25</v>
      </c>
      <c r="F709">
        <v>1</v>
      </c>
      <c r="G709" t="s">
        <v>54</v>
      </c>
      <c r="H709">
        <v>8</v>
      </c>
      <c r="N709" t="s">
        <v>13</v>
      </c>
      <c r="O709" s="5" t="s">
        <v>13</v>
      </c>
    </row>
    <row r="710" spans="2:15" x14ac:dyDescent="0.3">
      <c r="B710" s="4">
        <v>951</v>
      </c>
      <c r="C710" t="s">
        <v>92</v>
      </c>
      <c r="D710" t="s">
        <v>93</v>
      </c>
      <c r="E710" t="s">
        <v>11</v>
      </c>
      <c r="F710">
        <v>8</v>
      </c>
      <c r="G710" t="s">
        <v>54</v>
      </c>
      <c r="H710">
        <v>8</v>
      </c>
      <c r="I710" t="s">
        <v>13</v>
      </c>
      <c r="J710" t="s">
        <v>13</v>
      </c>
      <c r="K710" t="s">
        <v>13</v>
      </c>
      <c r="O710" s="5"/>
    </row>
    <row r="711" spans="2:15" x14ac:dyDescent="0.3">
      <c r="B711" s="4">
        <v>449</v>
      </c>
      <c r="C711" t="s">
        <v>27</v>
      </c>
      <c r="D711" t="s">
        <v>28</v>
      </c>
      <c r="E711" t="s">
        <v>29</v>
      </c>
      <c r="F711">
        <v>6</v>
      </c>
      <c r="G711" t="s">
        <v>87</v>
      </c>
      <c r="H711">
        <v>9</v>
      </c>
      <c r="N711" t="s">
        <v>13</v>
      </c>
      <c r="O711" s="5" t="s">
        <v>13</v>
      </c>
    </row>
    <row r="712" spans="2:15" x14ac:dyDescent="0.3">
      <c r="B712" s="4">
        <v>1109</v>
      </c>
      <c r="C712" t="s">
        <v>43</v>
      </c>
      <c r="D712" t="s">
        <v>44</v>
      </c>
      <c r="E712" t="s">
        <v>45</v>
      </c>
      <c r="F712">
        <v>5</v>
      </c>
      <c r="G712" t="s">
        <v>87</v>
      </c>
      <c r="H712">
        <v>9</v>
      </c>
      <c r="N712" t="s">
        <v>19</v>
      </c>
      <c r="O712" s="5" t="s">
        <v>18</v>
      </c>
    </row>
    <row r="713" spans="2:15" x14ac:dyDescent="0.3">
      <c r="B713" s="4">
        <v>8</v>
      </c>
      <c r="C713" t="s">
        <v>82</v>
      </c>
      <c r="D713" t="s">
        <v>83</v>
      </c>
      <c r="E713" t="s">
        <v>11</v>
      </c>
      <c r="F713">
        <v>8</v>
      </c>
      <c r="G713" t="s">
        <v>39</v>
      </c>
      <c r="H713">
        <v>12</v>
      </c>
      <c r="I713" t="s">
        <v>13</v>
      </c>
      <c r="J713" t="s">
        <v>17</v>
      </c>
      <c r="K713" t="s">
        <v>18</v>
      </c>
      <c r="L713" t="s">
        <v>18</v>
      </c>
      <c r="M713" t="s">
        <v>17</v>
      </c>
      <c r="N713" t="s">
        <v>18</v>
      </c>
      <c r="O713" s="5"/>
    </row>
    <row r="714" spans="2:15" x14ac:dyDescent="0.3">
      <c r="B714" s="4">
        <v>774</v>
      </c>
      <c r="C714" t="s">
        <v>67</v>
      </c>
      <c r="D714" t="s">
        <v>68</v>
      </c>
      <c r="E714" t="s">
        <v>69</v>
      </c>
      <c r="F714">
        <v>11</v>
      </c>
      <c r="G714" t="s">
        <v>66</v>
      </c>
      <c r="H714">
        <v>5</v>
      </c>
      <c r="M714" t="s">
        <v>17</v>
      </c>
      <c r="N714" t="s">
        <v>17</v>
      </c>
      <c r="O714" s="5" t="s">
        <v>52</v>
      </c>
    </row>
    <row r="715" spans="2:15" x14ac:dyDescent="0.3">
      <c r="B715" s="4">
        <v>2</v>
      </c>
      <c r="C715" t="s">
        <v>63</v>
      </c>
      <c r="D715" t="s">
        <v>64</v>
      </c>
      <c r="E715" t="s">
        <v>65</v>
      </c>
      <c r="F715">
        <v>14</v>
      </c>
      <c r="G715" t="s">
        <v>30</v>
      </c>
      <c r="H715">
        <v>18</v>
      </c>
      <c r="L715" t="s">
        <v>18</v>
      </c>
      <c r="M715" t="s">
        <v>17</v>
      </c>
      <c r="N715" t="s">
        <v>17</v>
      </c>
      <c r="O715" s="5" t="s">
        <v>17</v>
      </c>
    </row>
    <row r="716" spans="2:15" x14ac:dyDescent="0.3">
      <c r="B716" s="4">
        <v>161</v>
      </c>
      <c r="C716" t="s">
        <v>14</v>
      </c>
      <c r="D716" t="s">
        <v>15</v>
      </c>
      <c r="E716" t="s">
        <v>11</v>
      </c>
      <c r="F716">
        <v>8</v>
      </c>
      <c r="G716" t="s">
        <v>58</v>
      </c>
      <c r="H716">
        <v>17</v>
      </c>
      <c r="N716" t="s">
        <v>13</v>
      </c>
      <c r="O716" s="5" t="s">
        <v>13</v>
      </c>
    </row>
    <row r="717" spans="2:15" x14ac:dyDescent="0.3">
      <c r="B717" s="4">
        <v>3229</v>
      </c>
      <c r="C717" t="s">
        <v>14</v>
      </c>
      <c r="D717" t="s">
        <v>15</v>
      </c>
      <c r="E717" t="s">
        <v>11</v>
      </c>
      <c r="F717">
        <v>8</v>
      </c>
      <c r="G717" t="s">
        <v>58</v>
      </c>
      <c r="H717">
        <v>17</v>
      </c>
      <c r="M717" t="s">
        <v>18</v>
      </c>
      <c r="N717" t="s">
        <v>18</v>
      </c>
      <c r="O717" s="5"/>
    </row>
    <row r="718" spans="2:15" x14ac:dyDescent="0.3">
      <c r="B718" s="4">
        <v>3849</v>
      </c>
      <c r="C718" t="s">
        <v>14</v>
      </c>
      <c r="D718" t="s">
        <v>15</v>
      </c>
      <c r="E718" t="s">
        <v>11</v>
      </c>
      <c r="F718">
        <v>8</v>
      </c>
      <c r="G718" t="s">
        <v>58</v>
      </c>
      <c r="H718">
        <v>17</v>
      </c>
      <c r="M718" t="s">
        <v>13</v>
      </c>
      <c r="N718" t="s">
        <v>18</v>
      </c>
      <c r="O718" s="5"/>
    </row>
    <row r="719" spans="2:15" x14ac:dyDescent="0.3">
      <c r="B719" s="4">
        <v>5</v>
      </c>
      <c r="C719" t="s">
        <v>14</v>
      </c>
      <c r="D719" t="s">
        <v>15</v>
      </c>
      <c r="E719" t="s">
        <v>11</v>
      </c>
      <c r="F719">
        <v>8</v>
      </c>
      <c r="G719" t="s">
        <v>55</v>
      </c>
      <c r="H719">
        <v>2</v>
      </c>
      <c r="N719" t="s">
        <v>13</v>
      </c>
      <c r="O719" s="5" t="s">
        <v>13</v>
      </c>
    </row>
    <row r="720" spans="2:15" x14ac:dyDescent="0.3">
      <c r="B720" s="4">
        <v>997</v>
      </c>
      <c r="C720" t="s">
        <v>43</v>
      </c>
      <c r="D720" t="s">
        <v>44</v>
      </c>
      <c r="E720" t="s">
        <v>45</v>
      </c>
      <c r="F720">
        <v>5</v>
      </c>
      <c r="G720" t="s">
        <v>55</v>
      </c>
      <c r="H720">
        <v>2</v>
      </c>
      <c r="M720" t="s">
        <v>13</v>
      </c>
      <c r="N720" t="s">
        <v>13</v>
      </c>
      <c r="O720" s="5"/>
    </row>
    <row r="721" spans="2:15" x14ac:dyDescent="0.3">
      <c r="B721" s="4">
        <v>16</v>
      </c>
      <c r="C721" t="s">
        <v>27</v>
      </c>
      <c r="D721" t="s">
        <v>28</v>
      </c>
      <c r="E721" t="s">
        <v>29</v>
      </c>
      <c r="F721">
        <v>6</v>
      </c>
      <c r="G721" t="s">
        <v>48</v>
      </c>
      <c r="H721">
        <v>16</v>
      </c>
      <c r="I721" t="s">
        <v>18</v>
      </c>
      <c r="J721" t="s">
        <v>13</v>
      </c>
      <c r="K721" t="s">
        <v>13</v>
      </c>
      <c r="L721" t="s">
        <v>13</v>
      </c>
      <c r="M721" t="s">
        <v>13</v>
      </c>
      <c r="N721" t="s">
        <v>17</v>
      </c>
      <c r="O721" s="5" t="s">
        <v>18</v>
      </c>
    </row>
    <row r="722" spans="2:15" x14ac:dyDescent="0.3">
      <c r="B722" s="4">
        <v>43</v>
      </c>
      <c r="C722" t="s">
        <v>46</v>
      </c>
      <c r="D722" t="s">
        <v>47</v>
      </c>
      <c r="E722" t="s">
        <v>11</v>
      </c>
      <c r="F722">
        <v>8</v>
      </c>
      <c r="G722" t="s">
        <v>48</v>
      </c>
      <c r="H722">
        <v>16</v>
      </c>
      <c r="I722" t="s">
        <v>34</v>
      </c>
      <c r="J722" t="s">
        <v>34</v>
      </c>
      <c r="K722" t="s">
        <v>34</v>
      </c>
      <c r="O722" s="5"/>
    </row>
    <row r="723" spans="2:15" x14ac:dyDescent="0.3">
      <c r="B723" s="4">
        <v>13</v>
      </c>
      <c r="C723" t="s">
        <v>49</v>
      </c>
      <c r="D723" t="s">
        <v>50</v>
      </c>
      <c r="E723" t="s">
        <v>51</v>
      </c>
      <c r="F723">
        <v>3</v>
      </c>
      <c r="G723" t="s">
        <v>16</v>
      </c>
      <c r="H723">
        <v>6</v>
      </c>
      <c r="N723" t="s">
        <v>17</v>
      </c>
      <c r="O723" s="5" t="s">
        <v>18</v>
      </c>
    </row>
    <row r="724" spans="2:15" x14ac:dyDescent="0.3">
      <c r="B724" s="4">
        <v>491</v>
      </c>
      <c r="C724" t="s">
        <v>14</v>
      </c>
      <c r="D724" t="s">
        <v>15</v>
      </c>
      <c r="E724" t="s">
        <v>11</v>
      </c>
      <c r="F724">
        <v>8</v>
      </c>
      <c r="G724" t="s">
        <v>16</v>
      </c>
      <c r="H724">
        <v>6</v>
      </c>
      <c r="I724" t="s">
        <v>19</v>
      </c>
      <c r="J724" t="s">
        <v>52</v>
      </c>
      <c r="K724" t="s">
        <v>33</v>
      </c>
      <c r="L724" t="s">
        <v>35</v>
      </c>
      <c r="O724" s="5"/>
    </row>
    <row r="725" spans="2:15" x14ac:dyDescent="0.3">
      <c r="B725" s="4">
        <v>50</v>
      </c>
      <c r="C725" t="s">
        <v>27</v>
      </c>
      <c r="D725" t="s">
        <v>28</v>
      </c>
      <c r="E725" t="s">
        <v>29</v>
      </c>
      <c r="F725">
        <v>6</v>
      </c>
      <c r="G725" t="s">
        <v>57</v>
      </c>
      <c r="H725">
        <v>10</v>
      </c>
      <c r="J725" t="s">
        <v>13</v>
      </c>
      <c r="K725" t="s">
        <v>13</v>
      </c>
      <c r="O725" s="5"/>
    </row>
    <row r="726" spans="2:15" x14ac:dyDescent="0.3">
      <c r="B726" s="4">
        <v>398</v>
      </c>
      <c r="C726" t="s">
        <v>36</v>
      </c>
      <c r="D726" t="s">
        <v>37</v>
      </c>
      <c r="E726" t="s">
        <v>11</v>
      </c>
      <c r="F726">
        <v>8</v>
      </c>
      <c r="G726" t="s">
        <v>38</v>
      </c>
      <c r="H726">
        <v>13</v>
      </c>
      <c r="N726" t="s">
        <v>18</v>
      </c>
      <c r="O726" s="5" t="s">
        <v>18</v>
      </c>
    </row>
    <row r="727" spans="2:15" x14ac:dyDescent="0.3">
      <c r="B727" s="4">
        <v>537</v>
      </c>
      <c r="C727" t="s">
        <v>9</v>
      </c>
      <c r="D727" t="s">
        <v>10</v>
      </c>
      <c r="E727" t="s">
        <v>11</v>
      </c>
      <c r="F727">
        <v>8</v>
      </c>
      <c r="G727" t="s">
        <v>26</v>
      </c>
      <c r="H727">
        <v>4</v>
      </c>
      <c r="N727" t="s">
        <v>17</v>
      </c>
      <c r="O727" s="5" t="s">
        <v>19</v>
      </c>
    </row>
    <row r="728" spans="2:15" x14ac:dyDescent="0.3">
      <c r="B728" s="4">
        <v>1165</v>
      </c>
      <c r="C728" t="s">
        <v>70</v>
      </c>
      <c r="D728" t="s">
        <v>71</v>
      </c>
      <c r="E728" t="s">
        <v>11</v>
      </c>
      <c r="F728">
        <v>8</v>
      </c>
      <c r="G728" t="s">
        <v>12</v>
      </c>
      <c r="H728">
        <v>7</v>
      </c>
      <c r="L728" t="s">
        <v>18</v>
      </c>
      <c r="M728" t="s">
        <v>17</v>
      </c>
      <c r="N728" t="s">
        <v>19</v>
      </c>
      <c r="O728" s="5"/>
    </row>
    <row r="729" spans="2:15" x14ac:dyDescent="0.3">
      <c r="B729" s="4">
        <v>343</v>
      </c>
      <c r="C729" t="s">
        <v>14</v>
      </c>
      <c r="D729" t="s">
        <v>15</v>
      </c>
      <c r="E729" t="s">
        <v>11</v>
      </c>
      <c r="F729">
        <v>8</v>
      </c>
      <c r="G729" t="s">
        <v>22</v>
      </c>
      <c r="H729">
        <v>1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17</v>
      </c>
      <c r="O729" s="5"/>
    </row>
    <row r="730" spans="2:15" x14ac:dyDescent="0.3">
      <c r="B730" s="4">
        <v>1755</v>
      </c>
      <c r="C730" t="s">
        <v>14</v>
      </c>
      <c r="D730" t="s">
        <v>15</v>
      </c>
      <c r="E730" t="s">
        <v>11</v>
      </c>
      <c r="F730">
        <v>8</v>
      </c>
      <c r="G730" t="s">
        <v>58</v>
      </c>
      <c r="H730">
        <v>17</v>
      </c>
      <c r="N730" t="s">
        <v>13</v>
      </c>
      <c r="O730" s="5" t="s">
        <v>13</v>
      </c>
    </row>
    <row r="731" spans="2:15" x14ac:dyDescent="0.3">
      <c r="B731" s="4">
        <v>1490</v>
      </c>
      <c r="C731" t="s">
        <v>14</v>
      </c>
      <c r="D731" t="s">
        <v>15</v>
      </c>
      <c r="E731" t="s">
        <v>11</v>
      </c>
      <c r="F731">
        <v>8</v>
      </c>
      <c r="G731" t="s">
        <v>54</v>
      </c>
      <c r="H731">
        <v>8</v>
      </c>
      <c r="M731" t="s">
        <v>17</v>
      </c>
      <c r="N731" t="s">
        <v>13</v>
      </c>
      <c r="O731" s="5" t="s">
        <v>18</v>
      </c>
    </row>
    <row r="732" spans="2:15" x14ac:dyDescent="0.3">
      <c r="B732" s="4">
        <v>80</v>
      </c>
      <c r="C732" t="s">
        <v>14</v>
      </c>
      <c r="D732" t="s">
        <v>15</v>
      </c>
      <c r="E732" t="s">
        <v>11</v>
      </c>
      <c r="F732">
        <v>8</v>
      </c>
      <c r="G732" t="s">
        <v>40</v>
      </c>
      <c r="H732">
        <v>3</v>
      </c>
      <c r="I732" t="s">
        <v>17</v>
      </c>
      <c r="J732" t="s">
        <v>17</v>
      </c>
      <c r="K732" t="s">
        <v>17</v>
      </c>
      <c r="L732" t="s">
        <v>18</v>
      </c>
      <c r="M732" t="s">
        <v>18</v>
      </c>
      <c r="N732" t="s">
        <v>17</v>
      </c>
      <c r="O732" s="5" t="s">
        <v>18</v>
      </c>
    </row>
    <row r="733" spans="2:15" x14ac:dyDescent="0.3">
      <c r="B733" s="4">
        <v>71</v>
      </c>
      <c r="C733" t="s">
        <v>46</v>
      </c>
      <c r="D733" t="s">
        <v>47</v>
      </c>
      <c r="E733" t="s">
        <v>11</v>
      </c>
      <c r="F733">
        <v>8</v>
      </c>
      <c r="G733" t="s">
        <v>22</v>
      </c>
      <c r="H733">
        <v>1</v>
      </c>
      <c r="J733" t="s">
        <v>17</v>
      </c>
      <c r="K733" t="s">
        <v>13</v>
      </c>
      <c r="L733" t="s">
        <v>13</v>
      </c>
      <c r="M733" t="s">
        <v>13</v>
      </c>
      <c r="O733" s="5"/>
    </row>
    <row r="734" spans="2:15" x14ac:dyDescent="0.3">
      <c r="B734" s="4">
        <v>694</v>
      </c>
      <c r="C734" t="s">
        <v>46</v>
      </c>
      <c r="D734" t="s">
        <v>47</v>
      </c>
      <c r="E734" t="s">
        <v>11</v>
      </c>
      <c r="F734">
        <v>8</v>
      </c>
      <c r="G734" t="s">
        <v>22</v>
      </c>
      <c r="H734">
        <v>1</v>
      </c>
      <c r="N734" t="s">
        <v>18</v>
      </c>
      <c r="O734" s="5" t="s">
        <v>17</v>
      </c>
    </row>
    <row r="735" spans="2:15" x14ac:dyDescent="0.3">
      <c r="B735" s="4">
        <v>265</v>
      </c>
      <c r="C735" t="s">
        <v>46</v>
      </c>
      <c r="D735" t="s">
        <v>47</v>
      </c>
      <c r="E735" t="s">
        <v>11</v>
      </c>
      <c r="F735">
        <v>8</v>
      </c>
      <c r="G735" t="s">
        <v>30</v>
      </c>
      <c r="H735">
        <v>18</v>
      </c>
      <c r="M735" t="s">
        <v>17</v>
      </c>
      <c r="N735" t="s">
        <v>19</v>
      </c>
      <c r="O735" s="5" t="s">
        <v>19</v>
      </c>
    </row>
    <row r="736" spans="2:15" x14ac:dyDescent="0.3">
      <c r="B736" s="4">
        <v>413</v>
      </c>
      <c r="C736" t="s">
        <v>46</v>
      </c>
      <c r="D736" t="s">
        <v>47</v>
      </c>
      <c r="E736" t="s">
        <v>11</v>
      </c>
      <c r="F736">
        <v>8</v>
      </c>
      <c r="G736" t="s">
        <v>55</v>
      </c>
      <c r="H736">
        <v>2</v>
      </c>
      <c r="K736" t="s">
        <v>17</v>
      </c>
      <c r="L736" t="s">
        <v>13</v>
      </c>
      <c r="M736" t="s">
        <v>13</v>
      </c>
      <c r="N736" t="s">
        <v>18</v>
      </c>
      <c r="O736" s="5" t="s">
        <v>13</v>
      </c>
    </row>
    <row r="737" spans="2:15" x14ac:dyDescent="0.3">
      <c r="B737" s="4">
        <v>103</v>
      </c>
      <c r="C737" t="s">
        <v>14</v>
      </c>
      <c r="D737" t="s">
        <v>15</v>
      </c>
      <c r="E737" t="s">
        <v>11</v>
      </c>
      <c r="F737">
        <v>8</v>
      </c>
      <c r="G737" t="s">
        <v>54</v>
      </c>
      <c r="H737">
        <v>8</v>
      </c>
      <c r="I737" t="s">
        <v>13</v>
      </c>
      <c r="J737" t="s">
        <v>13</v>
      </c>
      <c r="O737" s="5"/>
    </row>
    <row r="738" spans="2:15" x14ac:dyDescent="0.3">
      <c r="B738" s="4">
        <v>1125</v>
      </c>
      <c r="C738" t="s">
        <v>14</v>
      </c>
      <c r="D738" t="s">
        <v>15</v>
      </c>
      <c r="E738" t="s">
        <v>11</v>
      </c>
      <c r="F738">
        <v>8</v>
      </c>
      <c r="G738" t="s">
        <v>16</v>
      </c>
      <c r="H738">
        <v>6</v>
      </c>
      <c r="J738" t="s">
        <v>18</v>
      </c>
      <c r="K738" t="s">
        <v>13</v>
      </c>
      <c r="L738" t="s">
        <v>19</v>
      </c>
      <c r="M738" t="s">
        <v>18</v>
      </c>
      <c r="N738" t="s">
        <v>17</v>
      </c>
      <c r="O738" s="5"/>
    </row>
    <row r="739" spans="2:15" x14ac:dyDescent="0.3">
      <c r="B739" s="4">
        <v>181</v>
      </c>
      <c r="C739" t="s">
        <v>14</v>
      </c>
      <c r="D739" t="s">
        <v>15</v>
      </c>
      <c r="E739" t="s">
        <v>11</v>
      </c>
      <c r="F739">
        <v>8</v>
      </c>
      <c r="G739" t="s">
        <v>22</v>
      </c>
      <c r="H739">
        <v>1</v>
      </c>
      <c r="L739" t="s">
        <v>13</v>
      </c>
      <c r="M739" t="s">
        <v>13</v>
      </c>
      <c r="N739" t="s">
        <v>13</v>
      </c>
      <c r="O739" s="5" t="s">
        <v>18</v>
      </c>
    </row>
    <row r="740" spans="2:15" x14ac:dyDescent="0.3">
      <c r="B740" s="4">
        <v>788</v>
      </c>
      <c r="C740" t="s">
        <v>46</v>
      </c>
      <c r="D740" t="s">
        <v>47</v>
      </c>
      <c r="E740" t="s">
        <v>11</v>
      </c>
      <c r="F740">
        <v>8</v>
      </c>
      <c r="G740" t="s">
        <v>30</v>
      </c>
      <c r="H740">
        <v>18</v>
      </c>
      <c r="L740" t="s">
        <v>18</v>
      </c>
      <c r="M740" t="s">
        <v>33</v>
      </c>
      <c r="N740" t="s">
        <v>33</v>
      </c>
      <c r="O740" s="5"/>
    </row>
    <row r="741" spans="2:15" x14ac:dyDescent="0.3">
      <c r="B741" s="4">
        <v>1009</v>
      </c>
      <c r="C741" t="s">
        <v>46</v>
      </c>
      <c r="D741" t="s">
        <v>47</v>
      </c>
      <c r="E741" t="s">
        <v>11</v>
      </c>
      <c r="F741">
        <v>8</v>
      </c>
      <c r="G741" t="s">
        <v>74</v>
      </c>
      <c r="H741">
        <v>15</v>
      </c>
      <c r="N741" t="s">
        <v>17</v>
      </c>
      <c r="O741" s="5" t="s">
        <v>13</v>
      </c>
    </row>
    <row r="742" spans="2:15" x14ac:dyDescent="0.3">
      <c r="B742" s="4">
        <v>13</v>
      </c>
      <c r="C742" t="s">
        <v>14</v>
      </c>
      <c r="D742" t="s">
        <v>15</v>
      </c>
      <c r="E742" t="s">
        <v>11</v>
      </c>
      <c r="F742">
        <v>8</v>
      </c>
      <c r="G742" t="s">
        <v>54</v>
      </c>
      <c r="H742">
        <v>8</v>
      </c>
      <c r="I742" t="s">
        <v>17</v>
      </c>
      <c r="J742" t="s">
        <v>17</v>
      </c>
      <c r="K742" t="s">
        <v>18</v>
      </c>
      <c r="L742" t="s">
        <v>18</v>
      </c>
      <c r="M742" t="s">
        <v>13</v>
      </c>
      <c r="N742" t="s">
        <v>18</v>
      </c>
      <c r="O742" s="5" t="s">
        <v>17</v>
      </c>
    </row>
    <row r="743" spans="2:15" x14ac:dyDescent="0.3">
      <c r="B743" s="4">
        <v>384</v>
      </c>
      <c r="C743" t="s">
        <v>9</v>
      </c>
      <c r="D743" t="s">
        <v>10</v>
      </c>
      <c r="E743" t="s">
        <v>11</v>
      </c>
      <c r="F743">
        <v>8</v>
      </c>
      <c r="G743" t="s">
        <v>54</v>
      </c>
      <c r="H743">
        <v>8</v>
      </c>
      <c r="I743" t="s">
        <v>13</v>
      </c>
      <c r="J743" t="s">
        <v>13</v>
      </c>
      <c r="K743" t="s">
        <v>13</v>
      </c>
      <c r="L743" t="s">
        <v>13</v>
      </c>
      <c r="M743" t="s">
        <v>13</v>
      </c>
      <c r="N743" t="s">
        <v>13</v>
      </c>
      <c r="O743" s="5" t="s">
        <v>13</v>
      </c>
    </row>
    <row r="744" spans="2:15" x14ac:dyDescent="0.3">
      <c r="B744" s="4">
        <v>10</v>
      </c>
      <c r="C744" t="s">
        <v>14</v>
      </c>
      <c r="D744" t="s">
        <v>15</v>
      </c>
      <c r="E744" t="s">
        <v>11</v>
      </c>
      <c r="F744">
        <v>8</v>
      </c>
      <c r="G744" t="s">
        <v>26</v>
      </c>
      <c r="H744">
        <v>4</v>
      </c>
      <c r="I744" t="s">
        <v>13</v>
      </c>
      <c r="J744" t="s">
        <v>13</v>
      </c>
      <c r="K744" t="s">
        <v>13</v>
      </c>
      <c r="L744" t="s">
        <v>13</v>
      </c>
      <c r="M744" t="s">
        <v>13</v>
      </c>
      <c r="N744" t="s">
        <v>18</v>
      </c>
      <c r="O744" s="5" t="s">
        <v>18</v>
      </c>
    </row>
    <row r="745" spans="2:15" x14ac:dyDescent="0.3">
      <c r="B745" s="4">
        <v>11</v>
      </c>
      <c r="C745" t="s">
        <v>14</v>
      </c>
      <c r="D745" t="s">
        <v>15</v>
      </c>
      <c r="E745" t="s">
        <v>11</v>
      </c>
      <c r="F745">
        <v>8</v>
      </c>
      <c r="G745" t="s">
        <v>16</v>
      </c>
      <c r="H745">
        <v>6</v>
      </c>
      <c r="I745" t="s">
        <v>19</v>
      </c>
      <c r="J745" t="s">
        <v>19</v>
      </c>
      <c r="L745" t="s">
        <v>13</v>
      </c>
      <c r="M745" t="s">
        <v>13</v>
      </c>
      <c r="N745" t="s">
        <v>18</v>
      </c>
      <c r="O745" s="5" t="s">
        <v>18</v>
      </c>
    </row>
    <row r="746" spans="2:15" x14ac:dyDescent="0.3">
      <c r="B746" s="4">
        <v>308</v>
      </c>
      <c r="C746" t="s">
        <v>78</v>
      </c>
      <c r="D746" t="s">
        <v>79</v>
      </c>
      <c r="E746" t="s">
        <v>80</v>
      </c>
      <c r="F746">
        <v>10</v>
      </c>
      <c r="G746" t="s">
        <v>30</v>
      </c>
      <c r="H746">
        <v>18</v>
      </c>
      <c r="I746" t="s">
        <v>13</v>
      </c>
      <c r="J746" t="s">
        <v>18</v>
      </c>
      <c r="O746" s="5"/>
    </row>
    <row r="747" spans="2:15" x14ac:dyDescent="0.3">
      <c r="B747" s="4">
        <v>23</v>
      </c>
      <c r="C747" t="s">
        <v>31</v>
      </c>
      <c r="D747" t="s">
        <v>32</v>
      </c>
      <c r="E747" t="s">
        <v>11</v>
      </c>
      <c r="F747">
        <v>8</v>
      </c>
      <c r="G747" t="s">
        <v>12</v>
      </c>
      <c r="H747">
        <v>7</v>
      </c>
      <c r="I747" t="s">
        <v>34</v>
      </c>
      <c r="J747" t="s">
        <v>34</v>
      </c>
      <c r="O747" s="5"/>
    </row>
    <row r="748" spans="2:15" x14ac:dyDescent="0.3">
      <c r="B748" s="4">
        <v>398</v>
      </c>
      <c r="C748" t="s">
        <v>46</v>
      </c>
      <c r="D748" t="s">
        <v>47</v>
      </c>
      <c r="E748" t="s">
        <v>11</v>
      </c>
      <c r="F748">
        <v>8</v>
      </c>
      <c r="G748" t="s">
        <v>38</v>
      </c>
      <c r="H748">
        <v>13</v>
      </c>
      <c r="I748" t="s">
        <v>18</v>
      </c>
      <c r="J748" t="s">
        <v>18</v>
      </c>
      <c r="O748" s="5"/>
    </row>
    <row r="749" spans="2:15" x14ac:dyDescent="0.3">
      <c r="B749" s="4">
        <v>1</v>
      </c>
      <c r="C749" t="s">
        <v>63</v>
      </c>
      <c r="D749" t="s">
        <v>64</v>
      </c>
      <c r="E749" t="s">
        <v>65</v>
      </c>
      <c r="F749">
        <v>14</v>
      </c>
      <c r="G749" t="s">
        <v>39</v>
      </c>
      <c r="H749">
        <v>12</v>
      </c>
      <c r="I749" t="s">
        <v>34</v>
      </c>
      <c r="J749" t="s">
        <v>34</v>
      </c>
      <c r="K749" t="s">
        <v>52</v>
      </c>
      <c r="L749" t="s">
        <v>52</v>
      </c>
      <c r="M749" t="s">
        <v>34</v>
      </c>
      <c r="O749" s="5"/>
    </row>
    <row r="750" spans="2:15" x14ac:dyDescent="0.3">
      <c r="B750" s="4">
        <v>338</v>
      </c>
      <c r="C750" t="s">
        <v>14</v>
      </c>
      <c r="D750" t="s">
        <v>15</v>
      </c>
      <c r="E750" t="s">
        <v>11</v>
      </c>
      <c r="F750">
        <v>8</v>
      </c>
      <c r="G750" t="s">
        <v>40</v>
      </c>
      <c r="H750">
        <v>3</v>
      </c>
      <c r="N750" t="s">
        <v>17</v>
      </c>
      <c r="O750" s="5" t="s">
        <v>18</v>
      </c>
    </row>
    <row r="751" spans="2:15" x14ac:dyDescent="0.3">
      <c r="B751" s="4">
        <v>86</v>
      </c>
      <c r="C751" t="s">
        <v>46</v>
      </c>
      <c r="D751" t="s">
        <v>47</v>
      </c>
      <c r="E751" t="s">
        <v>11</v>
      </c>
      <c r="F751">
        <v>8</v>
      </c>
      <c r="G751" t="s">
        <v>16</v>
      </c>
      <c r="H751">
        <v>6</v>
      </c>
      <c r="I751" t="s">
        <v>19</v>
      </c>
      <c r="J751" t="s">
        <v>19</v>
      </c>
      <c r="K751" t="s">
        <v>17</v>
      </c>
      <c r="L751" t="s">
        <v>18</v>
      </c>
      <c r="N751" t="s">
        <v>34</v>
      </c>
      <c r="O751" s="5" t="s">
        <v>18</v>
      </c>
    </row>
    <row r="752" spans="2:15" x14ac:dyDescent="0.3">
      <c r="B752" s="4">
        <v>1461</v>
      </c>
      <c r="C752" t="s">
        <v>14</v>
      </c>
      <c r="D752" t="s">
        <v>15</v>
      </c>
      <c r="E752" t="s">
        <v>11</v>
      </c>
      <c r="F752">
        <v>8</v>
      </c>
      <c r="G752" t="s">
        <v>16</v>
      </c>
      <c r="H752">
        <v>6</v>
      </c>
      <c r="M752" t="s">
        <v>19</v>
      </c>
      <c r="N752" t="s">
        <v>19</v>
      </c>
      <c r="O752" s="5" t="s">
        <v>19</v>
      </c>
    </row>
    <row r="753" spans="2:15" x14ac:dyDescent="0.3">
      <c r="B753" s="4">
        <v>1362</v>
      </c>
      <c r="C753" t="s">
        <v>75</v>
      </c>
      <c r="D753" t="s">
        <v>76</v>
      </c>
      <c r="E753" t="s">
        <v>77</v>
      </c>
      <c r="F753">
        <v>7</v>
      </c>
      <c r="G753" t="s">
        <v>40</v>
      </c>
      <c r="H753">
        <v>3</v>
      </c>
      <c r="M753" t="s">
        <v>18</v>
      </c>
      <c r="N753" t="s">
        <v>19</v>
      </c>
      <c r="O753" s="5" t="s">
        <v>17</v>
      </c>
    </row>
    <row r="754" spans="2:15" x14ac:dyDescent="0.3">
      <c r="B754" s="4">
        <v>1519</v>
      </c>
      <c r="C754" t="s">
        <v>70</v>
      </c>
      <c r="D754" t="s">
        <v>71</v>
      </c>
      <c r="E754" t="s">
        <v>11</v>
      </c>
      <c r="F754">
        <v>8</v>
      </c>
      <c r="G754" t="s">
        <v>16</v>
      </c>
      <c r="H754">
        <v>6</v>
      </c>
      <c r="L754" t="s">
        <v>13</v>
      </c>
      <c r="M754" t="s">
        <v>13</v>
      </c>
      <c r="N754" t="s">
        <v>13</v>
      </c>
      <c r="O754" s="5"/>
    </row>
    <row r="755" spans="2:15" x14ac:dyDescent="0.3">
      <c r="B755" s="4">
        <v>1585</v>
      </c>
      <c r="C755" t="s">
        <v>59</v>
      </c>
      <c r="D755" t="s">
        <v>60</v>
      </c>
      <c r="E755" t="s">
        <v>11</v>
      </c>
      <c r="F755">
        <v>8</v>
      </c>
      <c r="G755" t="s">
        <v>40</v>
      </c>
      <c r="H755">
        <v>3</v>
      </c>
      <c r="K755" t="s">
        <v>13</v>
      </c>
      <c r="L755" t="s">
        <v>18</v>
      </c>
      <c r="M755" t="s">
        <v>13</v>
      </c>
      <c r="O755" s="5"/>
    </row>
    <row r="756" spans="2:15" x14ac:dyDescent="0.3">
      <c r="B756" s="4">
        <v>938</v>
      </c>
      <c r="C756" t="s">
        <v>36</v>
      </c>
      <c r="D756" t="s">
        <v>37</v>
      </c>
      <c r="E756" t="s">
        <v>11</v>
      </c>
      <c r="F756">
        <v>8</v>
      </c>
      <c r="G756" t="s">
        <v>16</v>
      </c>
      <c r="H756">
        <v>6</v>
      </c>
      <c r="L756" t="s">
        <v>18</v>
      </c>
      <c r="M756" t="s">
        <v>18</v>
      </c>
      <c r="N756" t="s">
        <v>13</v>
      </c>
      <c r="O756" s="5" t="s">
        <v>13</v>
      </c>
    </row>
    <row r="757" spans="2:15" x14ac:dyDescent="0.3">
      <c r="B757" s="4">
        <v>63</v>
      </c>
      <c r="C757" t="s">
        <v>63</v>
      </c>
      <c r="D757" t="s">
        <v>64</v>
      </c>
      <c r="E757" t="s">
        <v>65</v>
      </c>
      <c r="F757">
        <v>14</v>
      </c>
      <c r="G757" t="s">
        <v>16</v>
      </c>
      <c r="H757">
        <v>6</v>
      </c>
      <c r="I757" t="s">
        <v>33</v>
      </c>
      <c r="J757" t="s">
        <v>19</v>
      </c>
      <c r="K757" t="s">
        <v>13</v>
      </c>
      <c r="L757" t="s">
        <v>18</v>
      </c>
      <c r="O757" s="5"/>
    </row>
    <row r="758" spans="2:15" x14ac:dyDescent="0.3">
      <c r="B758" s="4">
        <v>61</v>
      </c>
      <c r="C758" t="s">
        <v>63</v>
      </c>
      <c r="D758" t="s">
        <v>64</v>
      </c>
      <c r="E758" t="s">
        <v>65</v>
      </c>
      <c r="F758">
        <v>14</v>
      </c>
      <c r="G758" t="s">
        <v>16</v>
      </c>
      <c r="H758">
        <v>6</v>
      </c>
      <c r="N758" t="s">
        <v>13</v>
      </c>
      <c r="O758" s="5" t="s">
        <v>18</v>
      </c>
    </row>
    <row r="759" spans="2:15" x14ac:dyDescent="0.3">
      <c r="B759" s="4">
        <v>3</v>
      </c>
      <c r="C759" t="s">
        <v>14</v>
      </c>
      <c r="D759" t="s">
        <v>15</v>
      </c>
      <c r="E759" t="s">
        <v>11</v>
      </c>
      <c r="F759">
        <v>8</v>
      </c>
      <c r="G759" t="s">
        <v>48</v>
      </c>
      <c r="H759">
        <v>16</v>
      </c>
      <c r="I759" t="s">
        <v>18</v>
      </c>
      <c r="J759" t="s">
        <v>13</v>
      </c>
      <c r="K759" t="s">
        <v>18</v>
      </c>
      <c r="L759" t="s">
        <v>13</v>
      </c>
      <c r="M759" t="s">
        <v>13</v>
      </c>
      <c r="N759" t="s">
        <v>18</v>
      </c>
      <c r="O759" s="5" t="s">
        <v>13</v>
      </c>
    </row>
    <row r="760" spans="2:15" x14ac:dyDescent="0.3">
      <c r="B760" s="4">
        <v>2774</v>
      </c>
      <c r="C760" t="s">
        <v>59</v>
      </c>
      <c r="D760" t="s">
        <v>60</v>
      </c>
      <c r="E760" t="s">
        <v>11</v>
      </c>
      <c r="F760">
        <v>8</v>
      </c>
      <c r="G760" t="s">
        <v>48</v>
      </c>
      <c r="H760">
        <v>16</v>
      </c>
      <c r="L760" t="s">
        <v>18</v>
      </c>
      <c r="M760" t="s">
        <v>19</v>
      </c>
      <c r="N760" t="s">
        <v>52</v>
      </c>
      <c r="O760" s="5" t="s">
        <v>35</v>
      </c>
    </row>
    <row r="761" spans="2:15" x14ac:dyDescent="0.3">
      <c r="B761" s="4">
        <v>621</v>
      </c>
      <c r="C761" t="s">
        <v>59</v>
      </c>
      <c r="D761" t="s">
        <v>60</v>
      </c>
      <c r="E761" t="s">
        <v>11</v>
      </c>
      <c r="F761">
        <v>8</v>
      </c>
      <c r="G761" t="s">
        <v>48</v>
      </c>
      <c r="H761">
        <v>16</v>
      </c>
      <c r="M761" t="s">
        <v>13</v>
      </c>
      <c r="N761" t="s">
        <v>13</v>
      </c>
      <c r="O761" s="5" t="s">
        <v>13</v>
      </c>
    </row>
    <row r="762" spans="2:15" x14ac:dyDescent="0.3">
      <c r="B762" s="4">
        <v>2885</v>
      </c>
      <c r="C762" t="s">
        <v>59</v>
      </c>
      <c r="D762" t="s">
        <v>60</v>
      </c>
      <c r="E762" t="s">
        <v>11</v>
      </c>
      <c r="F762">
        <v>8</v>
      </c>
      <c r="G762" t="s">
        <v>22</v>
      </c>
      <c r="H762">
        <v>1</v>
      </c>
      <c r="N762" t="s">
        <v>19</v>
      </c>
      <c r="O762" s="5" t="s">
        <v>19</v>
      </c>
    </row>
    <row r="763" spans="2:15" x14ac:dyDescent="0.3">
      <c r="B763" s="4">
        <v>2753</v>
      </c>
      <c r="C763" t="s">
        <v>59</v>
      </c>
      <c r="D763" t="s">
        <v>60</v>
      </c>
      <c r="E763" t="s">
        <v>11</v>
      </c>
      <c r="F763">
        <v>8</v>
      </c>
      <c r="G763" t="s">
        <v>16</v>
      </c>
      <c r="H763">
        <v>6</v>
      </c>
      <c r="N763" t="s">
        <v>17</v>
      </c>
      <c r="O763" s="5" t="s">
        <v>19</v>
      </c>
    </row>
    <row r="764" spans="2:15" x14ac:dyDescent="0.3">
      <c r="B764" s="4">
        <v>150</v>
      </c>
      <c r="C764" t="s">
        <v>49</v>
      </c>
      <c r="D764" t="s">
        <v>50</v>
      </c>
      <c r="E764" t="s">
        <v>51</v>
      </c>
      <c r="F764">
        <v>3</v>
      </c>
      <c r="G764" t="s">
        <v>22</v>
      </c>
      <c r="H764">
        <v>1</v>
      </c>
      <c r="M764" t="s">
        <v>13</v>
      </c>
      <c r="N764" t="s">
        <v>13</v>
      </c>
      <c r="O764" s="5" t="s">
        <v>18</v>
      </c>
    </row>
    <row r="765" spans="2:15" x14ac:dyDescent="0.3">
      <c r="B765" s="4">
        <v>2220</v>
      </c>
      <c r="C765" t="s">
        <v>72</v>
      </c>
      <c r="D765" t="s">
        <v>73</v>
      </c>
      <c r="E765" t="s">
        <v>11</v>
      </c>
      <c r="F765">
        <v>8</v>
      </c>
      <c r="G765" t="s">
        <v>12</v>
      </c>
      <c r="H765">
        <v>7</v>
      </c>
      <c r="L765" t="s">
        <v>13</v>
      </c>
      <c r="M765" t="s">
        <v>13</v>
      </c>
      <c r="N765" t="s">
        <v>13</v>
      </c>
      <c r="O765" s="5" t="s">
        <v>13</v>
      </c>
    </row>
    <row r="766" spans="2:15" x14ac:dyDescent="0.3">
      <c r="B766" s="4">
        <v>3358</v>
      </c>
      <c r="C766" t="s">
        <v>61</v>
      </c>
      <c r="D766" t="s">
        <v>62</v>
      </c>
      <c r="E766" t="s">
        <v>11</v>
      </c>
      <c r="F766">
        <v>8</v>
      </c>
      <c r="G766" t="s">
        <v>48</v>
      </c>
      <c r="H766">
        <v>16</v>
      </c>
      <c r="M766" t="s">
        <v>18</v>
      </c>
      <c r="N766" t="s">
        <v>13</v>
      </c>
      <c r="O766" s="5" t="s">
        <v>13</v>
      </c>
    </row>
    <row r="767" spans="2:15" x14ac:dyDescent="0.3">
      <c r="B767" s="4">
        <v>186</v>
      </c>
      <c r="C767" t="s">
        <v>46</v>
      </c>
      <c r="D767" t="s">
        <v>47</v>
      </c>
      <c r="E767" t="s">
        <v>11</v>
      </c>
      <c r="F767">
        <v>8</v>
      </c>
      <c r="G767" t="s">
        <v>53</v>
      </c>
      <c r="H767">
        <v>15</v>
      </c>
      <c r="K767" t="s">
        <v>17</v>
      </c>
      <c r="L767" t="s">
        <v>17</v>
      </c>
      <c r="M767" t="s">
        <v>17</v>
      </c>
      <c r="N767" t="s">
        <v>17</v>
      </c>
      <c r="O767" s="5" t="s">
        <v>17</v>
      </c>
    </row>
    <row r="768" spans="2:15" x14ac:dyDescent="0.3">
      <c r="B768" s="4">
        <v>1514</v>
      </c>
      <c r="C768" t="s">
        <v>108</v>
      </c>
      <c r="D768" t="s">
        <v>109</v>
      </c>
      <c r="E768" t="s">
        <v>77</v>
      </c>
      <c r="F768">
        <v>7</v>
      </c>
      <c r="G768" t="s">
        <v>40</v>
      </c>
      <c r="H768">
        <v>3</v>
      </c>
      <c r="L768" t="s">
        <v>18</v>
      </c>
      <c r="M768" t="s">
        <v>18</v>
      </c>
      <c r="N768" t="s">
        <v>13</v>
      </c>
      <c r="O768" s="5" t="s">
        <v>13</v>
      </c>
    </row>
    <row r="769" spans="2:15" x14ac:dyDescent="0.3">
      <c r="B769" s="4">
        <v>1875</v>
      </c>
      <c r="C769" t="s">
        <v>14</v>
      </c>
      <c r="D769" t="s">
        <v>15</v>
      </c>
      <c r="E769" t="s">
        <v>11</v>
      </c>
      <c r="F769">
        <v>8</v>
      </c>
      <c r="G769" t="s">
        <v>16</v>
      </c>
      <c r="H769">
        <v>6</v>
      </c>
      <c r="M769" t="s">
        <v>13</v>
      </c>
      <c r="N769" t="s">
        <v>13</v>
      </c>
      <c r="O769" s="5" t="s">
        <v>17</v>
      </c>
    </row>
    <row r="770" spans="2:15" x14ac:dyDescent="0.3">
      <c r="B770" s="4">
        <v>47</v>
      </c>
      <c r="C770" t="s">
        <v>14</v>
      </c>
      <c r="D770" t="s">
        <v>15</v>
      </c>
      <c r="E770" t="s">
        <v>11</v>
      </c>
      <c r="F770">
        <v>8</v>
      </c>
      <c r="G770" t="s">
        <v>22</v>
      </c>
      <c r="H770">
        <v>1</v>
      </c>
      <c r="I770" t="s">
        <v>13</v>
      </c>
      <c r="J770" t="s">
        <v>13</v>
      </c>
      <c r="K770" t="s">
        <v>13</v>
      </c>
      <c r="L770" t="s">
        <v>13</v>
      </c>
      <c r="M770" t="s">
        <v>13</v>
      </c>
      <c r="N770" t="s">
        <v>17</v>
      </c>
      <c r="O770" s="5"/>
    </row>
    <row r="771" spans="2:15" x14ac:dyDescent="0.3">
      <c r="B771" s="4">
        <v>724</v>
      </c>
      <c r="C771" t="s">
        <v>9</v>
      </c>
      <c r="D771" t="s">
        <v>10</v>
      </c>
      <c r="E771" t="s">
        <v>11</v>
      </c>
      <c r="F771">
        <v>8</v>
      </c>
      <c r="G771" t="s">
        <v>22</v>
      </c>
      <c r="H771">
        <v>1</v>
      </c>
      <c r="M771" t="s">
        <v>18</v>
      </c>
      <c r="N771" t="s">
        <v>13</v>
      </c>
      <c r="O771" s="5" t="s">
        <v>18</v>
      </c>
    </row>
    <row r="772" spans="2:15" x14ac:dyDescent="0.3">
      <c r="B772" s="4">
        <v>7</v>
      </c>
      <c r="C772" t="s">
        <v>14</v>
      </c>
      <c r="D772" t="s">
        <v>15</v>
      </c>
      <c r="E772" t="s">
        <v>11</v>
      </c>
      <c r="F772">
        <v>8</v>
      </c>
      <c r="G772" t="s">
        <v>26</v>
      </c>
      <c r="H772">
        <v>4</v>
      </c>
      <c r="N772" t="s">
        <v>17</v>
      </c>
      <c r="O772" s="5" t="s">
        <v>13</v>
      </c>
    </row>
    <row r="773" spans="2:15" x14ac:dyDescent="0.3">
      <c r="B773" s="4">
        <v>719</v>
      </c>
      <c r="C773" t="s">
        <v>78</v>
      </c>
      <c r="D773" t="s">
        <v>79</v>
      </c>
      <c r="E773" t="s">
        <v>80</v>
      </c>
      <c r="F773">
        <v>10</v>
      </c>
      <c r="G773" t="s">
        <v>16</v>
      </c>
      <c r="H773">
        <v>6</v>
      </c>
      <c r="L773" t="s">
        <v>13</v>
      </c>
      <c r="M773" t="s">
        <v>13</v>
      </c>
      <c r="O773" s="5"/>
    </row>
    <row r="774" spans="2:15" x14ac:dyDescent="0.3">
      <c r="B774" s="4">
        <v>262</v>
      </c>
      <c r="C774" t="s">
        <v>36</v>
      </c>
      <c r="D774" t="s">
        <v>37</v>
      </c>
      <c r="E774" t="s">
        <v>11</v>
      </c>
      <c r="F774">
        <v>8</v>
      </c>
      <c r="G774" t="s">
        <v>54</v>
      </c>
      <c r="H774">
        <v>8</v>
      </c>
      <c r="I774" t="s">
        <v>17</v>
      </c>
      <c r="J774" t="s">
        <v>18</v>
      </c>
      <c r="K774" t="s">
        <v>18</v>
      </c>
      <c r="L774" t="s">
        <v>13</v>
      </c>
      <c r="M774" t="s">
        <v>13</v>
      </c>
      <c r="N774" t="s">
        <v>17</v>
      </c>
      <c r="O774" s="5" t="s">
        <v>17</v>
      </c>
    </row>
    <row r="775" spans="2:15" x14ac:dyDescent="0.3">
      <c r="B775" s="4">
        <v>2319</v>
      </c>
      <c r="C775" t="s">
        <v>9</v>
      </c>
      <c r="D775" t="s">
        <v>10</v>
      </c>
      <c r="E775" t="s">
        <v>11</v>
      </c>
      <c r="F775">
        <v>8</v>
      </c>
      <c r="G775" t="s">
        <v>55</v>
      </c>
      <c r="H775">
        <v>2</v>
      </c>
      <c r="N775" t="s">
        <v>13</v>
      </c>
      <c r="O775" s="5" t="s">
        <v>13</v>
      </c>
    </row>
    <row r="776" spans="2:15" x14ac:dyDescent="0.3">
      <c r="B776" s="4">
        <v>1717</v>
      </c>
      <c r="C776" t="s">
        <v>36</v>
      </c>
      <c r="D776" t="s">
        <v>37</v>
      </c>
      <c r="E776" t="s">
        <v>11</v>
      </c>
      <c r="F776">
        <v>8</v>
      </c>
      <c r="G776" t="s">
        <v>57</v>
      </c>
      <c r="H776">
        <v>10</v>
      </c>
      <c r="N776" t="s">
        <v>13</v>
      </c>
      <c r="O776" s="5" t="s">
        <v>13</v>
      </c>
    </row>
    <row r="777" spans="2:15" x14ac:dyDescent="0.3">
      <c r="B777" s="4">
        <v>1214</v>
      </c>
      <c r="C777" t="s">
        <v>14</v>
      </c>
      <c r="D777" t="s">
        <v>15</v>
      </c>
      <c r="E777" t="s">
        <v>11</v>
      </c>
      <c r="F777">
        <v>8</v>
      </c>
      <c r="G777" t="s">
        <v>12</v>
      </c>
      <c r="H777">
        <v>7</v>
      </c>
      <c r="L777" t="s">
        <v>17</v>
      </c>
      <c r="M777" t="s">
        <v>17</v>
      </c>
      <c r="O777" s="5"/>
    </row>
    <row r="778" spans="2:15" x14ac:dyDescent="0.3">
      <c r="B778" s="4">
        <v>4964</v>
      </c>
      <c r="C778" t="s">
        <v>14</v>
      </c>
      <c r="D778" t="s">
        <v>15</v>
      </c>
      <c r="E778" t="s">
        <v>11</v>
      </c>
      <c r="F778">
        <v>8</v>
      </c>
      <c r="G778" t="s">
        <v>58</v>
      </c>
      <c r="H778">
        <v>17</v>
      </c>
      <c r="M778" t="s">
        <v>13</v>
      </c>
      <c r="N778" t="s">
        <v>13</v>
      </c>
      <c r="O778" s="5" t="s">
        <v>13</v>
      </c>
    </row>
    <row r="779" spans="2:15" x14ac:dyDescent="0.3">
      <c r="B779" s="4">
        <v>448</v>
      </c>
      <c r="C779" t="s">
        <v>27</v>
      </c>
      <c r="D779" t="s">
        <v>28</v>
      </c>
      <c r="E779" t="s">
        <v>29</v>
      </c>
      <c r="F779">
        <v>6</v>
      </c>
      <c r="G779" t="s">
        <v>26</v>
      </c>
      <c r="H779">
        <v>4</v>
      </c>
      <c r="N779" t="s">
        <v>13</v>
      </c>
      <c r="O779" s="5" t="s">
        <v>13</v>
      </c>
    </row>
    <row r="780" spans="2:15" x14ac:dyDescent="0.3">
      <c r="B780" s="4">
        <v>16</v>
      </c>
      <c r="C780" t="s">
        <v>14</v>
      </c>
      <c r="D780" t="s">
        <v>15</v>
      </c>
      <c r="E780" t="s">
        <v>11</v>
      </c>
      <c r="F780">
        <v>8</v>
      </c>
      <c r="G780" t="s">
        <v>55</v>
      </c>
      <c r="H780">
        <v>2</v>
      </c>
      <c r="L780" t="s">
        <v>17</v>
      </c>
      <c r="M780" t="s">
        <v>17</v>
      </c>
      <c r="N780" t="s">
        <v>18</v>
      </c>
      <c r="O780" s="5" t="s">
        <v>17</v>
      </c>
    </row>
    <row r="781" spans="2:15" x14ac:dyDescent="0.3">
      <c r="B781" s="4">
        <v>1250</v>
      </c>
      <c r="C781" t="s">
        <v>75</v>
      </c>
      <c r="D781" t="s">
        <v>76</v>
      </c>
      <c r="E781" t="s">
        <v>77</v>
      </c>
      <c r="F781">
        <v>7</v>
      </c>
      <c r="G781" t="s">
        <v>48</v>
      </c>
      <c r="H781">
        <v>16</v>
      </c>
      <c r="L781" t="s">
        <v>18</v>
      </c>
      <c r="M781" t="s">
        <v>13</v>
      </c>
      <c r="O781" s="5"/>
    </row>
    <row r="782" spans="2:15" x14ac:dyDescent="0.3">
      <c r="B782" s="4">
        <v>2339</v>
      </c>
      <c r="C782" t="s">
        <v>72</v>
      </c>
      <c r="D782" t="s">
        <v>73</v>
      </c>
      <c r="E782" t="s">
        <v>11</v>
      </c>
      <c r="F782">
        <v>8</v>
      </c>
      <c r="G782" t="s">
        <v>81</v>
      </c>
      <c r="H782">
        <v>7</v>
      </c>
      <c r="M782" t="s">
        <v>13</v>
      </c>
      <c r="N782" t="s">
        <v>18</v>
      </c>
      <c r="O782" s="5" t="s">
        <v>13</v>
      </c>
    </row>
    <row r="783" spans="2:15" x14ac:dyDescent="0.3">
      <c r="B783" s="4">
        <v>791</v>
      </c>
      <c r="C783" t="s">
        <v>46</v>
      </c>
      <c r="D783" t="s">
        <v>47</v>
      </c>
      <c r="E783" t="s">
        <v>11</v>
      </c>
      <c r="F783">
        <v>8</v>
      </c>
      <c r="G783" t="s">
        <v>54</v>
      </c>
      <c r="H783">
        <v>8</v>
      </c>
      <c r="L783" t="s">
        <v>13</v>
      </c>
      <c r="M783" t="s">
        <v>18</v>
      </c>
      <c r="N783" t="s">
        <v>17</v>
      </c>
      <c r="O783" s="5" t="s">
        <v>13</v>
      </c>
    </row>
    <row r="784" spans="2:15" x14ac:dyDescent="0.3">
      <c r="B784" s="4">
        <v>3</v>
      </c>
      <c r="C784" t="s">
        <v>46</v>
      </c>
      <c r="D784" t="s">
        <v>47</v>
      </c>
      <c r="E784" t="s">
        <v>11</v>
      </c>
      <c r="F784">
        <v>8</v>
      </c>
      <c r="G784" t="s">
        <v>54</v>
      </c>
      <c r="H784">
        <v>8</v>
      </c>
      <c r="I784" t="s">
        <v>52</v>
      </c>
      <c r="J784" t="s">
        <v>52</v>
      </c>
      <c r="O784" s="5"/>
    </row>
    <row r="785" spans="2:15" x14ac:dyDescent="0.3">
      <c r="B785" s="4">
        <v>19</v>
      </c>
      <c r="C785" t="s">
        <v>27</v>
      </c>
      <c r="D785" t="s">
        <v>28</v>
      </c>
      <c r="E785" t="s">
        <v>29</v>
      </c>
      <c r="F785">
        <v>6</v>
      </c>
      <c r="G785" t="s">
        <v>22</v>
      </c>
      <c r="H785">
        <v>1</v>
      </c>
      <c r="M785" t="s">
        <v>13</v>
      </c>
      <c r="N785" t="s">
        <v>17</v>
      </c>
      <c r="O785" s="5" t="s">
        <v>13</v>
      </c>
    </row>
    <row r="786" spans="2:15" x14ac:dyDescent="0.3">
      <c r="B786" s="4">
        <v>1698</v>
      </c>
      <c r="C786" t="s">
        <v>23</v>
      </c>
      <c r="D786" t="s">
        <v>24</v>
      </c>
      <c r="E786" t="s">
        <v>25</v>
      </c>
      <c r="F786">
        <v>1</v>
      </c>
      <c r="G786" t="s">
        <v>22</v>
      </c>
      <c r="H786">
        <v>1</v>
      </c>
      <c r="N786" t="s">
        <v>13</v>
      </c>
      <c r="O786" s="5" t="s">
        <v>17</v>
      </c>
    </row>
    <row r="787" spans="2:15" x14ac:dyDescent="0.3">
      <c r="B787" s="4">
        <v>560</v>
      </c>
      <c r="C787" t="s">
        <v>31</v>
      </c>
      <c r="D787" t="s">
        <v>32</v>
      </c>
      <c r="E787" t="s">
        <v>11</v>
      </c>
      <c r="F787">
        <v>8</v>
      </c>
      <c r="G787" t="s">
        <v>22</v>
      </c>
      <c r="H787">
        <v>1</v>
      </c>
      <c r="I787" t="s">
        <v>19</v>
      </c>
      <c r="J787" t="s">
        <v>19</v>
      </c>
      <c r="K787" t="s">
        <v>19</v>
      </c>
      <c r="L787" t="s">
        <v>17</v>
      </c>
      <c r="M787" t="s">
        <v>17</v>
      </c>
      <c r="N787" t="s">
        <v>18</v>
      </c>
      <c r="O787" s="5" t="s">
        <v>18</v>
      </c>
    </row>
    <row r="788" spans="2:15" x14ac:dyDescent="0.3">
      <c r="B788" s="4">
        <v>2440</v>
      </c>
      <c r="C788" t="s">
        <v>72</v>
      </c>
      <c r="D788" t="s">
        <v>73</v>
      </c>
      <c r="E788" t="s">
        <v>11</v>
      </c>
      <c r="F788">
        <v>8</v>
      </c>
      <c r="G788" t="s">
        <v>55</v>
      </c>
      <c r="H788">
        <v>2</v>
      </c>
      <c r="N788" t="s">
        <v>19</v>
      </c>
      <c r="O788" s="5" t="s">
        <v>19</v>
      </c>
    </row>
    <row r="789" spans="2:15" x14ac:dyDescent="0.3">
      <c r="B789" s="4">
        <v>173</v>
      </c>
      <c r="C789" t="s">
        <v>36</v>
      </c>
      <c r="D789" t="s">
        <v>37</v>
      </c>
      <c r="E789" t="s">
        <v>11</v>
      </c>
      <c r="F789">
        <v>8</v>
      </c>
      <c r="G789" t="s">
        <v>81</v>
      </c>
      <c r="H789">
        <v>7</v>
      </c>
      <c r="J789" t="s">
        <v>13</v>
      </c>
      <c r="K789" t="s">
        <v>13</v>
      </c>
      <c r="L789" t="s">
        <v>19</v>
      </c>
      <c r="M789" t="s">
        <v>13</v>
      </c>
      <c r="N789" t="s">
        <v>19</v>
      </c>
      <c r="O789" s="5" t="s">
        <v>13</v>
      </c>
    </row>
    <row r="790" spans="2:15" x14ac:dyDescent="0.3">
      <c r="B790" s="4">
        <v>146</v>
      </c>
      <c r="C790" t="s">
        <v>36</v>
      </c>
      <c r="D790" t="s">
        <v>37</v>
      </c>
      <c r="E790" t="s">
        <v>11</v>
      </c>
      <c r="F790">
        <v>8</v>
      </c>
      <c r="G790" t="s">
        <v>48</v>
      </c>
      <c r="H790">
        <v>16</v>
      </c>
      <c r="N790" t="s">
        <v>13</v>
      </c>
      <c r="O790" s="5" t="s">
        <v>13</v>
      </c>
    </row>
    <row r="791" spans="2:15" x14ac:dyDescent="0.3">
      <c r="B791" s="4">
        <v>141</v>
      </c>
      <c r="C791" t="s">
        <v>41</v>
      </c>
      <c r="D791" t="s">
        <v>42</v>
      </c>
      <c r="E791" t="s">
        <v>11</v>
      </c>
      <c r="F791">
        <v>8</v>
      </c>
      <c r="G791" t="s">
        <v>87</v>
      </c>
      <c r="H791">
        <v>9</v>
      </c>
      <c r="K791" t="s">
        <v>17</v>
      </c>
      <c r="L791" t="s">
        <v>13</v>
      </c>
      <c r="M791" t="s">
        <v>13</v>
      </c>
      <c r="N791" t="s">
        <v>17</v>
      </c>
      <c r="O791" s="5" t="s">
        <v>18</v>
      </c>
    </row>
    <row r="792" spans="2:15" x14ac:dyDescent="0.3">
      <c r="B792" s="4">
        <v>630</v>
      </c>
      <c r="C792" t="s">
        <v>46</v>
      </c>
      <c r="D792" t="s">
        <v>47</v>
      </c>
      <c r="E792" t="s">
        <v>11</v>
      </c>
      <c r="F792">
        <v>8</v>
      </c>
      <c r="G792" t="s">
        <v>87</v>
      </c>
      <c r="H792">
        <v>9</v>
      </c>
      <c r="J792" t="s">
        <v>18</v>
      </c>
      <c r="K792" t="s">
        <v>18</v>
      </c>
      <c r="L792" t="s">
        <v>18</v>
      </c>
      <c r="M792" t="s">
        <v>13</v>
      </c>
      <c r="N792" t="s">
        <v>13</v>
      </c>
      <c r="O792" s="5" t="s">
        <v>17</v>
      </c>
    </row>
    <row r="793" spans="2:15" x14ac:dyDescent="0.3">
      <c r="B793" s="4">
        <v>1337</v>
      </c>
      <c r="C793" t="s">
        <v>46</v>
      </c>
      <c r="D793" t="s">
        <v>47</v>
      </c>
      <c r="E793" t="s">
        <v>11</v>
      </c>
      <c r="F793">
        <v>8</v>
      </c>
      <c r="G793" t="s">
        <v>22</v>
      </c>
      <c r="H793">
        <v>1</v>
      </c>
      <c r="L793" t="s">
        <v>13</v>
      </c>
      <c r="M793" t="s">
        <v>13</v>
      </c>
      <c r="O793" s="5"/>
    </row>
    <row r="794" spans="2:15" x14ac:dyDescent="0.3">
      <c r="B794" s="4">
        <v>2</v>
      </c>
      <c r="C794" t="s">
        <v>46</v>
      </c>
      <c r="D794" t="s">
        <v>47</v>
      </c>
      <c r="E794" t="s">
        <v>11</v>
      </c>
      <c r="F794">
        <v>8</v>
      </c>
      <c r="G794" t="s">
        <v>16</v>
      </c>
      <c r="H794">
        <v>6</v>
      </c>
      <c r="I794" t="s">
        <v>18</v>
      </c>
      <c r="J794" t="s">
        <v>18</v>
      </c>
      <c r="K794" t="s">
        <v>52</v>
      </c>
      <c r="L794" t="s">
        <v>52</v>
      </c>
      <c r="O794" s="5"/>
    </row>
    <row r="795" spans="2:15" x14ac:dyDescent="0.3">
      <c r="B795" s="4">
        <v>625</v>
      </c>
      <c r="C795" t="s">
        <v>72</v>
      </c>
      <c r="D795" t="s">
        <v>73</v>
      </c>
      <c r="E795" t="s">
        <v>11</v>
      </c>
      <c r="F795">
        <v>8</v>
      </c>
      <c r="G795" t="s">
        <v>81</v>
      </c>
      <c r="H795">
        <v>7</v>
      </c>
      <c r="J795" t="s">
        <v>13</v>
      </c>
      <c r="K795" t="s">
        <v>13</v>
      </c>
      <c r="L795" t="s">
        <v>13</v>
      </c>
      <c r="O795" s="5"/>
    </row>
    <row r="796" spans="2:15" x14ac:dyDescent="0.3">
      <c r="B796" s="4">
        <v>1942</v>
      </c>
      <c r="C796" t="s">
        <v>14</v>
      </c>
      <c r="D796" t="s">
        <v>15</v>
      </c>
      <c r="E796" t="s">
        <v>11</v>
      </c>
      <c r="F796">
        <v>8</v>
      </c>
      <c r="G796" t="s">
        <v>22</v>
      </c>
      <c r="H796">
        <v>1</v>
      </c>
      <c r="M796" t="s">
        <v>13</v>
      </c>
      <c r="N796" t="s">
        <v>19</v>
      </c>
      <c r="O796" s="5"/>
    </row>
    <row r="797" spans="2:15" x14ac:dyDescent="0.3">
      <c r="B797" s="4">
        <v>1012</v>
      </c>
      <c r="C797" t="s">
        <v>14</v>
      </c>
      <c r="D797" t="s">
        <v>15</v>
      </c>
      <c r="E797" t="s">
        <v>11</v>
      </c>
      <c r="F797">
        <v>8</v>
      </c>
      <c r="G797" t="s">
        <v>88</v>
      </c>
      <c r="H797">
        <v>12</v>
      </c>
      <c r="J797" t="s">
        <v>17</v>
      </c>
      <c r="K797" t="s">
        <v>19</v>
      </c>
      <c r="L797" t="s">
        <v>19</v>
      </c>
      <c r="O797" s="5"/>
    </row>
    <row r="798" spans="2:15" x14ac:dyDescent="0.3">
      <c r="B798" s="4">
        <v>968</v>
      </c>
      <c r="C798" t="s">
        <v>14</v>
      </c>
      <c r="D798" t="s">
        <v>15</v>
      </c>
      <c r="E798" t="s">
        <v>11</v>
      </c>
      <c r="F798">
        <v>8</v>
      </c>
      <c r="G798" t="s">
        <v>89</v>
      </c>
      <c r="H798">
        <v>11</v>
      </c>
      <c r="I798" t="s">
        <v>17</v>
      </c>
      <c r="J798" t="s">
        <v>17</v>
      </c>
      <c r="K798" t="s">
        <v>19</v>
      </c>
      <c r="L798" t="s">
        <v>19</v>
      </c>
      <c r="O798" s="5"/>
    </row>
    <row r="799" spans="2:15" x14ac:dyDescent="0.3">
      <c r="B799" s="4">
        <v>6</v>
      </c>
      <c r="C799" t="s">
        <v>49</v>
      </c>
      <c r="D799" t="s">
        <v>50</v>
      </c>
      <c r="E799" t="s">
        <v>51</v>
      </c>
      <c r="F799">
        <v>3</v>
      </c>
      <c r="G799" t="s">
        <v>89</v>
      </c>
      <c r="H799">
        <v>11</v>
      </c>
      <c r="M799" t="s">
        <v>17</v>
      </c>
      <c r="N799" t="s">
        <v>13</v>
      </c>
      <c r="O799" s="5" t="s">
        <v>17</v>
      </c>
    </row>
    <row r="800" spans="2:15" x14ac:dyDescent="0.3">
      <c r="B800" s="4">
        <v>956</v>
      </c>
      <c r="C800" t="s">
        <v>78</v>
      </c>
      <c r="D800" t="s">
        <v>79</v>
      </c>
      <c r="E800" t="s">
        <v>80</v>
      </c>
      <c r="F800">
        <v>10</v>
      </c>
      <c r="G800" t="s">
        <v>88</v>
      </c>
      <c r="H800">
        <v>12</v>
      </c>
      <c r="K800" t="s">
        <v>18</v>
      </c>
      <c r="L800" t="s">
        <v>19</v>
      </c>
      <c r="M800" t="s">
        <v>33</v>
      </c>
      <c r="N800" t="s">
        <v>35</v>
      </c>
      <c r="O800" s="5"/>
    </row>
    <row r="801" spans="2:15" x14ac:dyDescent="0.3">
      <c r="B801" s="4">
        <v>46</v>
      </c>
      <c r="C801" t="s">
        <v>14</v>
      </c>
      <c r="D801" t="s">
        <v>15</v>
      </c>
      <c r="E801" t="s">
        <v>11</v>
      </c>
      <c r="F801">
        <v>8</v>
      </c>
      <c r="G801" t="s">
        <v>88</v>
      </c>
      <c r="H801">
        <v>12</v>
      </c>
      <c r="M801" t="s">
        <v>18</v>
      </c>
      <c r="N801" t="s">
        <v>17</v>
      </c>
      <c r="O801" s="5" t="s">
        <v>18</v>
      </c>
    </row>
    <row r="802" spans="2:15" x14ac:dyDescent="0.3">
      <c r="B802" s="4">
        <v>22</v>
      </c>
      <c r="C802" t="s">
        <v>46</v>
      </c>
      <c r="D802" t="s">
        <v>47</v>
      </c>
      <c r="E802" t="s">
        <v>11</v>
      </c>
      <c r="F802">
        <v>8</v>
      </c>
      <c r="G802" t="s">
        <v>55</v>
      </c>
      <c r="H802">
        <v>2</v>
      </c>
      <c r="J802" t="s">
        <v>17</v>
      </c>
      <c r="K802" t="s">
        <v>18</v>
      </c>
      <c r="L802" t="s">
        <v>18</v>
      </c>
      <c r="M802" t="s">
        <v>13</v>
      </c>
      <c r="N802" t="s">
        <v>18</v>
      </c>
      <c r="O802" s="5" t="s">
        <v>13</v>
      </c>
    </row>
    <row r="803" spans="2:15" x14ac:dyDescent="0.3">
      <c r="B803" s="4">
        <v>253</v>
      </c>
      <c r="C803" t="s">
        <v>78</v>
      </c>
      <c r="D803" t="s">
        <v>79</v>
      </c>
      <c r="E803" t="s">
        <v>80</v>
      </c>
      <c r="F803">
        <v>10</v>
      </c>
      <c r="G803" t="s">
        <v>22</v>
      </c>
      <c r="H803">
        <v>1</v>
      </c>
      <c r="N803" t="s">
        <v>17</v>
      </c>
      <c r="O803" s="5" t="s">
        <v>18</v>
      </c>
    </row>
    <row r="804" spans="2:15" x14ac:dyDescent="0.3">
      <c r="B804" s="4">
        <v>1598</v>
      </c>
      <c r="C804" t="s">
        <v>92</v>
      </c>
      <c r="D804" t="s">
        <v>93</v>
      </c>
      <c r="E804" t="s">
        <v>11</v>
      </c>
      <c r="F804">
        <v>8</v>
      </c>
      <c r="G804" t="s">
        <v>54</v>
      </c>
      <c r="H804">
        <v>8</v>
      </c>
      <c r="M804" t="s">
        <v>19</v>
      </c>
      <c r="N804" t="s">
        <v>19</v>
      </c>
      <c r="O804" s="5" t="s">
        <v>18</v>
      </c>
    </row>
    <row r="805" spans="2:15" x14ac:dyDescent="0.3">
      <c r="B805" s="4">
        <v>1893</v>
      </c>
      <c r="C805" t="s">
        <v>92</v>
      </c>
      <c r="D805" t="s">
        <v>93</v>
      </c>
      <c r="E805" t="s">
        <v>11</v>
      </c>
      <c r="F805">
        <v>8</v>
      </c>
      <c r="G805" t="s">
        <v>16</v>
      </c>
      <c r="H805">
        <v>6</v>
      </c>
      <c r="N805" t="s">
        <v>19</v>
      </c>
      <c r="O805" s="5" t="s">
        <v>13</v>
      </c>
    </row>
    <row r="806" spans="2:15" x14ac:dyDescent="0.3">
      <c r="B806" s="4">
        <v>287</v>
      </c>
      <c r="C806" t="s">
        <v>27</v>
      </c>
      <c r="D806" t="s">
        <v>28</v>
      </c>
      <c r="E806" t="s">
        <v>29</v>
      </c>
      <c r="F806">
        <v>6</v>
      </c>
      <c r="G806" t="s">
        <v>40</v>
      </c>
      <c r="H806">
        <v>3</v>
      </c>
      <c r="I806" t="s">
        <v>18</v>
      </c>
      <c r="J806" t="s">
        <v>17</v>
      </c>
      <c r="K806" t="s">
        <v>18</v>
      </c>
      <c r="L806" t="s">
        <v>18</v>
      </c>
      <c r="M806" t="s">
        <v>13</v>
      </c>
      <c r="N806" t="s">
        <v>17</v>
      </c>
      <c r="O806" s="5" t="s">
        <v>17</v>
      </c>
    </row>
    <row r="807" spans="2:15" x14ac:dyDescent="0.3">
      <c r="B807" s="4">
        <v>1133</v>
      </c>
      <c r="C807" t="s">
        <v>103</v>
      </c>
      <c r="D807" t="s">
        <v>104</v>
      </c>
      <c r="E807" t="s">
        <v>105</v>
      </c>
      <c r="F807">
        <v>2</v>
      </c>
      <c r="G807" t="s">
        <v>66</v>
      </c>
      <c r="H807">
        <v>5</v>
      </c>
      <c r="K807" t="s">
        <v>17</v>
      </c>
      <c r="L807" t="s">
        <v>17</v>
      </c>
      <c r="M807" t="s">
        <v>18</v>
      </c>
      <c r="N807" t="s">
        <v>13</v>
      </c>
      <c r="O807" s="5" t="s">
        <v>13</v>
      </c>
    </row>
    <row r="808" spans="2:15" x14ac:dyDescent="0.3">
      <c r="B808" s="4">
        <v>1126</v>
      </c>
      <c r="C808" t="s">
        <v>98</v>
      </c>
      <c r="D808" t="s">
        <v>99</v>
      </c>
      <c r="E808" t="s">
        <v>77</v>
      </c>
      <c r="F808">
        <v>7</v>
      </c>
      <c r="G808" t="s">
        <v>16</v>
      </c>
      <c r="H808">
        <v>6</v>
      </c>
      <c r="K808" t="s">
        <v>33</v>
      </c>
      <c r="L808" t="s">
        <v>33</v>
      </c>
      <c r="M808" t="s">
        <v>33</v>
      </c>
      <c r="O808" s="5"/>
    </row>
    <row r="809" spans="2:15" x14ac:dyDescent="0.3">
      <c r="B809" s="4">
        <v>791</v>
      </c>
      <c r="C809" t="s">
        <v>82</v>
      </c>
      <c r="D809" t="s">
        <v>83</v>
      </c>
      <c r="E809" t="s">
        <v>11</v>
      </c>
      <c r="F809">
        <v>8</v>
      </c>
      <c r="G809" t="s">
        <v>57</v>
      </c>
      <c r="H809">
        <v>10</v>
      </c>
      <c r="L809" t="s">
        <v>18</v>
      </c>
      <c r="M809" t="s">
        <v>18</v>
      </c>
      <c r="N809" t="s">
        <v>18</v>
      </c>
      <c r="O809" s="5" t="s">
        <v>13</v>
      </c>
    </row>
    <row r="810" spans="2:15" x14ac:dyDescent="0.3">
      <c r="B810" s="4">
        <v>539</v>
      </c>
      <c r="C810" t="s">
        <v>46</v>
      </c>
      <c r="D810" t="s">
        <v>47</v>
      </c>
      <c r="E810" t="s">
        <v>11</v>
      </c>
      <c r="F810">
        <v>8</v>
      </c>
      <c r="G810" t="s">
        <v>38</v>
      </c>
      <c r="H810">
        <v>13</v>
      </c>
      <c r="K810" t="s">
        <v>13</v>
      </c>
      <c r="L810" t="s">
        <v>18</v>
      </c>
      <c r="M810" t="s">
        <v>13</v>
      </c>
      <c r="N810" t="s">
        <v>13</v>
      </c>
      <c r="O810" s="5" t="s">
        <v>18</v>
      </c>
    </row>
    <row r="811" spans="2:15" x14ac:dyDescent="0.3">
      <c r="B811" s="4">
        <v>3097</v>
      </c>
      <c r="C811" t="s">
        <v>23</v>
      </c>
      <c r="D811" t="s">
        <v>24</v>
      </c>
      <c r="E811" t="s">
        <v>25</v>
      </c>
      <c r="F811">
        <v>1</v>
      </c>
      <c r="G811" t="s">
        <v>26</v>
      </c>
      <c r="H811">
        <v>4</v>
      </c>
      <c r="M811" t="s">
        <v>17</v>
      </c>
      <c r="N811" t="s">
        <v>17</v>
      </c>
      <c r="O811" s="5" t="s">
        <v>17</v>
      </c>
    </row>
    <row r="812" spans="2:15" x14ac:dyDescent="0.3">
      <c r="B812" s="4">
        <v>1</v>
      </c>
      <c r="C812" t="s">
        <v>92</v>
      </c>
      <c r="D812" t="s">
        <v>93</v>
      </c>
      <c r="E812" t="s">
        <v>11</v>
      </c>
      <c r="F812">
        <v>8</v>
      </c>
      <c r="G812" t="s">
        <v>12</v>
      </c>
      <c r="H812">
        <v>7</v>
      </c>
      <c r="I812" t="s">
        <v>13</v>
      </c>
      <c r="J812" t="s">
        <v>13</v>
      </c>
      <c r="K812" t="s">
        <v>13</v>
      </c>
      <c r="L812" t="s">
        <v>18</v>
      </c>
      <c r="M812" t="s">
        <v>17</v>
      </c>
      <c r="N812" t="s">
        <v>52</v>
      </c>
      <c r="O812" s="5" t="s">
        <v>18</v>
      </c>
    </row>
    <row r="813" spans="2:15" x14ac:dyDescent="0.3">
      <c r="B813" s="4">
        <v>271</v>
      </c>
      <c r="C813" t="s">
        <v>103</v>
      </c>
      <c r="D813" t="s">
        <v>104</v>
      </c>
      <c r="E813" t="s">
        <v>105</v>
      </c>
      <c r="F813">
        <v>2</v>
      </c>
      <c r="G813" t="s">
        <v>22</v>
      </c>
      <c r="H813">
        <v>1</v>
      </c>
      <c r="K813" t="s">
        <v>17</v>
      </c>
      <c r="L813" t="s">
        <v>18</v>
      </c>
      <c r="M813" t="s">
        <v>18</v>
      </c>
      <c r="N813" t="s">
        <v>17</v>
      </c>
      <c r="O813" s="5" t="s">
        <v>17</v>
      </c>
    </row>
    <row r="814" spans="2:15" x14ac:dyDescent="0.3">
      <c r="B814" s="4">
        <v>6</v>
      </c>
      <c r="C814" t="s">
        <v>14</v>
      </c>
      <c r="D814" t="s">
        <v>15</v>
      </c>
      <c r="E814" t="s">
        <v>11</v>
      </c>
      <c r="F814">
        <v>8</v>
      </c>
      <c r="G814" t="s">
        <v>58</v>
      </c>
      <c r="H814">
        <v>17</v>
      </c>
      <c r="L814" t="s">
        <v>13</v>
      </c>
      <c r="M814" t="s">
        <v>18</v>
      </c>
      <c r="N814" t="s">
        <v>17</v>
      </c>
      <c r="O814" s="5" t="s">
        <v>19</v>
      </c>
    </row>
    <row r="815" spans="2:15" x14ac:dyDescent="0.3">
      <c r="B815" s="4">
        <v>722</v>
      </c>
      <c r="C815" t="s">
        <v>84</v>
      </c>
      <c r="D815" t="s">
        <v>85</v>
      </c>
      <c r="E815" t="s">
        <v>86</v>
      </c>
      <c r="F815">
        <v>12</v>
      </c>
      <c r="G815" t="s">
        <v>54</v>
      </c>
      <c r="H815">
        <v>8</v>
      </c>
      <c r="I815" t="s">
        <v>19</v>
      </c>
      <c r="J815" t="s">
        <v>52</v>
      </c>
      <c r="K815" t="s">
        <v>19</v>
      </c>
      <c r="L815" t="s">
        <v>19</v>
      </c>
      <c r="M815" t="s">
        <v>19</v>
      </c>
      <c r="O815" s="5"/>
    </row>
    <row r="816" spans="2:15" x14ac:dyDescent="0.3">
      <c r="B816" s="4">
        <v>487</v>
      </c>
      <c r="C816" t="s">
        <v>43</v>
      </c>
      <c r="D816" t="s">
        <v>44</v>
      </c>
      <c r="E816" t="s">
        <v>45</v>
      </c>
      <c r="F816">
        <v>5</v>
      </c>
      <c r="G816" t="s">
        <v>40</v>
      </c>
      <c r="H816">
        <v>3</v>
      </c>
      <c r="M816" t="s">
        <v>17</v>
      </c>
      <c r="N816" t="s">
        <v>52</v>
      </c>
      <c r="O816" s="5" t="s">
        <v>52</v>
      </c>
    </row>
    <row r="817" spans="2:15" x14ac:dyDescent="0.3">
      <c r="B817" s="4">
        <v>971</v>
      </c>
      <c r="C817" t="s">
        <v>46</v>
      </c>
      <c r="D817" t="s">
        <v>47</v>
      </c>
      <c r="E817" t="s">
        <v>11</v>
      </c>
      <c r="F817">
        <v>8</v>
      </c>
      <c r="G817" t="s">
        <v>22</v>
      </c>
      <c r="H817">
        <v>1</v>
      </c>
      <c r="L817" t="s">
        <v>13</v>
      </c>
      <c r="M817" t="s">
        <v>13</v>
      </c>
      <c r="N817" t="s">
        <v>18</v>
      </c>
      <c r="O817" s="5" t="s">
        <v>19</v>
      </c>
    </row>
    <row r="818" spans="2:15" x14ac:dyDescent="0.3">
      <c r="B818" s="4">
        <v>2846</v>
      </c>
      <c r="C818" t="s">
        <v>97</v>
      </c>
      <c r="D818" t="s">
        <v>79</v>
      </c>
      <c r="E818" t="s">
        <v>110</v>
      </c>
      <c r="F818">
        <v>9</v>
      </c>
      <c r="G818" t="s">
        <v>22</v>
      </c>
      <c r="H818">
        <v>1</v>
      </c>
      <c r="L818" t="s">
        <v>18</v>
      </c>
      <c r="M818" t="s">
        <v>19</v>
      </c>
      <c r="N818" t="s">
        <v>18</v>
      </c>
      <c r="O818" s="5" t="s">
        <v>35</v>
      </c>
    </row>
    <row r="819" spans="2:15" x14ac:dyDescent="0.3">
      <c r="B819" s="4">
        <v>1015</v>
      </c>
      <c r="C819" t="s">
        <v>90</v>
      </c>
      <c r="D819" t="s">
        <v>91</v>
      </c>
      <c r="E819" t="s">
        <v>11</v>
      </c>
      <c r="F819">
        <v>8</v>
      </c>
      <c r="G819" t="s">
        <v>30</v>
      </c>
      <c r="H819">
        <v>18</v>
      </c>
      <c r="M819" t="s">
        <v>19</v>
      </c>
      <c r="N819" t="s">
        <v>33</v>
      </c>
      <c r="O819" s="5" t="s">
        <v>33</v>
      </c>
    </row>
    <row r="820" spans="2:15" x14ac:dyDescent="0.3">
      <c r="B820" s="4">
        <v>2104</v>
      </c>
      <c r="C820" t="s">
        <v>90</v>
      </c>
      <c r="D820" t="s">
        <v>91</v>
      </c>
      <c r="E820" t="s">
        <v>11</v>
      </c>
      <c r="F820">
        <v>8</v>
      </c>
      <c r="G820" t="s">
        <v>55</v>
      </c>
      <c r="H820">
        <v>2</v>
      </c>
      <c r="M820" t="s">
        <v>13</v>
      </c>
      <c r="N820" t="s">
        <v>17</v>
      </c>
      <c r="O820" s="5" t="s">
        <v>56</v>
      </c>
    </row>
    <row r="821" spans="2:15" x14ac:dyDescent="0.3">
      <c r="B821" s="4">
        <v>2396</v>
      </c>
      <c r="C821" t="s">
        <v>90</v>
      </c>
      <c r="D821" t="s">
        <v>91</v>
      </c>
      <c r="E821" t="s">
        <v>11</v>
      </c>
      <c r="F821">
        <v>8</v>
      </c>
      <c r="G821" t="s">
        <v>54</v>
      </c>
      <c r="H821">
        <v>8</v>
      </c>
      <c r="N821" t="s">
        <v>18</v>
      </c>
      <c r="O821" s="5" t="s">
        <v>18</v>
      </c>
    </row>
    <row r="822" spans="2:15" x14ac:dyDescent="0.3">
      <c r="B822" s="4">
        <v>1520</v>
      </c>
      <c r="C822" t="s">
        <v>23</v>
      </c>
      <c r="D822" t="s">
        <v>24</v>
      </c>
      <c r="E822" t="s">
        <v>25</v>
      </c>
      <c r="F822">
        <v>1</v>
      </c>
      <c r="G822" t="s">
        <v>16</v>
      </c>
      <c r="H822">
        <v>6</v>
      </c>
      <c r="L822" t="s">
        <v>13</v>
      </c>
      <c r="M822" t="s">
        <v>13</v>
      </c>
      <c r="N822" t="s">
        <v>18</v>
      </c>
      <c r="O822" s="5" t="s">
        <v>13</v>
      </c>
    </row>
    <row r="823" spans="2:15" x14ac:dyDescent="0.3">
      <c r="B823" s="4">
        <v>2061</v>
      </c>
      <c r="C823" t="s">
        <v>14</v>
      </c>
      <c r="D823" t="s">
        <v>15</v>
      </c>
      <c r="E823" t="s">
        <v>11</v>
      </c>
      <c r="F823">
        <v>8</v>
      </c>
      <c r="G823" t="s">
        <v>22</v>
      </c>
      <c r="H823">
        <v>1</v>
      </c>
      <c r="L823" t="s">
        <v>13</v>
      </c>
      <c r="M823" t="s">
        <v>13</v>
      </c>
      <c r="N823" t="s">
        <v>18</v>
      </c>
      <c r="O823" s="5" t="s">
        <v>17</v>
      </c>
    </row>
    <row r="824" spans="2:15" x14ac:dyDescent="0.3">
      <c r="B824" s="4">
        <v>2433</v>
      </c>
      <c r="C824" t="s">
        <v>61</v>
      </c>
      <c r="D824" t="s">
        <v>62</v>
      </c>
      <c r="E824" t="s">
        <v>11</v>
      </c>
      <c r="F824">
        <v>8</v>
      </c>
      <c r="G824" t="s">
        <v>30</v>
      </c>
      <c r="H824">
        <v>18</v>
      </c>
      <c r="L824" t="s">
        <v>52</v>
      </c>
      <c r="M824" t="s">
        <v>19</v>
      </c>
      <c r="N824" t="s">
        <v>52</v>
      </c>
      <c r="O824" s="5" t="s">
        <v>52</v>
      </c>
    </row>
    <row r="825" spans="2:15" x14ac:dyDescent="0.3">
      <c r="B825" s="4">
        <v>3121</v>
      </c>
      <c r="C825" t="s">
        <v>20</v>
      </c>
      <c r="D825" t="s">
        <v>21</v>
      </c>
      <c r="E825" t="s">
        <v>11</v>
      </c>
      <c r="F825">
        <v>8</v>
      </c>
      <c r="G825" t="s">
        <v>74</v>
      </c>
      <c r="H825">
        <v>15</v>
      </c>
      <c r="M825" t="s">
        <v>18</v>
      </c>
      <c r="N825" t="s">
        <v>17</v>
      </c>
      <c r="O825" s="5" t="s">
        <v>35</v>
      </c>
    </row>
    <row r="826" spans="2:15" x14ac:dyDescent="0.3">
      <c r="B826" s="4">
        <v>2651</v>
      </c>
      <c r="C826" t="s">
        <v>14</v>
      </c>
      <c r="D826" t="s">
        <v>15</v>
      </c>
      <c r="E826" t="s">
        <v>11</v>
      </c>
      <c r="F826">
        <v>8</v>
      </c>
      <c r="G826" t="s">
        <v>54</v>
      </c>
      <c r="H826">
        <v>8</v>
      </c>
      <c r="N826" t="s">
        <v>18</v>
      </c>
      <c r="O826" s="5" t="s">
        <v>17</v>
      </c>
    </row>
    <row r="827" spans="2:15" x14ac:dyDescent="0.3">
      <c r="B827" s="4">
        <v>667</v>
      </c>
      <c r="C827" t="s">
        <v>49</v>
      </c>
      <c r="D827" t="s">
        <v>50</v>
      </c>
      <c r="E827" t="s">
        <v>51</v>
      </c>
      <c r="F827">
        <v>3</v>
      </c>
      <c r="G827" t="s">
        <v>54</v>
      </c>
      <c r="H827">
        <v>8</v>
      </c>
      <c r="K827" t="s">
        <v>18</v>
      </c>
      <c r="L827" t="s">
        <v>13</v>
      </c>
      <c r="M827" t="s">
        <v>18</v>
      </c>
      <c r="N827" t="s">
        <v>18</v>
      </c>
      <c r="O827" s="5"/>
    </row>
    <row r="828" spans="2:15" x14ac:dyDescent="0.3">
      <c r="B828" s="4">
        <v>2646</v>
      </c>
      <c r="C828" t="s">
        <v>27</v>
      </c>
      <c r="D828" t="s">
        <v>28</v>
      </c>
      <c r="E828" t="s">
        <v>29</v>
      </c>
      <c r="F828">
        <v>6</v>
      </c>
      <c r="G828" t="s">
        <v>30</v>
      </c>
      <c r="H828">
        <v>18</v>
      </c>
      <c r="N828" t="s">
        <v>13</v>
      </c>
      <c r="O828" s="5" t="s">
        <v>13</v>
      </c>
    </row>
    <row r="829" spans="2:15" x14ac:dyDescent="0.3">
      <c r="B829" s="4">
        <v>978</v>
      </c>
      <c r="C829" t="s">
        <v>46</v>
      </c>
      <c r="D829" t="s">
        <v>47</v>
      </c>
      <c r="E829" t="s">
        <v>11</v>
      </c>
      <c r="F829">
        <v>8</v>
      </c>
      <c r="G829" t="s">
        <v>30</v>
      </c>
      <c r="H829">
        <v>18</v>
      </c>
      <c r="N829" t="s">
        <v>17</v>
      </c>
      <c r="O829" s="5" t="s">
        <v>17</v>
      </c>
    </row>
    <row r="830" spans="2:15" x14ac:dyDescent="0.3">
      <c r="B830" s="4">
        <v>3127</v>
      </c>
      <c r="C830" t="s">
        <v>14</v>
      </c>
      <c r="D830" t="s">
        <v>15</v>
      </c>
      <c r="E830" t="s">
        <v>11</v>
      </c>
      <c r="F830">
        <v>8</v>
      </c>
      <c r="G830" t="s">
        <v>40</v>
      </c>
      <c r="H830">
        <v>3</v>
      </c>
      <c r="L830" t="s">
        <v>13</v>
      </c>
      <c r="M830" t="s">
        <v>13</v>
      </c>
      <c r="N830" t="s">
        <v>13</v>
      </c>
      <c r="O830" s="5"/>
    </row>
    <row r="831" spans="2:15" x14ac:dyDescent="0.3">
      <c r="B831" s="4">
        <v>679</v>
      </c>
      <c r="C831" t="s">
        <v>67</v>
      </c>
      <c r="D831" t="s">
        <v>68</v>
      </c>
      <c r="E831" t="s">
        <v>69</v>
      </c>
      <c r="F831">
        <v>11</v>
      </c>
      <c r="G831" t="s">
        <v>30</v>
      </c>
      <c r="H831">
        <v>18</v>
      </c>
      <c r="L831" t="s">
        <v>18</v>
      </c>
      <c r="M831" t="s">
        <v>13</v>
      </c>
      <c r="O831" s="5"/>
    </row>
    <row r="832" spans="2:15" x14ac:dyDescent="0.3">
      <c r="B832" s="4">
        <v>362</v>
      </c>
      <c r="C832" t="s">
        <v>49</v>
      </c>
      <c r="D832" t="s">
        <v>50</v>
      </c>
      <c r="E832" t="s">
        <v>51</v>
      </c>
      <c r="F832">
        <v>3</v>
      </c>
      <c r="G832" t="s">
        <v>57</v>
      </c>
      <c r="H832">
        <v>10</v>
      </c>
      <c r="L832" t="s">
        <v>13</v>
      </c>
      <c r="M832" t="s">
        <v>19</v>
      </c>
      <c r="N832" t="s">
        <v>17</v>
      </c>
      <c r="O832" s="5"/>
    </row>
    <row r="833" spans="2:15" x14ac:dyDescent="0.3">
      <c r="B833" s="4">
        <v>896</v>
      </c>
      <c r="C833" t="s">
        <v>27</v>
      </c>
      <c r="D833" t="s">
        <v>28</v>
      </c>
      <c r="E833" t="s">
        <v>29</v>
      </c>
      <c r="F833">
        <v>6</v>
      </c>
      <c r="G833" t="s">
        <v>57</v>
      </c>
      <c r="H833">
        <v>10</v>
      </c>
      <c r="L833" t="s">
        <v>13</v>
      </c>
      <c r="M833" t="s">
        <v>13</v>
      </c>
      <c r="N833" t="s">
        <v>18</v>
      </c>
      <c r="O833" s="5" t="s">
        <v>17</v>
      </c>
    </row>
    <row r="834" spans="2:15" x14ac:dyDescent="0.3">
      <c r="B834" s="4">
        <v>700</v>
      </c>
      <c r="C834" t="s">
        <v>43</v>
      </c>
      <c r="D834" t="s">
        <v>44</v>
      </c>
      <c r="E834" t="s">
        <v>45</v>
      </c>
      <c r="F834">
        <v>5</v>
      </c>
      <c r="G834" t="s">
        <v>88</v>
      </c>
      <c r="H834">
        <v>12</v>
      </c>
      <c r="L834" t="s">
        <v>18</v>
      </c>
      <c r="M834" t="s">
        <v>18</v>
      </c>
      <c r="N834" t="s">
        <v>18</v>
      </c>
      <c r="O834" s="5"/>
    </row>
    <row r="835" spans="2:15" x14ac:dyDescent="0.3">
      <c r="B835" s="4">
        <v>429</v>
      </c>
      <c r="C835" t="s">
        <v>43</v>
      </c>
      <c r="D835" t="s">
        <v>44</v>
      </c>
      <c r="E835" t="s">
        <v>45</v>
      </c>
      <c r="F835">
        <v>5</v>
      </c>
      <c r="G835" t="s">
        <v>88</v>
      </c>
      <c r="H835">
        <v>12</v>
      </c>
      <c r="M835" t="s">
        <v>13</v>
      </c>
      <c r="N835" t="s">
        <v>18</v>
      </c>
      <c r="O835" s="5" t="s">
        <v>13</v>
      </c>
    </row>
    <row r="836" spans="2:15" x14ac:dyDescent="0.3">
      <c r="B836" s="4">
        <v>468</v>
      </c>
      <c r="C836" t="s">
        <v>46</v>
      </c>
      <c r="D836" t="s">
        <v>47</v>
      </c>
      <c r="E836" t="s">
        <v>11</v>
      </c>
      <c r="F836">
        <v>8</v>
      </c>
      <c r="G836" t="s">
        <v>16</v>
      </c>
      <c r="H836">
        <v>6</v>
      </c>
      <c r="M836" t="s">
        <v>18</v>
      </c>
      <c r="N836" t="s">
        <v>17</v>
      </c>
      <c r="O836" s="5"/>
    </row>
    <row r="837" spans="2:15" x14ac:dyDescent="0.3">
      <c r="B837" s="4">
        <v>486</v>
      </c>
      <c r="C837" t="s">
        <v>27</v>
      </c>
      <c r="D837" t="s">
        <v>28</v>
      </c>
      <c r="E837" t="s">
        <v>29</v>
      </c>
      <c r="F837">
        <v>6</v>
      </c>
      <c r="G837" t="s">
        <v>16</v>
      </c>
      <c r="H837">
        <v>6</v>
      </c>
      <c r="N837" t="s">
        <v>18</v>
      </c>
      <c r="O837" s="5" t="s">
        <v>18</v>
      </c>
    </row>
    <row r="838" spans="2:15" x14ac:dyDescent="0.3">
      <c r="B838" s="4">
        <v>51</v>
      </c>
      <c r="C838" t="s">
        <v>46</v>
      </c>
      <c r="D838" t="s">
        <v>47</v>
      </c>
      <c r="E838" t="s">
        <v>11</v>
      </c>
      <c r="F838">
        <v>8</v>
      </c>
      <c r="G838" t="s">
        <v>40</v>
      </c>
      <c r="H838">
        <v>3</v>
      </c>
      <c r="K838" t="s">
        <v>18</v>
      </c>
      <c r="L838" t="s">
        <v>33</v>
      </c>
      <c r="M838" t="s">
        <v>35</v>
      </c>
      <c r="O838" s="5"/>
    </row>
    <row r="839" spans="2:15" x14ac:dyDescent="0.3">
      <c r="B839" s="4">
        <v>444</v>
      </c>
      <c r="C839" t="s">
        <v>78</v>
      </c>
      <c r="D839" t="s">
        <v>79</v>
      </c>
      <c r="E839" t="s">
        <v>80</v>
      </c>
      <c r="F839">
        <v>10</v>
      </c>
      <c r="G839" t="s">
        <v>87</v>
      </c>
      <c r="H839">
        <v>9</v>
      </c>
      <c r="L839" t="s">
        <v>17</v>
      </c>
      <c r="M839" t="s">
        <v>17</v>
      </c>
      <c r="N839" t="s">
        <v>17</v>
      </c>
      <c r="O839" s="5" t="s">
        <v>17</v>
      </c>
    </row>
    <row r="840" spans="2:15" x14ac:dyDescent="0.3">
      <c r="B840" s="4">
        <v>363</v>
      </c>
      <c r="C840" t="s">
        <v>78</v>
      </c>
      <c r="D840" t="s">
        <v>79</v>
      </c>
      <c r="E840" t="s">
        <v>80</v>
      </c>
      <c r="F840">
        <v>10</v>
      </c>
      <c r="G840" t="s">
        <v>87</v>
      </c>
      <c r="H840">
        <v>9</v>
      </c>
      <c r="L840" t="s">
        <v>17</v>
      </c>
      <c r="M840" t="s">
        <v>19</v>
      </c>
      <c r="O840" s="5"/>
    </row>
    <row r="841" spans="2:15" x14ac:dyDescent="0.3">
      <c r="B841" s="4">
        <v>577</v>
      </c>
      <c r="C841" t="s">
        <v>46</v>
      </c>
      <c r="D841" t="s">
        <v>47</v>
      </c>
      <c r="E841" t="s">
        <v>11</v>
      </c>
      <c r="F841">
        <v>8</v>
      </c>
      <c r="G841" t="s">
        <v>26</v>
      </c>
      <c r="H841">
        <v>4</v>
      </c>
      <c r="N841" t="s">
        <v>18</v>
      </c>
      <c r="O841" s="5" t="s">
        <v>18</v>
      </c>
    </row>
    <row r="842" spans="2:15" x14ac:dyDescent="0.3">
      <c r="B842" s="4">
        <v>1008</v>
      </c>
      <c r="C842" t="s">
        <v>46</v>
      </c>
      <c r="D842" t="s">
        <v>47</v>
      </c>
      <c r="E842" t="s">
        <v>11</v>
      </c>
      <c r="F842">
        <v>8</v>
      </c>
      <c r="G842" t="s">
        <v>26</v>
      </c>
      <c r="H842">
        <v>4</v>
      </c>
      <c r="L842" t="s">
        <v>13</v>
      </c>
      <c r="M842" t="s">
        <v>17</v>
      </c>
      <c r="N842" t="s">
        <v>17</v>
      </c>
      <c r="O842" s="5"/>
    </row>
    <row r="843" spans="2:15" x14ac:dyDescent="0.3">
      <c r="B843" s="4">
        <v>1497</v>
      </c>
      <c r="C843" t="s">
        <v>23</v>
      </c>
      <c r="D843" t="s">
        <v>24</v>
      </c>
      <c r="E843" t="s">
        <v>25</v>
      </c>
      <c r="F843">
        <v>1</v>
      </c>
      <c r="G843" t="s">
        <v>12</v>
      </c>
      <c r="H843">
        <v>7</v>
      </c>
      <c r="M843" t="s">
        <v>18</v>
      </c>
      <c r="N843" t="s">
        <v>18</v>
      </c>
      <c r="O843" s="5" t="s">
        <v>13</v>
      </c>
    </row>
    <row r="844" spans="2:15" x14ac:dyDescent="0.3">
      <c r="B844" s="4">
        <v>1116</v>
      </c>
      <c r="C844" t="s">
        <v>41</v>
      </c>
      <c r="D844" t="s">
        <v>42</v>
      </c>
      <c r="E844" t="s">
        <v>11</v>
      </c>
      <c r="F844">
        <v>8</v>
      </c>
      <c r="G844" t="s">
        <v>30</v>
      </c>
      <c r="H844">
        <v>18</v>
      </c>
      <c r="L844" t="s">
        <v>18</v>
      </c>
      <c r="M844" t="s">
        <v>17</v>
      </c>
      <c r="N844" t="s">
        <v>17</v>
      </c>
      <c r="O844" s="5" t="s">
        <v>18</v>
      </c>
    </row>
    <row r="845" spans="2:15" x14ac:dyDescent="0.3">
      <c r="B845" s="4">
        <v>533</v>
      </c>
      <c r="C845" t="s">
        <v>31</v>
      </c>
      <c r="D845" t="s">
        <v>32</v>
      </c>
      <c r="E845" t="s">
        <v>11</v>
      </c>
      <c r="F845">
        <v>8</v>
      </c>
      <c r="G845" t="s">
        <v>30</v>
      </c>
      <c r="H845">
        <v>18</v>
      </c>
      <c r="I845" t="s">
        <v>13</v>
      </c>
      <c r="J845" t="s">
        <v>13</v>
      </c>
      <c r="L845" t="s">
        <v>13</v>
      </c>
      <c r="M845" t="s">
        <v>13</v>
      </c>
      <c r="O845" s="5"/>
    </row>
    <row r="846" spans="2:15" x14ac:dyDescent="0.3">
      <c r="B846" s="4">
        <v>1192</v>
      </c>
      <c r="C846" t="s">
        <v>36</v>
      </c>
      <c r="D846" t="s">
        <v>37</v>
      </c>
      <c r="E846" t="s">
        <v>11</v>
      </c>
      <c r="F846">
        <v>8</v>
      </c>
      <c r="G846" t="s">
        <v>30</v>
      </c>
      <c r="H846">
        <v>18</v>
      </c>
      <c r="K846" t="s">
        <v>13</v>
      </c>
      <c r="L846" t="s">
        <v>18</v>
      </c>
      <c r="M846" t="s">
        <v>17</v>
      </c>
      <c r="N846" t="s">
        <v>13</v>
      </c>
      <c r="O846" s="5" t="s">
        <v>18</v>
      </c>
    </row>
    <row r="847" spans="2:15" x14ac:dyDescent="0.3">
      <c r="B847" s="4">
        <v>1525</v>
      </c>
      <c r="C847" t="s">
        <v>108</v>
      </c>
      <c r="D847" t="s">
        <v>109</v>
      </c>
      <c r="E847" t="s">
        <v>77</v>
      </c>
      <c r="F847">
        <v>7</v>
      </c>
      <c r="G847" t="s">
        <v>54</v>
      </c>
      <c r="H847">
        <v>8</v>
      </c>
      <c r="N847" t="s">
        <v>13</v>
      </c>
      <c r="O847" s="5" t="s">
        <v>13</v>
      </c>
    </row>
    <row r="848" spans="2:15" x14ac:dyDescent="0.3">
      <c r="B848" s="4">
        <v>1382</v>
      </c>
      <c r="C848" t="s">
        <v>41</v>
      </c>
      <c r="D848" t="s">
        <v>42</v>
      </c>
      <c r="E848" t="s">
        <v>11</v>
      </c>
      <c r="F848">
        <v>8</v>
      </c>
      <c r="G848" t="s">
        <v>55</v>
      </c>
      <c r="H848">
        <v>2</v>
      </c>
      <c r="M848" t="s">
        <v>13</v>
      </c>
      <c r="N848" t="s">
        <v>19</v>
      </c>
      <c r="O848" s="5" t="s">
        <v>19</v>
      </c>
    </row>
    <row r="849" spans="2:15" x14ac:dyDescent="0.3">
      <c r="B849" s="4">
        <v>2910</v>
      </c>
      <c r="C849" t="s">
        <v>14</v>
      </c>
      <c r="D849" t="s">
        <v>15</v>
      </c>
      <c r="E849" t="s">
        <v>11</v>
      </c>
      <c r="F849">
        <v>8</v>
      </c>
      <c r="G849" t="s">
        <v>55</v>
      </c>
      <c r="H849">
        <v>2</v>
      </c>
      <c r="L849" t="s">
        <v>17</v>
      </c>
      <c r="M849" t="s">
        <v>18</v>
      </c>
      <c r="N849" t="s">
        <v>18</v>
      </c>
      <c r="O849" s="5"/>
    </row>
    <row r="850" spans="2:15" x14ac:dyDescent="0.3">
      <c r="B850" s="4">
        <v>2381</v>
      </c>
      <c r="C850" t="s">
        <v>14</v>
      </c>
      <c r="D850" t="s">
        <v>15</v>
      </c>
      <c r="E850" t="s">
        <v>11</v>
      </c>
      <c r="F850">
        <v>8</v>
      </c>
      <c r="G850" t="s">
        <v>58</v>
      </c>
      <c r="H850">
        <v>17</v>
      </c>
      <c r="N850" t="s">
        <v>18</v>
      </c>
      <c r="O850" s="5" t="s">
        <v>18</v>
      </c>
    </row>
    <row r="851" spans="2:15" x14ac:dyDescent="0.3">
      <c r="B851" s="4">
        <v>3566</v>
      </c>
      <c r="C851" t="s">
        <v>36</v>
      </c>
      <c r="D851" t="s">
        <v>37</v>
      </c>
      <c r="E851" t="s">
        <v>11</v>
      </c>
      <c r="F851">
        <v>8</v>
      </c>
      <c r="G851" t="s">
        <v>58</v>
      </c>
      <c r="H851">
        <v>17</v>
      </c>
      <c r="N851" t="s">
        <v>13</v>
      </c>
      <c r="O851" s="5" t="s">
        <v>13</v>
      </c>
    </row>
    <row r="852" spans="2:15" x14ac:dyDescent="0.3">
      <c r="B852" s="4">
        <v>1503</v>
      </c>
      <c r="C852" t="s">
        <v>59</v>
      </c>
      <c r="D852" t="s">
        <v>60</v>
      </c>
      <c r="E852" t="s">
        <v>11</v>
      </c>
      <c r="F852">
        <v>8</v>
      </c>
      <c r="G852" t="s">
        <v>58</v>
      </c>
      <c r="H852">
        <v>17</v>
      </c>
      <c r="N852" t="s">
        <v>18</v>
      </c>
      <c r="O852" s="5" t="s">
        <v>13</v>
      </c>
    </row>
    <row r="853" spans="2:15" x14ac:dyDescent="0.3">
      <c r="B853" s="4">
        <v>2326</v>
      </c>
      <c r="C853" t="s">
        <v>72</v>
      </c>
      <c r="D853" t="s">
        <v>73</v>
      </c>
      <c r="E853" t="s">
        <v>11</v>
      </c>
      <c r="F853">
        <v>8</v>
      </c>
      <c r="G853" t="s">
        <v>58</v>
      </c>
      <c r="H853">
        <v>17</v>
      </c>
      <c r="N853" t="s">
        <v>17</v>
      </c>
      <c r="O853" s="5" t="s">
        <v>13</v>
      </c>
    </row>
    <row r="854" spans="2:15" x14ac:dyDescent="0.3">
      <c r="B854" s="4">
        <v>1278</v>
      </c>
      <c r="C854" t="s">
        <v>78</v>
      </c>
      <c r="D854" t="s">
        <v>79</v>
      </c>
      <c r="E854" t="s">
        <v>80</v>
      </c>
      <c r="F854">
        <v>10</v>
      </c>
      <c r="G854" t="s">
        <v>55</v>
      </c>
      <c r="H854">
        <v>2</v>
      </c>
      <c r="N854" t="s">
        <v>19</v>
      </c>
      <c r="O854" s="5" t="s">
        <v>52</v>
      </c>
    </row>
    <row r="855" spans="2:15" x14ac:dyDescent="0.3">
      <c r="B855" s="4">
        <v>340</v>
      </c>
      <c r="C855" t="s">
        <v>49</v>
      </c>
      <c r="D855" t="s">
        <v>50</v>
      </c>
      <c r="E855" t="s">
        <v>51</v>
      </c>
      <c r="F855">
        <v>3</v>
      </c>
      <c r="G855" t="s">
        <v>55</v>
      </c>
      <c r="H855">
        <v>2</v>
      </c>
      <c r="N855" t="s">
        <v>13</v>
      </c>
      <c r="O855" s="5" t="s">
        <v>13</v>
      </c>
    </row>
    <row r="856" spans="2:15" x14ac:dyDescent="0.3">
      <c r="B856" s="4">
        <v>202</v>
      </c>
      <c r="C856" t="s">
        <v>94</v>
      </c>
      <c r="D856" t="s">
        <v>95</v>
      </c>
      <c r="E856" t="s">
        <v>96</v>
      </c>
      <c r="F856">
        <v>13</v>
      </c>
      <c r="G856" t="s">
        <v>66</v>
      </c>
      <c r="H856">
        <v>5</v>
      </c>
      <c r="J856" t="s">
        <v>18</v>
      </c>
      <c r="K856" t="s">
        <v>18</v>
      </c>
      <c r="L856" t="s">
        <v>18</v>
      </c>
      <c r="O856" s="5"/>
    </row>
    <row r="857" spans="2:15" x14ac:dyDescent="0.3">
      <c r="B857" s="4">
        <v>1453</v>
      </c>
      <c r="C857" t="s">
        <v>9</v>
      </c>
      <c r="D857" t="s">
        <v>10</v>
      </c>
      <c r="E857" t="s">
        <v>11</v>
      </c>
      <c r="F857">
        <v>8</v>
      </c>
      <c r="G857" t="s">
        <v>66</v>
      </c>
      <c r="H857">
        <v>5</v>
      </c>
      <c r="N857" t="s">
        <v>17</v>
      </c>
      <c r="O857" s="5" t="s">
        <v>13</v>
      </c>
    </row>
    <row r="858" spans="2:15" x14ac:dyDescent="0.3">
      <c r="B858" s="4">
        <v>1856</v>
      </c>
      <c r="C858" t="s">
        <v>82</v>
      </c>
      <c r="D858" t="s">
        <v>83</v>
      </c>
      <c r="E858" t="s">
        <v>11</v>
      </c>
      <c r="F858">
        <v>8</v>
      </c>
      <c r="G858" t="s">
        <v>89</v>
      </c>
      <c r="H858">
        <v>11</v>
      </c>
      <c r="N858" t="s">
        <v>18</v>
      </c>
      <c r="O858" s="5" t="s">
        <v>18</v>
      </c>
    </row>
    <row r="859" spans="2:15" x14ac:dyDescent="0.3">
      <c r="B859" s="4">
        <v>706</v>
      </c>
      <c r="C859" t="s">
        <v>61</v>
      </c>
      <c r="D859" t="s">
        <v>62</v>
      </c>
      <c r="E859" t="s">
        <v>11</v>
      </c>
      <c r="F859">
        <v>8</v>
      </c>
      <c r="G859" t="s">
        <v>89</v>
      </c>
      <c r="H859">
        <v>11</v>
      </c>
      <c r="L859" t="s">
        <v>19</v>
      </c>
      <c r="M859" t="s">
        <v>19</v>
      </c>
      <c r="N859" t="s">
        <v>17</v>
      </c>
      <c r="O859" s="5"/>
    </row>
    <row r="860" spans="2:15" x14ac:dyDescent="0.3">
      <c r="B860" s="4">
        <v>435</v>
      </c>
      <c r="C860" t="s">
        <v>9</v>
      </c>
      <c r="D860" t="s">
        <v>10</v>
      </c>
      <c r="E860" t="s">
        <v>11</v>
      </c>
      <c r="F860">
        <v>8</v>
      </c>
      <c r="G860" t="s">
        <v>89</v>
      </c>
      <c r="H860">
        <v>11</v>
      </c>
      <c r="M860" t="s">
        <v>19</v>
      </c>
      <c r="N860" t="s">
        <v>19</v>
      </c>
      <c r="O860" s="5" t="s">
        <v>17</v>
      </c>
    </row>
    <row r="861" spans="2:15" x14ac:dyDescent="0.3">
      <c r="B861" s="4">
        <v>324</v>
      </c>
      <c r="C861" t="s">
        <v>43</v>
      </c>
      <c r="D861" t="s">
        <v>44</v>
      </c>
      <c r="E861" t="s">
        <v>45</v>
      </c>
      <c r="F861">
        <v>5</v>
      </c>
      <c r="G861" t="s">
        <v>16</v>
      </c>
      <c r="H861">
        <v>6</v>
      </c>
      <c r="M861" t="s">
        <v>17</v>
      </c>
      <c r="N861" t="s">
        <v>17</v>
      </c>
      <c r="O861" s="5" t="s">
        <v>18</v>
      </c>
    </row>
    <row r="862" spans="2:15" x14ac:dyDescent="0.3">
      <c r="B862" s="4">
        <v>2773</v>
      </c>
      <c r="C862" t="s">
        <v>92</v>
      </c>
      <c r="D862" t="s">
        <v>93</v>
      </c>
      <c r="E862" t="s">
        <v>11</v>
      </c>
      <c r="F862">
        <v>8</v>
      </c>
      <c r="G862" t="s">
        <v>40</v>
      </c>
      <c r="H862">
        <v>3</v>
      </c>
      <c r="J862" t="s">
        <v>33</v>
      </c>
      <c r="K862" t="s">
        <v>33</v>
      </c>
      <c r="L862" t="s">
        <v>17</v>
      </c>
      <c r="M862" t="s">
        <v>18</v>
      </c>
      <c r="N862" t="s">
        <v>18</v>
      </c>
      <c r="O862" s="5" t="s">
        <v>18</v>
      </c>
    </row>
    <row r="863" spans="2:15" x14ac:dyDescent="0.3">
      <c r="B863" s="4">
        <v>60</v>
      </c>
      <c r="C863" t="s">
        <v>61</v>
      </c>
      <c r="D863" t="s">
        <v>62</v>
      </c>
      <c r="E863" t="s">
        <v>11</v>
      </c>
      <c r="F863">
        <v>8</v>
      </c>
      <c r="G863" t="s">
        <v>16</v>
      </c>
      <c r="H863">
        <v>6</v>
      </c>
      <c r="M863" t="s">
        <v>13</v>
      </c>
      <c r="N863" t="s">
        <v>13</v>
      </c>
      <c r="O863" s="5" t="s">
        <v>13</v>
      </c>
    </row>
    <row r="864" spans="2:15" x14ac:dyDescent="0.3">
      <c r="B864" s="4">
        <v>529</v>
      </c>
      <c r="C864" t="s">
        <v>49</v>
      </c>
      <c r="D864" t="s">
        <v>50</v>
      </c>
      <c r="E864" t="s">
        <v>51</v>
      </c>
      <c r="F864">
        <v>3</v>
      </c>
      <c r="G864" t="s">
        <v>40</v>
      </c>
      <c r="H864">
        <v>3</v>
      </c>
      <c r="J864" t="s">
        <v>33</v>
      </c>
      <c r="K864" t="s">
        <v>19</v>
      </c>
      <c r="L864" t="s">
        <v>33</v>
      </c>
      <c r="M864" t="s">
        <v>19</v>
      </c>
      <c r="N864" t="s">
        <v>19</v>
      </c>
      <c r="O864" s="5" t="s">
        <v>17</v>
      </c>
    </row>
    <row r="865" spans="2:15" x14ac:dyDescent="0.3">
      <c r="B865" s="4">
        <v>748</v>
      </c>
      <c r="C865" t="s">
        <v>9</v>
      </c>
      <c r="D865" t="s">
        <v>10</v>
      </c>
      <c r="E865" t="s">
        <v>11</v>
      </c>
      <c r="F865">
        <v>8</v>
      </c>
      <c r="G865" t="s">
        <v>16</v>
      </c>
      <c r="H865">
        <v>6</v>
      </c>
      <c r="I865" t="s">
        <v>18</v>
      </c>
      <c r="J865" t="s">
        <v>13</v>
      </c>
      <c r="K865" t="s">
        <v>13</v>
      </c>
      <c r="L865" t="s">
        <v>18</v>
      </c>
      <c r="M865" t="s">
        <v>19</v>
      </c>
      <c r="N865" t="s">
        <v>17</v>
      </c>
      <c r="O865" s="5"/>
    </row>
    <row r="866" spans="2:15" x14ac:dyDescent="0.3">
      <c r="B866" s="4">
        <v>1146</v>
      </c>
      <c r="C866" t="s">
        <v>98</v>
      </c>
      <c r="D866" t="s">
        <v>99</v>
      </c>
      <c r="E866" t="s">
        <v>77</v>
      </c>
      <c r="F866">
        <v>7</v>
      </c>
      <c r="G866" t="s">
        <v>16</v>
      </c>
      <c r="H866">
        <v>6</v>
      </c>
      <c r="L866" t="s">
        <v>17</v>
      </c>
      <c r="M866" t="s">
        <v>19</v>
      </c>
      <c r="N866" t="s">
        <v>19</v>
      </c>
      <c r="O866" s="5" t="s">
        <v>52</v>
      </c>
    </row>
    <row r="867" spans="2:15" x14ac:dyDescent="0.3">
      <c r="B867" s="4">
        <v>856</v>
      </c>
      <c r="C867" t="s">
        <v>94</v>
      </c>
      <c r="D867" t="s">
        <v>95</v>
      </c>
      <c r="E867" t="s">
        <v>96</v>
      </c>
      <c r="F867">
        <v>13</v>
      </c>
      <c r="G867" t="s">
        <v>16</v>
      </c>
      <c r="H867">
        <v>6</v>
      </c>
      <c r="K867" t="s">
        <v>17</v>
      </c>
      <c r="L867" t="s">
        <v>34</v>
      </c>
      <c r="M867" t="s">
        <v>19</v>
      </c>
      <c r="N867" t="s">
        <v>52</v>
      </c>
      <c r="O867" s="5"/>
    </row>
    <row r="868" spans="2:15" x14ac:dyDescent="0.3">
      <c r="B868" s="4">
        <v>61</v>
      </c>
      <c r="C868" t="s">
        <v>100</v>
      </c>
      <c r="D868" t="s">
        <v>101</v>
      </c>
      <c r="E868" t="s">
        <v>102</v>
      </c>
      <c r="F868">
        <v>4</v>
      </c>
      <c r="G868" t="s">
        <v>48</v>
      </c>
      <c r="H868">
        <v>16</v>
      </c>
      <c r="I868" t="s">
        <v>13</v>
      </c>
      <c r="J868" t="s">
        <v>17</v>
      </c>
      <c r="K868" t="s">
        <v>17</v>
      </c>
      <c r="L868" t="s">
        <v>13</v>
      </c>
      <c r="O868" s="5"/>
    </row>
    <row r="869" spans="2:15" x14ac:dyDescent="0.3">
      <c r="B869" s="4">
        <v>46</v>
      </c>
      <c r="C869" t="s">
        <v>49</v>
      </c>
      <c r="D869" t="s">
        <v>50</v>
      </c>
      <c r="E869" t="s">
        <v>51</v>
      </c>
      <c r="F869">
        <v>3</v>
      </c>
      <c r="G869" t="s">
        <v>48</v>
      </c>
      <c r="H869">
        <v>16</v>
      </c>
      <c r="M869" t="s">
        <v>19</v>
      </c>
      <c r="N869" t="s">
        <v>19</v>
      </c>
      <c r="O869" s="5" t="s">
        <v>19</v>
      </c>
    </row>
    <row r="870" spans="2:15" x14ac:dyDescent="0.3">
      <c r="B870" s="4">
        <v>8</v>
      </c>
      <c r="C870" t="s">
        <v>49</v>
      </c>
      <c r="D870" t="s">
        <v>50</v>
      </c>
      <c r="E870" t="s">
        <v>51</v>
      </c>
      <c r="F870">
        <v>3</v>
      </c>
      <c r="G870" t="s">
        <v>48</v>
      </c>
      <c r="H870">
        <v>16</v>
      </c>
      <c r="I870" t="s">
        <v>18</v>
      </c>
      <c r="J870" t="s">
        <v>18</v>
      </c>
      <c r="K870" t="s">
        <v>18</v>
      </c>
      <c r="L870" t="s">
        <v>18</v>
      </c>
      <c r="O870" s="5"/>
    </row>
    <row r="871" spans="2:15" x14ac:dyDescent="0.3">
      <c r="B871" s="4">
        <v>5</v>
      </c>
      <c r="C871" t="s">
        <v>46</v>
      </c>
      <c r="D871" t="s">
        <v>47</v>
      </c>
      <c r="E871" t="s">
        <v>11</v>
      </c>
      <c r="F871">
        <v>8</v>
      </c>
      <c r="G871" t="s">
        <v>22</v>
      </c>
      <c r="H871">
        <v>1</v>
      </c>
      <c r="I871" t="s">
        <v>18</v>
      </c>
      <c r="J871" t="s">
        <v>17</v>
      </c>
      <c r="K871" t="s">
        <v>13</v>
      </c>
      <c r="L871" t="s">
        <v>17</v>
      </c>
      <c r="M871" t="s">
        <v>13</v>
      </c>
      <c r="N871" t="s">
        <v>13</v>
      </c>
      <c r="O871" s="5" t="s">
        <v>18</v>
      </c>
    </row>
    <row r="872" spans="2:15" x14ac:dyDescent="0.3">
      <c r="B872" s="4">
        <v>2</v>
      </c>
      <c r="C872" t="s">
        <v>46</v>
      </c>
      <c r="D872" t="s">
        <v>47</v>
      </c>
      <c r="E872" t="s">
        <v>11</v>
      </c>
      <c r="F872">
        <v>8</v>
      </c>
      <c r="G872" t="s">
        <v>16</v>
      </c>
      <c r="H872">
        <v>6</v>
      </c>
      <c r="I872" t="s">
        <v>19</v>
      </c>
      <c r="J872" t="s">
        <v>19</v>
      </c>
      <c r="K872" t="s">
        <v>17</v>
      </c>
      <c r="L872" t="s">
        <v>17</v>
      </c>
      <c r="M872" t="s">
        <v>17</v>
      </c>
      <c r="O872" s="5"/>
    </row>
    <row r="873" spans="2:15" x14ac:dyDescent="0.3">
      <c r="B873" s="4">
        <v>153</v>
      </c>
      <c r="C873" t="s">
        <v>14</v>
      </c>
      <c r="D873" t="s">
        <v>15</v>
      </c>
      <c r="E873" t="s">
        <v>11</v>
      </c>
      <c r="F873">
        <v>8</v>
      </c>
      <c r="G873" t="s">
        <v>26</v>
      </c>
      <c r="H873">
        <v>4</v>
      </c>
      <c r="I873" t="s">
        <v>18</v>
      </c>
      <c r="J873" t="s">
        <v>18</v>
      </c>
      <c r="K873" t="s">
        <v>13</v>
      </c>
      <c r="L873" t="s">
        <v>18</v>
      </c>
      <c r="O873" s="5"/>
    </row>
    <row r="874" spans="2:15" x14ac:dyDescent="0.3">
      <c r="B874" s="4">
        <v>1799</v>
      </c>
      <c r="C874" t="s">
        <v>72</v>
      </c>
      <c r="D874" t="s">
        <v>73</v>
      </c>
      <c r="E874" t="s">
        <v>11</v>
      </c>
      <c r="F874">
        <v>8</v>
      </c>
      <c r="G874" t="s">
        <v>111</v>
      </c>
      <c r="H874">
        <v>14</v>
      </c>
      <c r="K874" t="s">
        <v>13</v>
      </c>
      <c r="L874" t="s">
        <v>13</v>
      </c>
      <c r="M874" t="s">
        <v>17</v>
      </c>
      <c r="N874" t="s">
        <v>18</v>
      </c>
      <c r="O874" s="5" t="s">
        <v>13</v>
      </c>
    </row>
    <row r="875" spans="2:15" x14ac:dyDescent="0.3">
      <c r="B875" s="4">
        <v>220</v>
      </c>
      <c r="C875" t="s">
        <v>70</v>
      </c>
      <c r="D875" t="s">
        <v>71</v>
      </c>
      <c r="E875" t="s">
        <v>11</v>
      </c>
      <c r="F875">
        <v>8</v>
      </c>
      <c r="G875" t="s">
        <v>22</v>
      </c>
      <c r="H875">
        <v>1</v>
      </c>
      <c r="M875" t="s">
        <v>13</v>
      </c>
      <c r="N875" t="s">
        <v>13</v>
      </c>
      <c r="O875" s="5" t="s">
        <v>18</v>
      </c>
    </row>
    <row r="876" spans="2:15" x14ac:dyDescent="0.3">
      <c r="B876" s="4">
        <v>1630</v>
      </c>
      <c r="C876" t="s">
        <v>46</v>
      </c>
      <c r="D876" t="s">
        <v>47</v>
      </c>
      <c r="E876" t="s">
        <v>11</v>
      </c>
      <c r="F876">
        <v>8</v>
      </c>
      <c r="G876" t="s">
        <v>22</v>
      </c>
      <c r="H876">
        <v>1</v>
      </c>
      <c r="M876" t="s">
        <v>17</v>
      </c>
      <c r="N876" t="s">
        <v>17</v>
      </c>
      <c r="O876" s="5" t="s">
        <v>19</v>
      </c>
    </row>
    <row r="877" spans="2:15" x14ac:dyDescent="0.3">
      <c r="B877" s="4">
        <v>212</v>
      </c>
      <c r="C877" t="s">
        <v>46</v>
      </c>
      <c r="D877" t="s">
        <v>47</v>
      </c>
      <c r="E877" t="s">
        <v>11</v>
      </c>
      <c r="F877">
        <v>8</v>
      </c>
      <c r="G877" t="s">
        <v>30</v>
      </c>
      <c r="H877">
        <v>18</v>
      </c>
      <c r="L877" t="s">
        <v>17</v>
      </c>
      <c r="M877" t="s">
        <v>18</v>
      </c>
      <c r="O877" s="5"/>
    </row>
    <row r="878" spans="2:15" x14ac:dyDescent="0.3">
      <c r="B878" s="4">
        <v>3317</v>
      </c>
      <c r="C878" t="s">
        <v>14</v>
      </c>
      <c r="D878" t="s">
        <v>15</v>
      </c>
      <c r="E878" t="s">
        <v>11</v>
      </c>
      <c r="F878">
        <v>8</v>
      </c>
      <c r="G878" t="s">
        <v>30</v>
      </c>
      <c r="H878">
        <v>18</v>
      </c>
      <c r="N878" t="s">
        <v>18</v>
      </c>
      <c r="O878" s="5" t="s">
        <v>18</v>
      </c>
    </row>
    <row r="879" spans="2:15" x14ac:dyDescent="0.3">
      <c r="B879" s="4">
        <v>103</v>
      </c>
      <c r="C879" t="s">
        <v>14</v>
      </c>
      <c r="D879" t="s">
        <v>15</v>
      </c>
      <c r="E879" t="s">
        <v>11</v>
      </c>
      <c r="F879">
        <v>8</v>
      </c>
      <c r="G879" t="s">
        <v>58</v>
      </c>
      <c r="H879">
        <v>17</v>
      </c>
      <c r="L879" t="s">
        <v>13</v>
      </c>
      <c r="M879" t="s">
        <v>13</v>
      </c>
      <c r="N879" t="s">
        <v>18</v>
      </c>
      <c r="O879" s="5" t="s">
        <v>13</v>
      </c>
    </row>
    <row r="880" spans="2:15" x14ac:dyDescent="0.3">
      <c r="B880" s="4">
        <v>313</v>
      </c>
      <c r="C880" t="s">
        <v>46</v>
      </c>
      <c r="D880" t="s">
        <v>47</v>
      </c>
      <c r="E880" t="s">
        <v>11</v>
      </c>
      <c r="F880">
        <v>8</v>
      </c>
      <c r="G880" t="s">
        <v>58</v>
      </c>
      <c r="H880">
        <v>17</v>
      </c>
      <c r="I880" t="s">
        <v>17</v>
      </c>
      <c r="J880" t="s">
        <v>17</v>
      </c>
      <c r="K880" t="s">
        <v>18</v>
      </c>
      <c r="L880" t="s">
        <v>13</v>
      </c>
      <c r="M880" t="s">
        <v>13</v>
      </c>
      <c r="N880" t="s">
        <v>18</v>
      </c>
      <c r="O880" s="5" t="s">
        <v>17</v>
      </c>
    </row>
    <row r="881" spans="2:15" x14ac:dyDescent="0.3">
      <c r="B881" s="4">
        <v>1264</v>
      </c>
      <c r="C881" t="s">
        <v>14</v>
      </c>
      <c r="D881" t="s">
        <v>15</v>
      </c>
      <c r="E881" t="s">
        <v>11</v>
      </c>
      <c r="F881">
        <v>8</v>
      </c>
      <c r="G881" t="s">
        <v>58</v>
      </c>
      <c r="H881">
        <v>17</v>
      </c>
      <c r="J881" t="s">
        <v>13</v>
      </c>
      <c r="K881" t="s">
        <v>18</v>
      </c>
      <c r="L881" t="s">
        <v>13</v>
      </c>
      <c r="M881" t="s">
        <v>18</v>
      </c>
      <c r="N881" t="s">
        <v>13</v>
      </c>
      <c r="O881" s="5" t="s">
        <v>18</v>
      </c>
    </row>
    <row r="882" spans="2:15" x14ac:dyDescent="0.3">
      <c r="B882" s="4">
        <v>1629</v>
      </c>
      <c r="C882" t="s">
        <v>46</v>
      </c>
      <c r="D882" t="s">
        <v>47</v>
      </c>
      <c r="E882" t="s">
        <v>11</v>
      </c>
      <c r="F882">
        <v>8</v>
      </c>
      <c r="G882" t="s">
        <v>81</v>
      </c>
      <c r="H882">
        <v>7</v>
      </c>
      <c r="N882" t="s">
        <v>18</v>
      </c>
      <c r="O882" s="5" t="s">
        <v>17</v>
      </c>
    </row>
    <row r="883" spans="2:15" x14ac:dyDescent="0.3">
      <c r="B883" s="4">
        <v>790</v>
      </c>
      <c r="C883" t="s">
        <v>14</v>
      </c>
      <c r="D883" t="s">
        <v>15</v>
      </c>
      <c r="E883" t="s">
        <v>11</v>
      </c>
      <c r="F883">
        <v>8</v>
      </c>
      <c r="G883" t="s">
        <v>89</v>
      </c>
      <c r="H883">
        <v>11</v>
      </c>
      <c r="J883" t="s">
        <v>13</v>
      </c>
      <c r="K883" t="s">
        <v>13</v>
      </c>
      <c r="L883" t="s">
        <v>13</v>
      </c>
      <c r="M883" t="s">
        <v>13</v>
      </c>
      <c r="N883" t="s">
        <v>18</v>
      </c>
      <c r="O883" s="5" t="s">
        <v>13</v>
      </c>
    </row>
    <row r="884" spans="2:15" x14ac:dyDescent="0.3">
      <c r="B884" s="4">
        <v>99</v>
      </c>
      <c r="C884" t="s">
        <v>46</v>
      </c>
      <c r="D884" t="s">
        <v>47</v>
      </c>
      <c r="E884" t="s">
        <v>11</v>
      </c>
      <c r="F884">
        <v>8</v>
      </c>
      <c r="G884" t="s">
        <v>89</v>
      </c>
      <c r="H884">
        <v>11</v>
      </c>
      <c r="L884" t="s">
        <v>13</v>
      </c>
      <c r="M884" t="s">
        <v>13</v>
      </c>
      <c r="O884" s="5"/>
    </row>
    <row r="885" spans="2:15" x14ac:dyDescent="0.3">
      <c r="B885" s="4">
        <v>1860</v>
      </c>
      <c r="C885" t="s">
        <v>9</v>
      </c>
      <c r="D885" t="s">
        <v>10</v>
      </c>
      <c r="E885" t="s">
        <v>11</v>
      </c>
      <c r="F885">
        <v>8</v>
      </c>
      <c r="G885" t="s">
        <v>30</v>
      </c>
      <c r="H885">
        <v>18</v>
      </c>
      <c r="N885" t="s">
        <v>18</v>
      </c>
      <c r="O885" s="5" t="s">
        <v>18</v>
      </c>
    </row>
    <row r="886" spans="2:15" x14ac:dyDescent="0.3">
      <c r="B886" s="4">
        <v>55</v>
      </c>
      <c r="C886" t="s">
        <v>9</v>
      </c>
      <c r="D886" t="s">
        <v>10</v>
      </c>
      <c r="E886" t="s">
        <v>11</v>
      </c>
      <c r="F886">
        <v>8</v>
      </c>
      <c r="G886" t="s">
        <v>30</v>
      </c>
      <c r="H886">
        <v>18</v>
      </c>
      <c r="L886" t="s">
        <v>17</v>
      </c>
      <c r="M886" t="s">
        <v>18</v>
      </c>
      <c r="N886" t="s">
        <v>18</v>
      </c>
      <c r="O886" s="5" t="s">
        <v>18</v>
      </c>
    </row>
    <row r="887" spans="2:15" x14ac:dyDescent="0.3">
      <c r="B887" s="4">
        <v>1768</v>
      </c>
      <c r="C887" t="s">
        <v>61</v>
      </c>
      <c r="D887" t="s">
        <v>62</v>
      </c>
      <c r="E887" t="s">
        <v>11</v>
      </c>
      <c r="F887">
        <v>8</v>
      </c>
      <c r="G887" t="s">
        <v>54</v>
      </c>
      <c r="H887">
        <v>8</v>
      </c>
      <c r="I887" t="s">
        <v>13</v>
      </c>
      <c r="J887" t="s">
        <v>13</v>
      </c>
      <c r="K887" t="s">
        <v>13</v>
      </c>
      <c r="O887" s="5"/>
    </row>
    <row r="888" spans="2:15" x14ac:dyDescent="0.3">
      <c r="B888" s="4">
        <v>805</v>
      </c>
      <c r="C888" t="s">
        <v>61</v>
      </c>
      <c r="D888" t="s">
        <v>62</v>
      </c>
      <c r="E888" t="s">
        <v>11</v>
      </c>
      <c r="F888">
        <v>8</v>
      </c>
      <c r="G888" t="s">
        <v>58</v>
      </c>
      <c r="H888">
        <v>17</v>
      </c>
      <c r="I888" t="s">
        <v>13</v>
      </c>
      <c r="J888" t="s">
        <v>13</v>
      </c>
      <c r="L888" t="s">
        <v>13</v>
      </c>
      <c r="M888" t="s">
        <v>13</v>
      </c>
      <c r="O888" s="5"/>
    </row>
    <row r="889" spans="2:15" x14ac:dyDescent="0.3">
      <c r="B889" s="4">
        <v>2725</v>
      </c>
      <c r="C889" t="s">
        <v>61</v>
      </c>
      <c r="D889" t="s">
        <v>62</v>
      </c>
      <c r="E889" t="s">
        <v>11</v>
      </c>
      <c r="F889">
        <v>8</v>
      </c>
      <c r="G889" t="s">
        <v>55</v>
      </c>
      <c r="H889">
        <v>2</v>
      </c>
      <c r="M889" t="s">
        <v>18</v>
      </c>
      <c r="N889" t="s">
        <v>13</v>
      </c>
      <c r="O889" s="5" t="s">
        <v>13</v>
      </c>
    </row>
    <row r="890" spans="2:15" x14ac:dyDescent="0.3">
      <c r="B890" s="4">
        <v>1676</v>
      </c>
      <c r="C890" t="s">
        <v>61</v>
      </c>
      <c r="D890" t="s">
        <v>62</v>
      </c>
      <c r="E890" t="s">
        <v>11</v>
      </c>
      <c r="F890">
        <v>8</v>
      </c>
      <c r="G890" t="s">
        <v>55</v>
      </c>
      <c r="H890">
        <v>2</v>
      </c>
      <c r="J890" t="s">
        <v>13</v>
      </c>
      <c r="K890" t="s">
        <v>13</v>
      </c>
      <c r="O890" s="5"/>
    </row>
    <row r="891" spans="2:15" x14ac:dyDescent="0.3">
      <c r="B891" s="4">
        <v>1551</v>
      </c>
      <c r="C891" t="s">
        <v>98</v>
      </c>
      <c r="D891" t="s">
        <v>99</v>
      </c>
      <c r="E891" t="s">
        <v>77</v>
      </c>
      <c r="F891">
        <v>7</v>
      </c>
      <c r="G891" t="s">
        <v>55</v>
      </c>
      <c r="H891">
        <v>2</v>
      </c>
      <c r="I891" t="s">
        <v>18</v>
      </c>
      <c r="J891" t="s">
        <v>13</v>
      </c>
      <c r="O891" s="5"/>
    </row>
    <row r="892" spans="2:15" x14ac:dyDescent="0.3">
      <c r="B892" s="4">
        <v>1286</v>
      </c>
      <c r="C892" t="s">
        <v>46</v>
      </c>
      <c r="D892" t="s">
        <v>47</v>
      </c>
      <c r="E892" t="s">
        <v>11</v>
      </c>
      <c r="F892">
        <v>8</v>
      </c>
      <c r="G892" t="s">
        <v>40</v>
      </c>
      <c r="H892">
        <v>3</v>
      </c>
      <c r="M892" t="s">
        <v>17</v>
      </c>
      <c r="N892" t="s">
        <v>17</v>
      </c>
      <c r="O892" s="5" t="s">
        <v>17</v>
      </c>
    </row>
    <row r="893" spans="2:15" x14ac:dyDescent="0.3">
      <c r="B893" s="4">
        <v>12</v>
      </c>
      <c r="C893" t="s">
        <v>46</v>
      </c>
      <c r="D893" t="s">
        <v>47</v>
      </c>
      <c r="E893" t="s">
        <v>11</v>
      </c>
      <c r="F893">
        <v>8</v>
      </c>
      <c r="G893" t="s">
        <v>40</v>
      </c>
      <c r="H893">
        <v>3</v>
      </c>
      <c r="I893" t="s">
        <v>18</v>
      </c>
      <c r="J893" t="s">
        <v>18</v>
      </c>
      <c r="K893" t="s">
        <v>13</v>
      </c>
      <c r="O893" s="5"/>
    </row>
    <row r="894" spans="2:15" x14ac:dyDescent="0.3">
      <c r="B894" s="4">
        <v>708</v>
      </c>
      <c r="C894" t="s">
        <v>84</v>
      </c>
      <c r="D894" t="s">
        <v>85</v>
      </c>
      <c r="E894" t="s">
        <v>86</v>
      </c>
      <c r="F894">
        <v>12</v>
      </c>
      <c r="G894" t="s">
        <v>26</v>
      </c>
      <c r="H894">
        <v>4</v>
      </c>
      <c r="L894" t="s">
        <v>18</v>
      </c>
      <c r="M894" t="s">
        <v>13</v>
      </c>
      <c r="N894" t="s">
        <v>18</v>
      </c>
      <c r="O894" s="5" t="s">
        <v>19</v>
      </c>
    </row>
    <row r="895" spans="2:15" x14ac:dyDescent="0.3">
      <c r="B895" s="4">
        <v>2410</v>
      </c>
      <c r="C895" t="s">
        <v>90</v>
      </c>
      <c r="D895" t="s">
        <v>91</v>
      </c>
      <c r="E895" t="s">
        <v>11</v>
      </c>
      <c r="F895">
        <v>8</v>
      </c>
      <c r="G895" t="s">
        <v>55</v>
      </c>
      <c r="H895">
        <v>2</v>
      </c>
      <c r="N895" t="s">
        <v>13</v>
      </c>
      <c r="O895" s="5" t="s">
        <v>19</v>
      </c>
    </row>
    <row r="896" spans="2:15" x14ac:dyDescent="0.3">
      <c r="B896" s="4">
        <v>3162</v>
      </c>
      <c r="C896" t="s">
        <v>23</v>
      </c>
      <c r="D896" t="s">
        <v>24</v>
      </c>
      <c r="E896" t="s">
        <v>25</v>
      </c>
      <c r="F896">
        <v>1</v>
      </c>
      <c r="G896" t="s">
        <v>48</v>
      </c>
      <c r="H896">
        <v>16</v>
      </c>
      <c r="M896" t="s">
        <v>52</v>
      </c>
      <c r="N896" t="s">
        <v>52</v>
      </c>
      <c r="O896" s="5" t="s">
        <v>19</v>
      </c>
    </row>
    <row r="897" spans="2:15" x14ac:dyDescent="0.3">
      <c r="B897" s="4">
        <v>1163</v>
      </c>
      <c r="C897" t="s">
        <v>14</v>
      </c>
      <c r="D897" t="s">
        <v>15</v>
      </c>
      <c r="E897" t="s">
        <v>11</v>
      </c>
      <c r="F897">
        <v>8</v>
      </c>
      <c r="G897" t="s">
        <v>81</v>
      </c>
      <c r="H897">
        <v>7</v>
      </c>
      <c r="M897" t="s">
        <v>18</v>
      </c>
      <c r="N897" t="s">
        <v>19</v>
      </c>
      <c r="O897" s="5" t="s">
        <v>19</v>
      </c>
    </row>
    <row r="898" spans="2:15" x14ac:dyDescent="0.3">
      <c r="B898" s="4">
        <v>645</v>
      </c>
      <c r="C898" t="s">
        <v>46</v>
      </c>
      <c r="D898" t="s">
        <v>47</v>
      </c>
      <c r="E898" t="s">
        <v>11</v>
      </c>
      <c r="F898">
        <v>8</v>
      </c>
      <c r="G898" t="s">
        <v>54</v>
      </c>
      <c r="H898">
        <v>8</v>
      </c>
      <c r="M898" t="s">
        <v>18</v>
      </c>
      <c r="N898" t="s">
        <v>17</v>
      </c>
      <c r="O898" s="5" t="s">
        <v>19</v>
      </c>
    </row>
    <row r="899" spans="2:15" x14ac:dyDescent="0.3">
      <c r="B899" s="4">
        <v>21</v>
      </c>
      <c r="C899" t="s">
        <v>14</v>
      </c>
      <c r="D899" t="s">
        <v>15</v>
      </c>
      <c r="E899" t="s">
        <v>11</v>
      </c>
      <c r="F899">
        <v>8</v>
      </c>
      <c r="G899" t="s">
        <v>54</v>
      </c>
      <c r="H899">
        <v>8</v>
      </c>
      <c r="K899" t="s">
        <v>18</v>
      </c>
      <c r="L899" t="s">
        <v>17</v>
      </c>
      <c r="M899" t="s">
        <v>18</v>
      </c>
      <c r="N899" t="s">
        <v>18</v>
      </c>
      <c r="O899" s="5" t="s">
        <v>17</v>
      </c>
    </row>
    <row r="900" spans="2:15" x14ac:dyDescent="0.3">
      <c r="B900" s="4">
        <v>1160</v>
      </c>
      <c r="C900" t="s">
        <v>43</v>
      </c>
      <c r="D900" t="s">
        <v>44</v>
      </c>
      <c r="E900" t="s">
        <v>45</v>
      </c>
      <c r="F900">
        <v>5</v>
      </c>
      <c r="G900" t="s">
        <v>22</v>
      </c>
      <c r="H900">
        <v>1</v>
      </c>
      <c r="N900" t="s">
        <v>19</v>
      </c>
      <c r="O900" s="5" t="s">
        <v>18</v>
      </c>
    </row>
    <row r="901" spans="2:15" x14ac:dyDescent="0.3">
      <c r="B901" s="4">
        <v>324</v>
      </c>
      <c r="C901" t="s">
        <v>46</v>
      </c>
      <c r="D901" t="s">
        <v>47</v>
      </c>
      <c r="E901" t="s">
        <v>11</v>
      </c>
      <c r="F901">
        <v>8</v>
      </c>
      <c r="G901" t="s">
        <v>22</v>
      </c>
      <c r="H901">
        <v>1</v>
      </c>
      <c r="I901" t="s">
        <v>18</v>
      </c>
      <c r="J901" t="s">
        <v>19</v>
      </c>
      <c r="K901" t="s">
        <v>19</v>
      </c>
      <c r="L901" t="s">
        <v>13</v>
      </c>
      <c r="M901" t="s">
        <v>13</v>
      </c>
      <c r="N901" t="s">
        <v>17</v>
      </c>
      <c r="O901" s="5" t="s">
        <v>13</v>
      </c>
    </row>
    <row r="902" spans="2:15" x14ac:dyDescent="0.3">
      <c r="B902" s="4">
        <v>3165</v>
      </c>
      <c r="C902" t="s">
        <v>23</v>
      </c>
      <c r="D902" t="s">
        <v>24</v>
      </c>
      <c r="E902" t="s">
        <v>25</v>
      </c>
      <c r="F902">
        <v>1</v>
      </c>
      <c r="G902" t="s">
        <v>22</v>
      </c>
      <c r="H902">
        <v>1</v>
      </c>
      <c r="N902" t="s">
        <v>18</v>
      </c>
      <c r="O902" s="5" t="s">
        <v>13</v>
      </c>
    </row>
    <row r="903" spans="2:15" x14ac:dyDescent="0.3">
      <c r="B903" s="4">
        <v>1713</v>
      </c>
      <c r="C903" t="s">
        <v>14</v>
      </c>
      <c r="D903" t="s">
        <v>15</v>
      </c>
      <c r="E903" t="s">
        <v>11</v>
      </c>
      <c r="F903">
        <v>8</v>
      </c>
      <c r="G903" t="s">
        <v>55</v>
      </c>
      <c r="H903">
        <v>2</v>
      </c>
      <c r="L903" t="s">
        <v>13</v>
      </c>
      <c r="M903" t="s">
        <v>18</v>
      </c>
      <c r="O903" s="5"/>
    </row>
    <row r="904" spans="2:15" x14ac:dyDescent="0.3">
      <c r="B904" s="4">
        <v>101</v>
      </c>
      <c r="C904" t="s">
        <v>46</v>
      </c>
      <c r="D904" t="s">
        <v>47</v>
      </c>
      <c r="E904" t="s">
        <v>11</v>
      </c>
      <c r="F904">
        <v>8</v>
      </c>
      <c r="G904" t="s">
        <v>81</v>
      </c>
      <c r="H904">
        <v>7</v>
      </c>
      <c r="M904" t="s">
        <v>19</v>
      </c>
      <c r="N904" t="s">
        <v>18</v>
      </c>
      <c r="O904" s="5" t="s">
        <v>17</v>
      </c>
    </row>
    <row r="905" spans="2:15" x14ac:dyDescent="0.3">
      <c r="B905" s="4">
        <v>2428</v>
      </c>
      <c r="C905" t="s">
        <v>72</v>
      </c>
      <c r="D905" t="s">
        <v>73</v>
      </c>
      <c r="E905" t="s">
        <v>11</v>
      </c>
      <c r="F905">
        <v>8</v>
      </c>
      <c r="G905" t="s">
        <v>48</v>
      </c>
      <c r="H905">
        <v>16</v>
      </c>
      <c r="N905" t="s">
        <v>13</v>
      </c>
      <c r="O905" s="5" t="s">
        <v>18</v>
      </c>
    </row>
    <row r="906" spans="2:15" x14ac:dyDescent="0.3">
      <c r="B906" s="4">
        <v>394</v>
      </c>
      <c r="C906" t="s">
        <v>36</v>
      </c>
      <c r="D906" t="s">
        <v>37</v>
      </c>
      <c r="E906" t="s">
        <v>11</v>
      </c>
      <c r="F906">
        <v>8</v>
      </c>
      <c r="G906" t="s">
        <v>87</v>
      </c>
      <c r="H906">
        <v>9</v>
      </c>
      <c r="K906" t="s">
        <v>18</v>
      </c>
      <c r="L906" t="s">
        <v>13</v>
      </c>
      <c r="M906" t="s">
        <v>13</v>
      </c>
      <c r="N906" t="s">
        <v>13</v>
      </c>
      <c r="O906" s="5"/>
    </row>
    <row r="907" spans="2:15" x14ac:dyDescent="0.3">
      <c r="B907" s="4">
        <v>2166</v>
      </c>
      <c r="C907" t="s">
        <v>14</v>
      </c>
      <c r="D907" t="s">
        <v>15</v>
      </c>
      <c r="E907" t="s">
        <v>11</v>
      </c>
      <c r="F907">
        <v>8</v>
      </c>
      <c r="G907" t="s">
        <v>87</v>
      </c>
      <c r="H907">
        <v>9</v>
      </c>
      <c r="L907" t="s">
        <v>13</v>
      </c>
      <c r="M907" t="s">
        <v>13</v>
      </c>
      <c r="N907" t="s">
        <v>13</v>
      </c>
      <c r="O907" s="5"/>
    </row>
    <row r="908" spans="2:15" x14ac:dyDescent="0.3">
      <c r="B908" s="4">
        <v>98</v>
      </c>
      <c r="C908" t="s">
        <v>100</v>
      </c>
      <c r="D908" t="s">
        <v>101</v>
      </c>
      <c r="E908" t="s">
        <v>102</v>
      </c>
      <c r="F908">
        <v>4</v>
      </c>
      <c r="G908" t="s">
        <v>22</v>
      </c>
      <c r="H908">
        <v>1</v>
      </c>
      <c r="I908" t="s">
        <v>19</v>
      </c>
      <c r="J908" t="s">
        <v>17</v>
      </c>
      <c r="K908" t="s">
        <v>17</v>
      </c>
      <c r="L908" t="s">
        <v>18</v>
      </c>
      <c r="M908" t="s">
        <v>17</v>
      </c>
      <c r="N908" t="s">
        <v>19</v>
      </c>
      <c r="O908" s="5" t="s">
        <v>17</v>
      </c>
    </row>
    <row r="909" spans="2:15" x14ac:dyDescent="0.3">
      <c r="B909" s="4">
        <v>282</v>
      </c>
      <c r="C909" t="s">
        <v>46</v>
      </c>
      <c r="D909" t="s">
        <v>47</v>
      </c>
      <c r="E909" t="s">
        <v>11</v>
      </c>
      <c r="F909">
        <v>8</v>
      </c>
      <c r="G909" t="s">
        <v>16</v>
      </c>
      <c r="H909">
        <v>6</v>
      </c>
      <c r="J909" t="s">
        <v>33</v>
      </c>
      <c r="K909" t="s">
        <v>17</v>
      </c>
      <c r="L909" t="s">
        <v>18</v>
      </c>
      <c r="O909" s="5"/>
    </row>
    <row r="910" spans="2:15" x14ac:dyDescent="0.3">
      <c r="B910" s="4">
        <v>74</v>
      </c>
      <c r="C910" t="s">
        <v>49</v>
      </c>
      <c r="D910" t="s">
        <v>50</v>
      </c>
      <c r="E910" t="s">
        <v>51</v>
      </c>
      <c r="F910">
        <v>3</v>
      </c>
      <c r="G910" t="s">
        <v>81</v>
      </c>
      <c r="H910">
        <v>7</v>
      </c>
      <c r="I910" t="s">
        <v>13</v>
      </c>
      <c r="J910" t="s">
        <v>18</v>
      </c>
      <c r="O910" s="5"/>
    </row>
    <row r="911" spans="2:15" x14ac:dyDescent="0.3">
      <c r="B911" s="4">
        <v>1020</v>
      </c>
      <c r="C911" t="s">
        <v>9</v>
      </c>
      <c r="D911" t="s">
        <v>10</v>
      </c>
      <c r="E911" t="s">
        <v>11</v>
      </c>
      <c r="F911">
        <v>8</v>
      </c>
      <c r="G911" t="s">
        <v>22</v>
      </c>
      <c r="H911">
        <v>1</v>
      </c>
      <c r="K911" t="s">
        <v>13</v>
      </c>
      <c r="L911" t="s">
        <v>13</v>
      </c>
      <c r="M911" t="s">
        <v>13</v>
      </c>
      <c r="N911" t="s">
        <v>13</v>
      </c>
      <c r="O911" s="5" t="s">
        <v>13</v>
      </c>
    </row>
    <row r="912" spans="2:15" x14ac:dyDescent="0.3">
      <c r="B912" s="4">
        <v>832</v>
      </c>
      <c r="C912" t="s">
        <v>46</v>
      </c>
      <c r="D912" t="s">
        <v>47</v>
      </c>
      <c r="E912" t="s">
        <v>11</v>
      </c>
      <c r="F912">
        <v>8</v>
      </c>
      <c r="G912" t="s">
        <v>88</v>
      </c>
      <c r="H912">
        <v>12</v>
      </c>
      <c r="M912" t="s">
        <v>18</v>
      </c>
      <c r="N912" t="s">
        <v>13</v>
      </c>
      <c r="O912" s="5" t="s">
        <v>13</v>
      </c>
    </row>
    <row r="913" spans="2:15" x14ac:dyDescent="0.3">
      <c r="B913" s="4">
        <v>225</v>
      </c>
      <c r="C913" t="s">
        <v>14</v>
      </c>
      <c r="D913" t="s">
        <v>15</v>
      </c>
      <c r="E913" t="s">
        <v>11</v>
      </c>
      <c r="F913">
        <v>8</v>
      </c>
      <c r="G913" t="s">
        <v>89</v>
      </c>
      <c r="H913">
        <v>11</v>
      </c>
      <c r="K913" t="s">
        <v>52</v>
      </c>
      <c r="L913" t="s">
        <v>19</v>
      </c>
      <c r="M913" t="s">
        <v>19</v>
      </c>
      <c r="O913" s="5"/>
    </row>
    <row r="914" spans="2:15" x14ac:dyDescent="0.3">
      <c r="B914" s="4">
        <v>1</v>
      </c>
      <c r="C914" t="s">
        <v>36</v>
      </c>
      <c r="D914" t="s">
        <v>37</v>
      </c>
      <c r="E914" t="s">
        <v>11</v>
      </c>
      <c r="F914">
        <v>8</v>
      </c>
      <c r="G914" t="s">
        <v>89</v>
      </c>
      <c r="H914">
        <v>11</v>
      </c>
      <c r="L914" t="s">
        <v>13</v>
      </c>
      <c r="M914" t="s">
        <v>13</v>
      </c>
      <c r="N914" t="s">
        <v>17</v>
      </c>
      <c r="O914" s="5" t="s">
        <v>17</v>
      </c>
    </row>
    <row r="915" spans="2:15" x14ac:dyDescent="0.3">
      <c r="B915" s="4">
        <v>1719</v>
      </c>
      <c r="C915" t="s">
        <v>36</v>
      </c>
      <c r="D915" t="s">
        <v>37</v>
      </c>
      <c r="E915" t="s">
        <v>11</v>
      </c>
      <c r="F915">
        <v>8</v>
      </c>
      <c r="G915" t="s">
        <v>88</v>
      </c>
      <c r="H915">
        <v>12</v>
      </c>
      <c r="N915" t="s">
        <v>17</v>
      </c>
      <c r="O915" s="5" t="s">
        <v>13</v>
      </c>
    </row>
    <row r="916" spans="2:15" x14ac:dyDescent="0.3">
      <c r="B916" s="4">
        <v>405</v>
      </c>
      <c r="C916" t="s">
        <v>14</v>
      </c>
      <c r="D916" t="s">
        <v>15</v>
      </c>
      <c r="E916" t="s">
        <v>11</v>
      </c>
      <c r="F916">
        <v>8</v>
      </c>
      <c r="G916" t="s">
        <v>88</v>
      </c>
      <c r="H916">
        <v>12</v>
      </c>
      <c r="N916" t="s">
        <v>17</v>
      </c>
      <c r="O916" s="5" t="s">
        <v>17</v>
      </c>
    </row>
    <row r="917" spans="2:15" x14ac:dyDescent="0.3">
      <c r="B917" s="4">
        <v>386</v>
      </c>
      <c r="C917" t="s">
        <v>14</v>
      </c>
      <c r="D917" t="s">
        <v>15</v>
      </c>
      <c r="E917" t="s">
        <v>11</v>
      </c>
      <c r="F917">
        <v>8</v>
      </c>
      <c r="G917" t="s">
        <v>55</v>
      </c>
      <c r="H917">
        <v>2</v>
      </c>
      <c r="I917" t="s">
        <v>17</v>
      </c>
      <c r="J917" t="s">
        <v>13</v>
      </c>
      <c r="K917" t="s">
        <v>13</v>
      </c>
      <c r="L917" t="s">
        <v>13</v>
      </c>
      <c r="M917" t="s">
        <v>18</v>
      </c>
      <c r="N917" t="s">
        <v>17</v>
      </c>
      <c r="O917" s="5" t="s">
        <v>13</v>
      </c>
    </row>
    <row r="918" spans="2:15" x14ac:dyDescent="0.3">
      <c r="B918" s="4">
        <v>2</v>
      </c>
      <c r="C918" t="s">
        <v>27</v>
      </c>
      <c r="D918" t="s">
        <v>28</v>
      </c>
      <c r="E918" t="s">
        <v>29</v>
      </c>
      <c r="F918">
        <v>6</v>
      </c>
      <c r="G918" t="s">
        <v>22</v>
      </c>
      <c r="H918">
        <v>1</v>
      </c>
      <c r="M918" t="s">
        <v>13</v>
      </c>
      <c r="N918" t="s">
        <v>13</v>
      </c>
      <c r="O918" s="5" t="s">
        <v>19</v>
      </c>
    </row>
    <row r="919" spans="2:15" x14ac:dyDescent="0.3">
      <c r="B919" s="4">
        <v>803</v>
      </c>
      <c r="C919" t="s">
        <v>46</v>
      </c>
      <c r="D919" t="s">
        <v>47</v>
      </c>
      <c r="E919" t="s">
        <v>11</v>
      </c>
      <c r="F919">
        <v>8</v>
      </c>
      <c r="G919" t="s">
        <v>54</v>
      </c>
      <c r="H919">
        <v>8</v>
      </c>
      <c r="I919" t="s">
        <v>52</v>
      </c>
      <c r="J919" t="s">
        <v>33</v>
      </c>
      <c r="O919" s="5"/>
    </row>
    <row r="920" spans="2:15" x14ac:dyDescent="0.3">
      <c r="B920" s="4">
        <v>823</v>
      </c>
      <c r="C920" t="s">
        <v>100</v>
      </c>
      <c r="D920" t="s">
        <v>101</v>
      </c>
      <c r="E920" t="s">
        <v>102</v>
      </c>
      <c r="F920">
        <v>4</v>
      </c>
      <c r="G920" t="s">
        <v>16</v>
      </c>
      <c r="H920">
        <v>6</v>
      </c>
      <c r="L920" t="s">
        <v>13</v>
      </c>
      <c r="M920" t="s">
        <v>18</v>
      </c>
      <c r="O920" s="5"/>
    </row>
    <row r="921" spans="2:15" x14ac:dyDescent="0.3">
      <c r="B921" s="4">
        <v>24</v>
      </c>
      <c r="C921" t="s">
        <v>23</v>
      </c>
      <c r="D921" t="s">
        <v>24</v>
      </c>
      <c r="E921" t="s">
        <v>25</v>
      </c>
      <c r="F921">
        <v>1</v>
      </c>
      <c r="G921" t="s">
        <v>40</v>
      </c>
      <c r="H921">
        <v>3</v>
      </c>
      <c r="N921" t="s">
        <v>19</v>
      </c>
      <c r="O921" s="5" t="s">
        <v>18</v>
      </c>
    </row>
    <row r="922" spans="2:15" x14ac:dyDescent="0.3">
      <c r="B922" s="4">
        <v>1867</v>
      </c>
      <c r="C922" t="s">
        <v>90</v>
      </c>
      <c r="D922" t="s">
        <v>91</v>
      </c>
      <c r="E922" t="s">
        <v>11</v>
      </c>
      <c r="F922">
        <v>8</v>
      </c>
      <c r="G922" t="s">
        <v>66</v>
      </c>
      <c r="H922">
        <v>5</v>
      </c>
      <c r="M922" t="s">
        <v>52</v>
      </c>
      <c r="N922" t="s">
        <v>19</v>
      </c>
      <c r="O922" s="5" t="s">
        <v>19</v>
      </c>
    </row>
    <row r="923" spans="2:15" x14ac:dyDescent="0.3">
      <c r="B923" s="4">
        <v>152</v>
      </c>
      <c r="C923" t="s">
        <v>90</v>
      </c>
      <c r="D923" t="s">
        <v>91</v>
      </c>
      <c r="E923" t="s">
        <v>11</v>
      </c>
      <c r="F923">
        <v>8</v>
      </c>
      <c r="G923" t="s">
        <v>16</v>
      </c>
      <c r="H923">
        <v>6</v>
      </c>
      <c r="J923" t="s">
        <v>17</v>
      </c>
      <c r="K923" t="s">
        <v>33</v>
      </c>
      <c r="L923" t="s">
        <v>19</v>
      </c>
      <c r="O923" s="5"/>
    </row>
    <row r="924" spans="2:15" x14ac:dyDescent="0.3">
      <c r="B924" s="4">
        <v>1299</v>
      </c>
      <c r="C924" t="s">
        <v>46</v>
      </c>
      <c r="D924" t="s">
        <v>47</v>
      </c>
      <c r="E924" t="s">
        <v>11</v>
      </c>
      <c r="F924">
        <v>8</v>
      </c>
      <c r="G924" t="s">
        <v>57</v>
      </c>
      <c r="H924">
        <v>10</v>
      </c>
      <c r="M924" t="s">
        <v>17</v>
      </c>
      <c r="N924" t="s">
        <v>52</v>
      </c>
      <c r="O924" s="5" t="s">
        <v>19</v>
      </c>
    </row>
    <row r="925" spans="2:15" x14ac:dyDescent="0.3">
      <c r="B925" s="4">
        <v>500</v>
      </c>
      <c r="C925" t="s">
        <v>27</v>
      </c>
      <c r="D925" t="s">
        <v>28</v>
      </c>
      <c r="E925" t="s">
        <v>29</v>
      </c>
      <c r="F925">
        <v>6</v>
      </c>
      <c r="G925" t="s">
        <v>38</v>
      </c>
      <c r="H925">
        <v>13</v>
      </c>
      <c r="L925" t="s">
        <v>13</v>
      </c>
      <c r="M925" t="s">
        <v>18</v>
      </c>
      <c r="O925" s="5"/>
    </row>
    <row r="926" spans="2:15" x14ac:dyDescent="0.3">
      <c r="B926" s="4">
        <v>659</v>
      </c>
      <c r="C926" t="s">
        <v>75</v>
      </c>
      <c r="D926" t="s">
        <v>76</v>
      </c>
      <c r="E926" t="s">
        <v>77</v>
      </c>
      <c r="F926">
        <v>7</v>
      </c>
      <c r="G926" t="s">
        <v>26</v>
      </c>
      <c r="H926">
        <v>4</v>
      </c>
      <c r="N926" t="s">
        <v>18</v>
      </c>
      <c r="O926" s="5" t="s">
        <v>13</v>
      </c>
    </row>
    <row r="927" spans="2:15" x14ac:dyDescent="0.3">
      <c r="B927" s="4">
        <v>1554</v>
      </c>
      <c r="C927" t="s">
        <v>23</v>
      </c>
      <c r="D927" t="s">
        <v>24</v>
      </c>
      <c r="E927" t="s">
        <v>25</v>
      </c>
      <c r="F927">
        <v>1</v>
      </c>
      <c r="G927" t="s">
        <v>12</v>
      </c>
      <c r="H927">
        <v>7</v>
      </c>
      <c r="M927" t="s">
        <v>18</v>
      </c>
      <c r="N927" t="s">
        <v>13</v>
      </c>
      <c r="O927" s="5" t="s">
        <v>33</v>
      </c>
    </row>
    <row r="928" spans="2:15" x14ac:dyDescent="0.3">
      <c r="B928" s="4">
        <v>5</v>
      </c>
      <c r="C928" t="s">
        <v>46</v>
      </c>
      <c r="D928" t="s">
        <v>47</v>
      </c>
      <c r="E928" t="s">
        <v>11</v>
      </c>
      <c r="F928">
        <v>8</v>
      </c>
      <c r="G928" t="s">
        <v>22</v>
      </c>
      <c r="H928">
        <v>1</v>
      </c>
      <c r="I928" t="s">
        <v>13</v>
      </c>
      <c r="J928" t="s">
        <v>13</v>
      </c>
      <c r="K928" t="s">
        <v>13</v>
      </c>
      <c r="L928" t="s">
        <v>13</v>
      </c>
      <c r="M928" t="s">
        <v>13</v>
      </c>
      <c r="N928" t="s">
        <v>18</v>
      </c>
      <c r="O928" s="5" t="s">
        <v>18</v>
      </c>
    </row>
    <row r="929" spans="2:15" x14ac:dyDescent="0.3">
      <c r="B929" s="4">
        <v>970</v>
      </c>
      <c r="C929" t="s">
        <v>46</v>
      </c>
      <c r="D929" t="s">
        <v>47</v>
      </c>
      <c r="E929" t="s">
        <v>11</v>
      </c>
      <c r="F929">
        <v>8</v>
      </c>
      <c r="G929" t="s">
        <v>58</v>
      </c>
      <c r="H929">
        <v>17</v>
      </c>
      <c r="L929" t="s">
        <v>18</v>
      </c>
      <c r="M929" t="s">
        <v>13</v>
      </c>
      <c r="N929" t="s">
        <v>13</v>
      </c>
      <c r="O929" s="5" t="s">
        <v>18</v>
      </c>
    </row>
    <row r="930" spans="2:15" x14ac:dyDescent="0.3">
      <c r="B930" s="4">
        <v>14</v>
      </c>
      <c r="C930" t="s">
        <v>46</v>
      </c>
      <c r="D930" t="s">
        <v>47</v>
      </c>
      <c r="E930" t="s">
        <v>11</v>
      </c>
      <c r="F930">
        <v>8</v>
      </c>
      <c r="G930" t="s">
        <v>54</v>
      </c>
      <c r="H930">
        <v>8</v>
      </c>
      <c r="I930" t="s">
        <v>52</v>
      </c>
      <c r="J930" t="s">
        <v>19</v>
      </c>
      <c r="K930" t="s">
        <v>19</v>
      </c>
      <c r="L930" t="s">
        <v>19</v>
      </c>
      <c r="M930" t="s">
        <v>19</v>
      </c>
      <c r="N930" t="s">
        <v>19</v>
      </c>
      <c r="O930" s="5" t="s">
        <v>17</v>
      </c>
    </row>
    <row r="931" spans="2:15" x14ac:dyDescent="0.3">
      <c r="B931" s="4">
        <v>2463</v>
      </c>
      <c r="C931" t="s">
        <v>14</v>
      </c>
      <c r="D931" t="s">
        <v>15</v>
      </c>
      <c r="E931" t="s">
        <v>11</v>
      </c>
      <c r="F931">
        <v>8</v>
      </c>
      <c r="G931" t="s">
        <v>40</v>
      </c>
      <c r="H931">
        <v>3</v>
      </c>
      <c r="M931" t="s">
        <v>17</v>
      </c>
      <c r="N931" t="s">
        <v>18</v>
      </c>
      <c r="O931" s="5"/>
    </row>
    <row r="932" spans="2:15" x14ac:dyDescent="0.3">
      <c r="B932" s="4">
        <v>15</v>
      </c>
      <c r="C932" t="s">
        <v>46</v>
      </c>
      <c r="D932" t="s">
        <v>47</v>
      </c>
      <c r="E932" t="s">
        <v>11</v>
      </c>
      <c r="F932">
        <v>8</v>
      </c>
      <c r="G932" t="s">
        <v>22</v>
      </c>
      <c r="H932">
        <v>1</v>
      </c>
      <c r="I932" t="s">
        <v>17</v>
      </c>
      <c r="J932" t="s">
        <v>19</v>
      </c>
      <c r="K932" t="s">
        <v>17</v>
      </c>
      <c r="L932" t="s">
        <v>19</v>
      </c>
      <c r="M932" t="s">
        <v>13</v>
      </c>
      <c r="N932" t="s">
        <v>18</v>
      </c>
      <c r="O932" s="5" t="s">
        <v>17</v>
      </c>
    </row>
    <row r="933" spans="2:15" x14ac:dyDescent="0.3">
      <c r="B933" s="4">
        <v>735</v>
      </c>
      <c r="C933" t="s">
        <v>61</v>
      </c>
      <c r="D933" t="s">
        <v>62</v>
      </c>
      <c r="E933" t="s">
        <v>11</v>
      </c>
      <c r="F933">
        <v>8</v>
      </c>
      <c r="G933" t="s">
        <v>22</v>
      </c>
      <c r="H933">
        <v>1</v>
      </c>
      <c r="N933" t="s">
        <v>19</v>
      </c>
      <c r="O933" s="5" t="s">
        <v>18</v>
      </c>
    </row>
    <row r="934" spans="2:15" x14ac:dyDescent="0.3">
      <c r="B934" s="4">
        <v>110</v>
      </c>
      <c r="C934" t="s">
        <v>41</v>
      </c>
      <c r="D934" t="s">
        <v>42</v>
      </c>
      <c r="E934" t="s">
        <v>11</v>
      </c>
      <c r="F934">
        <v>8</v>
      </c>
      <c r="G934" t="s">
        <v>30</v>
      </c>
      <c r="H934">
        <v>18</v>
      </c>
      <c r="I934" t="s">
        <v>13</v>
      </c>
      <c r="J934" t="s">
        <v>13</v>
      </c>
      <c r="K934" t="s">
        <v>13</v>
      </c>
      <c r="L934" t="s">
        <v>13</v>
      </c>
      <c r="M934" t="s">
        <v>18</v>
      </c>
      <c r="N934" t="s">
        <v>18</v>
      </c>
      <c r="O934" s="5" t="s">
        <v>19</v>
      </c>
    </row>
    <row r="935" spans="2:15" x14ac:dyDescent="0.3">
      <c r="B935" s="4">
        <v>2674</v>
      </c>
      <c r="C935" t="s">
        <v>59</v>
      </c>
      <c r="D935" t="s">
        <v>60</v>
      </c>
      <c r="E935" t="s">
        <v>11</v>
      </c>
      <c r="F935">
        <v>8</v>
      </c>
      <c r="G935" t="s">
        <v>55</v>
      </c>
      <c r="H935">
        <v>2</v>
      </c>
      <c r="K935" t="s">
        <v>17</v>
      </c>
      <c r="L935" t="s">
        <v>17</v>
      </c>
      <c r="O935" s="5"/>
    </row>
    <row r="936" spans="2:15" x14ac:dyDescent="0.3">
      <c r="B936" s="4">
        <v>220</v>
      </c>
      <c r="C936" t="s">
        <v>31</v>
      </c>
      <c r="D936" t="s">
        <v>32</v>
      </c>
      <c r="E936" t="s">
        <v>11</v>
      </c>
      <c r="F936">
        <v>8</v>
      </c>
      <c r="G936" t="s">
        <v>54</v>
      </c>
      <c r="H936">
        <v>8</v>
      </c>
      <c r="N936" t="s">
        <v>18</v>
      </c>
      <c r="O936" s="5" t="s">
        <v>17</v>
      </c>
    </row>
    <row r="937" spans="2:15" x14ac:dyDescent="0.3">
      <c r="B937" s="4">
        <v>187</v>
      </c>
      <c r="C937" t="s">
        <v>46</v>
      </c>
      <c r="D937" t="s">
        <v>47</v>
      </c>
      <c r="E937" t="s">
        <v>11</v>
      </c>
      <c r="F937">
        <v>8</v>
      </c>
      <c r="G937" t="s">
        <v>16</v>
      </c>
      <c r="H937">
        <v>6</v>
      </c>
      <c r="K937" t="s">
        <v>18</v>
      </c>
      <c r="L937" t="s">
        <v>18</v>
      </c>
      <c r="M937" t="s">
        <v>18</v>
      </c>
      <c r="N937" t="s">
        <v>17</v>
      </c>
      <c r="O937" s="5" t="s">
        <v>17</v>
      </c>
    </row>
    <row r="938" spans="2:15" x14ac:dyDescent="0.3">
      <c r="B938" s="4">
        <v>29</v>
      </c>
      <c r="C938" t="s">
        <v>46</v>
      </c>
      <c r="D938" t="s">
        <v>47</v>
      </c>
      <c r="E938" t="s">
        <v>11</v>
      </c>
      <c r="F938">
        <v>8</v>
      </c>
      <c r="G938" t="s">
        <v>22</v>
      </c>
      <c r="H938">
        <v>1</v>
      </c>
      <c r="I938" t="s">
        <v>13</v>
      </c>
      <c r="J938" t="s">
        <v>13</v>
      </c>
      <c r="K938" t="s">
        <v>13</v>
      </c>
      <c r="L938" t="s">
        <v>18</v>
      </c>
      <c r="M938" t="s">
        <v>17</v>
      </c>
      <c r="N938" t="s">
        <v>52</v>
      </c>
      <c r="O938" s="5" t="s">
        <v>52</v>
      </c>
    </row>
    <row r="939" spans="2:15" x14ac:dyDescent="0.3">
      <c r="B939" s="4">
        <v>55</v>
      </c>
      <c r="C939" t="s">
        <v>43</v>
      </c>
      <c r="D939" t="s">
        <v>44</v>
      </c>
      <c r="E939" t="s">
        <v>45</v>
      </c>
      <c r="F939">
        <v>5</v>
      </c>
      <c r="G939" t="s">
        <v>30</v>
      </c>
      <c r="H939">
        <v>18</v>
      </c>
      <c r="I939" t="s">
        <v>17</v>
      </c>
      <c r="J939" t="s">
        <v>17</v>
      </c>
      <c r="K939" t="s">
        <v>34</v>
      </c>
      <c r="L939" t="s">
        <v>35</v>
      </c>
      <c r="O939" s="5"/>
    </row>
    <row r="940" spans="2:15" x14ac:dyDescent="0.3">
      <c r="B940" s="4">
        <v>5188</v>
      </c>
      <c r="C940" t="s">
        <v>14</v>
      </c>
      <c r="D940" t="s">
        <v>15</v>
      </c>
      <c r="E940" t="s">
        <v>11</v>
      </c>
      <c r="F940">
        <v>8</v>
      </c>
      <c r="G940" t="s">
        <v>74</v>
      </c>
      <c r="H940">
        <v>15</v>
      </c>
      <c r="N940" t="s">
        <v>18</v>
      </c>
      <c r="O940" s="5" t="s">
        <v>13</v>
      </c>
    </row>
    <row r="941" spans="2:15" x14ac:dyDescent="0.3">
      <c r="B941" s="4">
        <v>185</v>
      </c>
      <c r="C941" t="s">
        <v>46</v>
      </c>
      <c r="D941" t="s">
        <v>47</v>
      </c>
      <c r="E941" t="s">
        <v>11</v>
      </c>
      <c r="F941">
        <v>8</v>
      </c>
      <c r="G941" t="s">
        <v>54</v>
      </c>
      <c r="H941">
        <v>8</v>
      </c>
      <c r="K941" t="s">
        <v>13</v>
      </c>
      <c r="L941" t="s">
        <v>13</v>
      </c>
      <c r="M941" t="s">
        <v>17</v>
      </c>
      <c r="N941" t="s">
        <v>19</v>
      </c>
      <c r="O941" s="5" t="s">
        <v>17</v>
      </c>
    </row>
    <row r="942" spans="2:15" x14ac:dyDescent="0.3">
      <c r="B942" s="4">
        <v>652</v>
      </c>
      <c r="C942" t="s">
        <v>14</v>
      </c>
      <c r="D942" t="s">
        <v>15</v>
      </c>
      <c r="E942" t="s">
        <v>11</v>
      </c>
      <c r="F942">
        <v>8</v>
      </c>
      <c r="G942" t="s">
        <v>54</v>
      </c>
      <c r="H942">
        <v>8</v>
      </c>
      <c r="I942" t="s">
        <v>19</v>
      </c>
      <c r="J942" t="s">
        <v>18</v>
      </c>
      <c r="K942" t="s">
        <v>13</v>
      </c>
      <c r="L942" t="s">
        <v>18</v>
      </c>
      <c r="M942" t="s">
        <v>18</v>
      </c>
      <c r="N942" t="s">
        <v>13</v>
      </c>
      <c r="O942" s="5" t="s">
        <v>18</v>
      </c>
    </row>
    <row r="943" spans="2:15" x14ac:dyDescent="0.3">
      <c r="B943" s="4">
        <v>2364</v>
      </c>
      <c r="C943" t="s">
        <v>14</v>
      </c>
      <c r="D943" t="s">
        <v>15</v>
      </c>
      <c r="E943" t="s">
        <v>11</v>
      </c>
      <c r="F943">
        <v>8</v>
      </c>
      <c r="G943" t="s">
        <v>30</v>
      </c>
      <c r="H943">
        <v>18</v>
      </c>
      <c r="M943" t="s">
        <v>18</v>
      </c>
      <c r="N943" t="s">
        <v>17</v>
      </c>
      <c r="O943" s="5" t="s">
        <v>19</v>
      </c>
    </row>
    <row r="944" spans="2:15" x14ac:dyDescent="0.3">
      <c r="B944" s="4">
        <v>119</v>
      </c>
      <c r="C944" t="s">
        <v>46</v>
      </c>
      <c r="D944" t="s">
        <v>47</v>
      </c>
      <c r="E944" t="s">
        <v>11</v>
      </c>
      <c r="F944">
        <v>8</v>
      </c>
      <c r="G944" t="s">
        <v>30</v>
      </c>
      <c r="H944">
        <v>18</v>
      </c>
      <c r="J944" t="s">
        <v>18</v>
      </c>
      <c r="K944" t="s">
        <v>18</v>
      </c>
      <c r="O944" s="5"/>
    </row>
    <row r="945" spans="2:15" x14ac:dyDescent="0.3">
      <c r="B945" s="4">
        <v>23</v>
      </c>
      <c r="C945" t="s">
        <v>14</v>
      </c>
      <c r="D945" t="s">
        <v>15</v>
      </c>
      <c r="E945" t="s">
        <v>11</v>
      </c>
      <c r="F945">
        <v>8</v>
      </c>
      <c r="G945" t="s">
        <v>40</v>
      </c>
      <c r="H945">
        <v>3</v>
      </c>
      <c r="M945" t="s">
        <v>18</v>
      </c>
      <c r="N945" t="s">
        <v>18</v>
      </c>
      <c r="O945" s="5"/>
    </row>
    <row r="946" spans="2:15" x14ac:dyDescent="0.3">
      <c r="B946" s="4">
        <v>638</v>
      </c>
      <c r="C946" t="s">
        <v>46</v>
      </c>
      <c r="D946" t="s">
        <v>47</v>
      </c>
      <c r="E946" t="s">
        <v>11</v>
      </c>
      <c r="F946">
        <v>8</v>
      </c>
      <c r="G946" t="s">
        <v>30</v>
      </c>
      <c r="H946">
        <v>18</v>
      </c>
      <c r="M946" t="s">
        <v>17</v>
      </c>
      <c r="N946" t="s">
        <v>52</v>
      </c>
      <c r="O946" s="5"/>
    </row>
    <row r="947" spans="2:15" x14ac:dyDescent="0.3">
      <c r="B947" s="4">
        <v>129</v>
      </c>
      <c r="C947" t="s">
        <v>103</v>
      </c>
      <c r="D947" t="s">
        <v>104</v>
      </c>
      <c r="E947" t="s">
        <v>105</v>
      </c>
      <c r="F947">
        <v>2</v>
      </c>
      <c r="G947" t="s">
        <v>89</v>
      </c>
      <c r="H947">
        <v>11</v>
      </c>
      <c r="I947" t="s">
        <v>17</v>
      </c>
      <c r="J947" t="s">
        <v>17</v>
      </c>
      <c r="K947" t="s">
        <v>52</v>
      </c>
      <c r="L947" t="s">
        <v>17</v>
      </c>
      <c r="M947" t="s">
        <v>17</v>
      </c>
      <c r="O947" s="5"/>
    </row>
    <row r="948" spans="2:15" x14ac:dyDescent="0.3">
      <c r="B948" s="4">
        <v>697</v>
      </c>
      <c r="C948" t="s">
        <v>14</v>
      </c>
      <c r="D948" t="s">
        <v>15</v>
      </c>
      <c r="E948" t="s">
        <v>11</v>
      </c>
      <c r="F948">
        <v>8</v>
      </c>
      <c r="G948" t="s">
        <v>89</v>
      </c>
      <c r="H948">
        <v>11</v>
      </c>
      <c r="N948" t="s">
        <v>17</v>
      </c>
      <c r="O948" s="5" t="s">
        <v>18</v>
      </c>
    </row>
    <row r="949" spans="2:15" x14ac:dyDescent="0.3">
      <c r="B949" s="4">
        <v>190</v>
      </c>
      <c r="C949" t="s">
        <v>46</v>
      </c>
      <c r="D949" t="s">
        <v>47</v>
      </c>
      <c r="E949" t="s">
        <v>11</v>
      </c>
      <c r="F949">
        <v>8</v>
      </c>
      <c r="G949" t="s">
        <v>57</v>
      </c>
      <c r="H949">
        <v>10</v>
      </c>
      <c r="K949" t="s">
        <v>13</v>
      </c>
      <c r="L949" t="s">
        <v>17</v>
      </c>
      <c r="M949" t="s">
        <v>17</v>
      </c>
      <c r="N949" t="s">
        <v>19</v>
      </c>
      <c r="O949" s="5"/>
    </row>
    <row r="950" spans="2:15" x14ac:dyDescent="0.3">
      <c r="B950" s="4">
        <v>328</v>
      </c>
      <c r="C950" t="s">
        <v>49</v>
      </c>
      <c r="D950" t="s">
        <v>50</v>
      </c>
      <c r="E950" t="s">
        <v>51</v>
      </c>
      <c r="F950">
        <v>3</v>
      </c>
      <c r="G950" t="s">
        <v>26</v>
      </c>
      <c r="H950">
        <v>4</v>
      </c>
      <c r="I950" t="s">
        <v>13</v>
      </c>
      <c r="J950" t="s">
        <v>13</v>
      </c>
      <c r="K950" t="s">
        <v>13</v>
      </c>
      <c r="L950" t="s">
        <v>13</v>
      </c>
      <c r="O950" s="5"/>
    </row>
    <row r="951" spans="2:15" x14ac:dyDescent="0.3">
      <c r="B951" s="4">
        <v>40</v>
      </c>
      <c r="C951" t="s">
        <v>46</v>
      </c>
      <c r="D951" t="s">
        <v>47</v>
      </c>
      <c r="E951" t="s">
        <v>11</v>
      </c>
      <c r="F951">
        <v>8</v>
      </c>
      <c r="G951" t="s">
        <v>111</v>
      </c>
      <c r="H951">
        <v>14</v>
      </c>
      <c r="M951" t="s">
        <v>19</v>
      </c>
      <c r="N951" t="s">
        <v>52</v>
      </c>
      <c r="O951" s="5" t="s">
        <v>33</v>
      </c>
    </row>
    <row r="952" spans="2:15" x14ac:dyDescent="0.3">
      <c r="B952" s="4">
        <v>68</v>
      </c>
      <c r="C952" t="s">
        <v>49</v>
      </c>
      <c r="D952" t="s">
        <v>50</v>
      </c>
      <c r="E952" t="s">
        <v>51</v>
      </c>
      <c r="F952">
        <v>3</v>
      </c>
      <c r="G952" t="s">
        <v>22</v>
      </c>
      <c r="H952">
        <v>1</v>
      </c>
      <c r="I952" t="s">
        <v>13</v>
      </c>
      <c r="J952" t="s">
        <v>17</v>
      </c>
      <c r="L952" t="s">
        <v>17</v>
      </c>
      <c r="M952" t="s">
        <v>19</v>
      </c>
      <c r="N952" t="s">
        <v>19</v>
      </c>
      <c r="O952" s="5" t="s">
        <v>52</v>
      </c>
    </row>
    <row r="953" spans="2:15" x14ac:dyDescent="0.3">
      <c r="B953" s="4">
        <v>2064</v>
      </c>
      <c r="C953" t="s">
        <v>36</v>
      </c>
      <c r="D953" t="s">
        <v>37</v>
      </c>
      <c r="E953" t="s">
        <v>11</v>
      </c>
      <c r="F953">
        <v>8</v>
      </c>
      <c r="G953" t="s">
        <v>22</v>
      </c>
      <c r="H953">
        <v>1</v>
      </c>
      <c r="M953" t="s">
        <v>18</v>
      </c>
      <c r="N953" t="s">
        <v>17</v>
      </c>
      <c r="O953" s="5"/>
    </row>
    <row r="954" spans="2:15" x14ac:dyDescent="0.3">
      <c r="B954" s="4">
        <v>2059</v>
      </c>
      <c r="C954" t="s">
        <v>36</v>
      </c>
      <c r="D954" t="s">
        <v>37</v>
      </c>
      <c r="E954" t="s">
        <v>11</v>
      </c>
      <c r="F954">
        <v>8</v>
      </c>
      <c r="G954" t="s">
        <v>30</v>
      </c>
      <c r="H954">
        <v>18</v>
      </c>
      <c r="M954" t="s">
        <v>18</v>
      </c>
      <c r="N954" t="s">
        <v>18</v>
      </c>
      <c r="O954" s="5"/>
    </row>
    <row r="955" spans="2:15" x14ac:dyDescent="0.3">
      <c r="B955" s="4">
        <v>2062</v>
      </c>
      <c r="C955" t="s">
        <v>36</v>
      </c>
      <c r="D955" t="s">
        <v>37</v>
      </c>
      <c r="E955" t="s">
        <v>11</v>
      </c>
      <c r="F955">
        <v>8</v>
      </c>
      <c r="G955" t="s">
        <v>30</v>
      </c>
      <c r="H955">
        <v>18</v>
      </c>
      <c r="M955" t="s">
        <v>18</v>
      </c>
      <c r="N955" t="s">
        <v>19</v>
      </c>
      <c r="O955" s="5"/>
    </row>
    <row r="956" spans="2:15" x14ac:dyDescent="0.3">
      <c r="B956" s="4">
        <v>2058</v>
      </c>
      <c r="C956" t="s">
        <v>36</v>
      </c>
      <c r="D956" t="s">
        <v>37</v>
      </c>
      <c r="E956" t="s">
        <v>11</v>
      </c>
      <c r="F956">
        <v>8</v>
      </c>
      <c r="G956" t="s">
        <v>58</v>
      </c>
      <c r="H956">
        <v>17</v>
      </c>
      <c r="M956" t="s">
        <v>18</v>
      </c>
      <c r="N956" t="s">
        <v>18</v>
      </c>
      <c r="O956" s="5"/>
    </row>
    <row r="957" spans="2:15" x14ac:dyDescent="0.3">
      <c r="B957" s="4">
        <v>2060</v>
      </c>
      <c r="C957" t="s">
        <v>36</v>
      </c>
      <c r="D957" t="s">
        <v>37</v>
      </c>
      <c r="E957" t="s">
        <v>11</v>
      </c>
      <c r="F957">
        <v>8</v>
      </c>
      <c r="G957" t="s">
        <v>58</v>
      </c>
      <c r="H957">
        <v>17</v>
      </c>
      <c r="M957" t="s">
        <v>18</v>
      </c>
      <c r="N957" t="s">
        <v>19</v>
      </c>
      <c r="O957" s="5"/>
    </row>
    <row r="958" spans="2:15" x14ac:dyDescent="0.3">
      <c r="B958" s="4">
        <v>2063</v>
      </c>
      <c r="C958" t="s">
        <v>36</v>
      </c>
      <c r="D958" t="s">
        <v>37</v>
      </c>
      <c r="E958" t="s">
        <v>11</v>
      </c>
      <c r="F958">
        <v>8</v>
      </c>
      <c r="G958" t="s">
        <v>58</v>
      </c>
      <c r="H958">
        <v>17</v>
      </c>
      <c r="M958" t="s">
        <v>18</v>
      </c>
      <c r="N958" t="s">
        <v>19</v>
      </c>
      <c r="O958" s="5"/>
    </row>
    <row r="959" spans="2:15" x14ac:dyDescent="0.3">
      <c r="B959" s="4">
        <v>2061</v>
      </c>
      <c r="C959" t="s">
        <v>36</v>
      </c>
      <c r="D959" t="s">
        <v>37</v>
      </c>
      <c r="E959" t="s">
        <v>11</v>
      </c>
      <c r="F959">
        <v>8</v>
      </c>
      <c r="G959" t="s">
        <v>81</v>
      </c>
      <c r="H959">
        <v>7</v>
      </c>
      <c r="M959" t="s">
        <v>18</v>
      </c>
      <c r="N959" t="s">
        <v>19</v>
      </c>
      <c r="O959" s="5"/>
    </row>
    <row r="960" spans="2:15" x14ac:dyDescent="0.3">
      <c r="B960" s="4">
        <v>2057</v>
      </c>
      <c r="C960" t="s">
        <v>36</v>
      </c>
      <c r="D960" t="s">
        <v>37</v>
      </c>
      <c r="E960" t="s">
        <v>11</v>
      </c>
      <c r="F960">
        <v>8</v>
      </c>
      <c r="G960" t="s">
        <v>89</v>
      </c>
      <c r="H960">
        <v>11</v>
      </c>
      <c r="M960" t="s">
        <v>17</v>
      </c>
      <c r="N960" t="s">
        <v>17</v>
      </c>
      <c r="O960" s="5"/>
    </row>
    <row r="961" spans="2:15" x14ac:dyDescent="0.3">
      <c r="B961" s="4">
        <v>294</v>
      </c>
      <c r="C961" t="s">
        <v>14</v>
      </c>
      <c r="D961" t="s">
        <v>15</v>
      </c>
      <c r="E961" t="s">
        <v>11</v>
      </c>
      <c r="F961">
        <v>8</v>
      </c>
      <c r="G961" t="s">
        <v>89</v>
      </c>
      <c r="H961">
        <v>11</v>
      </c>
      <c r="I961" t="s">
        <v>13</v>
      </c>
      <c r="J961" t="s">
        <v>13</v>
      </c>
      <c r="K961" t="s">
        <v>17</v>
      </c>
      <c r="L961" t="s">
        <v>18</v>
      </c>
      <c r="M961" t="s">
        <v>18</v>
      </c>
      <c r="N961" t="s">
        <v>19</v>
      </c>
      <c r="O961" s="5" t="s">
        <v>17</v>
      </c>
    </row>
    <row r="962" spans="2:15" x14ac:dyDescent="0.3">
      <c r="B962" s="4">
        <v>228</v>
      </c>
      <c r="C962" t="s">
        <v>46</v>
      </c>
      <c r="D962" t="s">
        <v>47</v>
      </c>
      <c r="E962" t="s">
        <v>11</v>
      </c>
      <c r="F962">
        <v>8</v>
      </c>
      <c r="G962" t="s">
        <v>30</v>
      </c>
      <c r="H962">
        <v>18</v>
      </c>
      <c r="I962" t="s">
        <v>19</v>
      </c>
      <c r="J962" t="s">
        <v>19</v>
      </c>
      <c r="K962" t="s">
        <v>18</v>
      </c>
      <c r="L962" t="s">
        <v>19</v>
      </c>
      <c r="M962" t="s">
        <v>52</v>
      </c>
      <c r="N962" t="s">
        <v>35</v>
      </c>
      <c r="O962" s="5"/>
    </row>
    <row r="963" spans="2:15" x14ac:dyDescent="0.3">
      <c r="B963" s="4">
        <v>3157</v>
      </c>
      <c r="C963" t="s">
        <v>14</v>
      </c>
      <c r="D963" t="s">
        <v>15</v>
      </c>
      <c r="E963" t="s">
        <v>11</v>
      </c>
      <c r="F963">
        <v>8</v>
      </c>
      <c r="G963" t="s">
        <v>30</v>
      </c>
      <c r="H963">
        <v>18</v>
      </c>
      <c r="N963" t="s">
        <v>17</v>
      </c>
      <c r="O963" s="5" t="s">
        <v>17</v>
      </c>
    </row>
    <row r="964" spans="2:15" x14ac:dyDescent="0.3">
      <c r="B964" s="4">
        <v>2191</v>
      </c>
      <c r="C964" t="s">
        <v>49</v>
      </c>
      <c r="D964" t="s">
        <v>50</v>
      </c>
      <c r="E964" t="s">
        <v>51</v>
      </c>
      <c r="F964">
        <v>3</v>
      </c>
      <c r="G964" t="s">
        <v>54</v>
      </c>
      <c r="H964">
        <v>8</v>
      </c>
      <c r="M964" t="s">
        <v>13</v>
      </c>
      <c r="N964" t="s">
        <v>17</v>
      </c>
      <c r="O964" s="5" t="s">
        <v>19</v>
      </c>
    </row>
    <row r="965" spans="2:15" x14ac:dyDescent="0.3">
      <c r="B965" s="4">
        <v>1279</v>
      </c>
      <c r="C965" t="s">
        <v>112</v>
      </c>
      <c r="D965" t="s">
        <v>113</v>
      </c>
      <c r="E965" t="s">
        <v>11</v>
      </c>
      <c r="F965">
        <v>8</v>
      </c>
      <c r="G965" t="s">
        <v>58</v>
      </c>
      <c r="H965">
        <v>17</v>
      </c>
      <c r="L965" t="s">
        <v>18</v>
      </c>
      <c r="M965" t="s">
        <v>52</v>
      </c>
      <c r="N965" t="s">
        <v>18</v>
      </c>
      <c r="O965" s="5" t="s">
        <v>17</v>
      </c>
    </row>
    <row r="966" spans="2:15" x14ac:dyDescent="0.3">
      <c r="B966" s="4">
        <v>593</v>
      </c>
      <c r="C966" t="s">
        <v>27</v>
      </c>
      <c r="D966" t="s">
        <v>28</v>
      </c>
      <c r="E966" t="s">
        <v>29</v>
      </c>
      <c r="F966">
        <v>6</v>
      </c>
      <c r="G966" t="s">
        <v>55</v>
      </c>
      <c r="H966">
        <v>2</v>
      </c>
      <c r="M966" t="s">
        <v>52</v>
      </c>
      <c r="N966" t="s">
        <v>52</v>
      </c>
      <c r="O966" s="5" t="s">
        <v>19</v>
      </c>
    </row>
    <row r="967" spans="2:15" x14ac:dyDescent="0.3">
      <c r="B967" s="4">
        <v>1190</v>
      </c>
      <c r="C967" t="s">
        <v>14</v>
      </c>
      <c r="D967" t="s">
        <v>15</v>
      </c>
      <c r="E967" t="s">
        <v>11</v>
      </c>
      <c r="F967">
        <v>8</v>
      </c>
      <c r="G967" t="s">
        <v>55</v>
      </c>
      <c r="H967">
        <v>2</v>
      </c>
      <c r="L967" t="s">
        <v>13</v>
      </c>
      <c r="M967" t="s">
        <v>18</v>
      </c>
      <c r="N967" t="s">
        <v>17</v>
      </c>
      <c r="O967" s="5" t="s">
        <v>18</v>
      </c>
    </row>
    <row r="968" spans="2:15" x14ac:dyDescent="0.3">
      <c r="B968" s="4">
        <v>460</v>
      </c>
      <c r="C968" t="s">
        <v>49</v>
      </c>
      <c r="D968" t="s">
        <v>50</v>
      </c>
      <c r="E968" t="s">
        <v>51</v>
      </c>
      <c r="F968">
        <v>3</v>
      </c>
      <c r="G968" t="s">
        <v>55</v>
      </c>
      <c r="H968">
        <v>2</v>
      </c>
      <c r="N968" t="s">
        <v>18</v>
      </c>
      <c r="O968" s="5" t="s">
        <v>13</v>
      </c>
    </row>
    <row r="969" spans="2:15" x14ac:dyDescent="0.3">
      <c r="B969" s="4">
        <v>2368</v>
      </c>
      <c r="C969" t="s">
        <v>36</v>
      </c>
      <c r="D969" t="s">
        <v>37</v>
      </c>
      <c r="E969" t="s">
        <v>11</v>
      </c>
      <c r="F969">
        <v>8</v>
      </c>
      <c r="G969" t="s">
        <v>40</v>
      </c>
      <c r="H969">
        <v>3</v>
      </c>
      <c r="N969" t="s">
        <v>18</v>
      </c>
      <c r="O969" s="5" t="s">
        <v>19</v>
      </c>
    </row>
    <row r="970" spans="2:15" x14ac:dyDescent="0.3">
      <c r="B970" s="4">
        <v>516</v>
      </c>
      <c r="C970" t="s">
        <v>114</v>
      </c>
      <c r="D970" t="s">
        <v>115</v>
      </c>
      <c r="E970" t="s">
        <v>11</v>
      </c>
      <c r="F970">
        <v>8</v>
      </c>
      <c r="G970" t="s">
        <v>40</v>
      </c>
      <c r="H970">
        <v>3</v>
      </c>
      <c r="K970" t="s">
        <v>13</v>
      </c>
      <c r="L970" t="s">
        <v>18</v>
      </c>
      <c r="M970" t="s">
        <v>17</v>
      </c>
      <c r="N970" t="s">
        <v>13</v>
      </c>
      <c r="O970" s="5" t="s">
        <v>18</v>
      </c>
    </row>
    <row r="971" spans="2:15" x14ac:dyDescent="0.3">
      <c r="B971" s="4">
        <v>278</v>
      </c>
      <c r="C971" t="s">
        <v>14</v>
      </c>
      <c r="D971" t="s">
        <v>15</v>
      </c>
      <c r="E971" t="s">
        <v>11</v>
      </c>
      <c r="F971">
        <v>8</v>
      </c>
      <c r="G971" t="s">
        <v>26</v>
      </c>
      <c r="H971">
        <v>4</v>
      </c>
      <c r="M971" t="s">
        <v>18</v>
      </c>
      <c r="N971" t="s">
        <v>18</v>
      </c>
      <c r="O971" s="5"/>
    </row>
    <row r="972" spans="2:15" x14ac:dyDescent="0.3">
      <c r="B972" s="4">
        <v>215</v>
      </c>
      <c r="C972" t="s">
        <v>14</v>
      </c>
      <c r="D972" t="s">
        <v>15</v>
      </c>
      <c r="E972" t="s">
        <v>11</v>
      </c>
      <c r="F972">
        <v>8</v>
      </c>
      <c r="G972" t="s">
        <v>55</v>
      </c>
      <c r="H972">
        <v>2</v>
      </c>
      <c r="I972" t="s">
        <v>13</v>
      </c>
      <c r="J972" t="s">
        <v>13</v>
      </c>
      <c r="K972" t="s">
        <v>13</v>
      </c>
      <c r="L972" t="s">
        <v>13</v>
      </c>
      <c r="M972" t="s">
        <v>18</v>
      </c>
      <c r="N972" t="s">
        <v>19</v>
      </c>
      <c r="O972" s="5" t="s">
        <v>18</v>
      </c>
    </row>
    <row r="973" spans="2:15" x14ac:dyDescent="0.3">
      <c r="B973" s="4">
        <v>8</v>
      </c>
      <c r="C973" t="s">
        <v>31</v>
      </c>
      <c r="D973" t="s">
        <v>32</v>
      </c>
      <c r="E973" t="s">
        <v>11</v>
      </c>
      <c r="F973">
        <v>8</v>
      </c>
      <c r="G973" t="s">
        <v>48</v>
      </c>
      <c r="H973">
        <v>16</v>
      </c>
      <c r="J973" t="s">
        <v>17</v>
      </c>
      <c r="K973" t="s">
        <v>18</v>
      </c>
      <c r="L973" t="s">
        <v>13</v>
      </c>
      <c r="M973" t="s">
        <v>18</v>
      </c>
      <c r="N973" t="s">
        <v>13</v>
      </c>
      <c r="O973" s="5" t="s">
        <v>13</v>
      </c>
    </row>
    <row r="974" spans="2:15" x14ac:dyDescent="0.3">
      <c r="B974" s="4">
        <v>241</v>
      </c>
      <c r="C974" t="s">
        <v>46</v>
      </c>
      <c r="D974" t="s">
        <v>47</v>
      </c>
      <c r="E974" t="s">
        <v>11</v>
      </c>
      <c r="F974">
        <v>8</v>
      </c>
      <c r="G974" t="s">
        <v>81</v>
      </c>
      <c r="H974">
        <v>7</v>
      </c>
      <c r="I974" t="s">
        <v>13</v>
      </c>
      <c r="J974" t="s">
        <v>18</v>
      </c>
      <c r="K974" t="s">
        <v>18</v>
      </c>
      <c r="L974" t="s">
        <v>17</v>
      </c>
      <c r="M974" t="s">
        <v>13</v>
      </c>
      <c r="N974" t="s">
        <v>13</v>
      </c>
      <c r="O974" s="5" t="s">
        <v>18</v>
      </c>
    </row>
    <row r="975" spans="2:15" x14ac:dyDescent="0.3">
      <c r="B975" s="4">
        <v>780</v>
      </c>
      <c r="C975" t="s">
        <v>27</v>
      </c>
      <c r="D975" t="s">
        <v>28</v>
      </c>
      <c r="E975" t="s">
        <v>29</v>
      </c>
      <c r="F975">
        <v>6</v>
      </c>
      <c r="G975" t="s">
        <v>54</v>
      </c>
      <c r="H975">
        <v>8</v>
      </c>
      <c r="L975" t="s">
        <v>18</v>
      </c>
      <c r="M975" t="s">
        <v>13</v>
      </c>
      <c r="N975" t="s">
        <v>13</v>
      </c>
      <c r="O975" s="5" t="s">
        <v>13</v>
      </c>
    </row>
    <row r="976" spans="2:15" x14ac:dyDescent="0.3">
      <c r="B976" s="4">
        <v>159</v>
      </c>
      <c r="C976" t="s">
        <v>46</v>
      </c>
      <c r="D976" t="s">
        <v>47</v>
      </c>
      <c r="E976" t="s">
        <v>11</v>
      </c>
      <c r="F976">
        <v>8</v>
      </c>
      <c r="G976" t="s">
        <v>54</v>
      </c>
      <c r="H976">
        <v>8</v>
      </c>
      <c r="I976" t="s">
        <v>19</v>
      </c>
      <c r="J976" t="s">
        <v>17</v>
      </c>
      <c r="K976" t="s">
        <v>18</v>
      </c>
      <c r="O976" s="5"/>
    </row>
    <row r="977" spans="2:15" x14ac:dyDescent="0.3">
      <c r="B977" s="4">
        <v>1102</v>
      </c>
      <c r="C977" t="s">
        <v>27</v>
      </c>
      <c r="D977" t="s">
        <v>28</v>
      </c>
      <c r="E977" t="s">
        <v>29</v>
      </c>
      <c r="F977">
        <v>6</v>
      </c>
      <c r="G977" t="s">
        <v>22</v>
      </c>
      <c r="H977">
        <v>1</v>
      </c>
      <c r="M977" t="s">
        <v>13</v>
      </c>
      <c r="N977" t="s">
        <v>18</v>
      </c>
      <c r="O977" s="5" t="s">
        <v>13</v>
      </c>
    </row>
    <row r="978" spans="2:15" x14ac:dyDescent="0.3">
      <c r="B978" s="4">
        <v>218</v>
      </c>
      <c r="C978" t="s">
        <v>46</v>
      </c>
      <c r="D978" t="s">
        <v>47</v>
      </c>
      <c r="E978" t="s">
        <v>11</v>
      </c>
      <c r="F978">
        <v>8</v>
      </c>
      <c r="G978" t="s">
        <v>22</v>
      </c>
      <c r="H978">
        <v>1</v>
      </c>
      <c r="M978" t="s">
        <v>13</v>
      </c>
      <c r="N978" t="s">
        <v>18</v>
      </c>
      <c r="O978" s="5" t="s">
        <v>17</v>
      </c>
    </row>
    <row r="979" spans="2:15" x14ac:dyDescent="0.3">
      <c r="B979" s="4">
        <v>36</v>
      </c>
      <c r="C979" t="s">
        <v>78</v>
      </c>
      <c r="D979" t="s">
        <v>79</v>
      </c>
      <c r="E979" t="s">
        <v>80</v>
      </c>
      <c r="F979">
        <v>10</v>
      </c>
      <c r="G979" t="s">
        <v>22</v>
      </c>
      <c r="H979">
        <v>1</v>
      </c>
      <c r="M979" t="s">
        <v>13</v>
      </c>
      <c r="N979" t="s">
        <v>13</v>
      </c>
      <c r="O979" s="5"/>
    </row>
    <row r="980" spans="2:15" x14ac:dyDescent="0.3">
      <c r="B980" s="4">
        <v>161</v>
      </c>
      <c r="C980" t="s">
        <v>78</v>
      </c>
      <c r="D980" t="s">
        <v>79</v>
      </c>
      <c r="E980" t="s">
        <v>80</v>
      </c>
      <c r="F980">
        <v>10</v>
      </c>
      <c r="G980" t="s">
        <v>55</v>
      </c>
      <c r="H980">
        <v>2</v>
      </c>
      <c r="L980" t="s">
        <v>19</v>
      </c>
      <c r="M980" t="s">
        <v>19</v>
      </c>
      <c r="N980" t="s">
        <v>52</v>
      </c>
      <c r="O980" s="5" t="s">
        <v>52</v>
      </c>
    </row>
    <row r="981" spans="2:15" x14ac:dyDescent="0.3">
      <c r="B981" s="4">
        <v>2392</v>
      </c>
      <c r="C981" t="s">
        <v>31</v>
      </c>
      <c r="D981" t="s">
        <v>32</v>
      </c>
      <c r="E981" t="s">
        <v>11</v>
      </c>
      <c r="F981">
        <v>8</v>
      </c>
      <c r="G981" t="s">
        <v>81</v>
      </c>
      <c r="H981">
        <v>7</v>
      </c>
      <c r="N981" t="s">
        <v>17</v>
      </c>
      <c r="O981" s="5" t="s">
        <v>17</v>
      </c>
    </row>
    <row r="982" spans="2:15" x14ac:dyDescent="0.3">
      <c r="B982" s="4">
        <v>1864</v>
      </c>
      <c r="C982" t="s">
        <v>14</v>
      </c>
      <c r="D982" t="s">
        <v>15</v>
      </c>
      <c r="E982" t="s">
        <v>11</v>
      </c>
      <c r="F982">
        <v>8</v>
      </c>
      <c r="G982" t="s">
        <v>48</v>
      </c>
      <c r="H982">
        <v>16</v>
      </c>
      <c r="K982" t="s">
        <v>13</v>
      </c>
      <c r="L982" t="s">
        <v>13</v>
      </c>
      <c r="M982" t="s">
        <v>18</v>
      </c>
      <c r="N982" t="s">
        <v>19</v>
      </c>
      <c r="O982" s="5" t="s">
        <v>19</v>
      </c>
    </row>
    <row r="983" spans="2:15" x14ac:dyDescent="0.3">
      <c r="B983" s="4">
        <v>7</v>
      </c>
      <c r="C983" t="s">
        <v>46</v>
      </c>
      <c r="D983" t="s">
        <v>47</v>
      </c>
      <c r="E983" t="s">
        <v>11</v>
      </c>
      <c r="F983">
        <v>8</v>
      </c>
      <c r="G983" t="s">
        <v>87</v>
      </c>
      <c r="H983">
        <v>9</v>
      </c>
      <c r="J983" t="s">
        <v>17</v>
      </c>
      <c r="K983" t="s">
        <v>18</v>
      </c>
      <c r="L983" t="s">
        <v>13</v>
      </c>
      <c r="M983" t="s">
        <v>18</v>
      </c>
      <c r="N983" t="s">
        <v>18</v>
      </c>
      <c r="O983" s="5" t="s">
        <v>17</v>
      </c>
    </row>
    <row r="984" spans="2:15" x14ac:dyDescent="0.3">
      <c r="B984" s="4">
        <v>2870</v>
      </c>
      <c r="C984" t="s">
        <v>23</v>
      </c>
      <c r="D984" t="s">
        <v>24</v>
      </c>
      <c r="E984" t="s">
        <v>25</v>
      </c>
      <c r="F984">
        <v>1</v>
      </c>
      <c r="G984" t="s">
        <v>87</v>
      </c>
      <c r="H984">
        <v>9</v>
      </c>
      <c r="L984" t="s">
        <v>13</v>
      </c>
      <c r="M984" t="s">
        <v>17</v>
      </c>
      <c r="N984" t="s">
        <v>17</v>
      </c>
      <c r="O984" s="5"/>
    </row>
    <row r="985" spans="2:15" x14ac:dyDescent="0.3">
      <c r="B985" s="4">
        <v>747</v>
      </c>
      <c r="C985" t="s">
        <v>27</v>
      </c>
      <c r="D985" t="s">
        <v>28</v>
      </c>
      <c r="E985" t="s">
        <v>29</v>
      </c>
      <c r="F985">
        <v>6</v>
      </c>
      <c r="G985" t="s">
        <v>22</v>
      </c>
      <c r="H985">
        <v>1</v>
      </c>
      <c r="N985" t="s">
        <v>17</v>
      </c>
      <c r="O985" s="5" t="s">
        <v>13</v>
      </c>
    </row>
    <row r="986" spans="2:15" x14ac:dyDescent="0.3">
      <c r="B986" s="4">
        <v>1159</v>
      </c>
      <c r="C986" t="s">
        <v>23</v>
      </c>
      <c r="D986" t="s">
        <v>24</v>
      </c>
      <c r="E986" t="s">
        <v>25</v>
      </c>
      <c r="F986">
        <v>1</v>
      </c>
      <c r="G986" t="s">
        <v>16</v>
      </c>
      <c r="H986">
        <v>6</v>
      </c>
      <c r="I986" t="s">
        <v>18</v>
      </c>
      <c r="J986" t="s">
        <v>18</v>
      </c>
      <c r="K986" t="s">
        <v>13</v>
      </c>
      <c r="O986" s="5"/>
    </row>
    <row r="987" spans="2:15" x14ac:dyDescent="0.3">
      <c r="B987" s="4">
        <v>855</v>
      </c>
      <c r="C987" t="s">
        <v>103</v>
      </c>
      <c r="D987" t="s">
        <v>104</v>
      </c>
      <c r="E987" t="s">
        <v>105</v>
      </c>
      <c r="F987">
        <v>2</v>
      </c>
      <c r="G987" t="s">
        <v>81</v>
      </c>
      <c r="H987">
        <v>7</v>
      </c>
      <c r="L987" t="s">
        <v>13</v>
      </c>
      <c r="M987" t="s">
        <v>13</v>
      </c>
      <c r="N987" t="s">
        <v>17</v>
      </c>
      <c r="O987" s="5" t="s">
        <v>13</v>
      </c>
    </row>
    <row r="988" spans="2:15" x14ac:dyDescent="0.3">
      <c r="B988" s="4">
        <v>362</v>
      </c>
      <c r="C988" t="s">
        <v>49</v>
      </c>
      <c r="D988" t="s">
        <v>50</v>
      </c>
      <c r="E988" t="s">
        <v>51</v>
      </c>
      <c r="F988">
        <v>3</v>
      </c>
      <c r="G988" t="s">
        <v>22</v>
      </c>
      <c r="H988">
        <v>1</v>
      </c>
      <c r="I988" t="s">
        <v>13</v>
      </c>
      <c r="J988" t="s">
        <v>13</v>
      </c>
      <c r="K988" t="s">
        <v>13</v>
      </c>
      <c r="L988" t="s">
        <v>18</v>
      </c>
      <c r="O988" s="5"/>
    </row>
    <row r="989" spans="2:15" x14ac:dyDescent="0.3">
      <c r="B989" s="4">
        <v>1160</v>
      </c>
      <c r="C989" t="s">
        <v>92</v>
      </c>
      <c r="D989" t="s">
        <v>93</v>
      </c>
      <c r="E989" t="s">
        <v>11</v>
      </c>
      <c r="F989">
        <v>8</v>
      </c>
      <c r="G989" t="s">
        <v>88</v>
      </c>
      <c r="H989">
        <v>12</v>
      </c>
      <c r="I989" t="s">
        <v>13</v>
      </c>
      <c r="J989" t="s">
        <v>13</v>
      </c>
      <c r="K989" t="s">
        <v>13</v>
      </c>
      <c r="O989" s="5"/>
    </row>
    <row r="990" spans="2:15" x14ac:dyDescent="0.3">
      <c r="B990" s="4">
        <v>2220</v>
      </c>
      <c r="C990" t="s">
        <v>23</v>
      </c>
      <c r="D990" t="s">
        <v>24</v>
      </c>
      <c r="E990" t="s">
        <v>25</v>
      </c>
      <c r="F990">
        <v>1</v>
      </c>
      <c r="G990" t="s">
        <v>89</v>
      </c>
      <c r="H990">
        <v>11</v>
      </c>
      <c r="M990" t="s">
        <v>18</v>
      </c>
      <c r="N990" t="s">
        <v>13</v>
      </c>
      <c r="O990" s="5"/>
    </row>
    <row r="991" spans="2:15" x14ac:dyDescent="0.3">
      <c r="B991" s="4">
        <v>1053</v>
      </c>
      <c r="C991" t="s">
        <v>103</v>
      </c>
      <c r="D991" t="s">
        <v>104</v>
      </c>
      <c r="E991" t="s">
        <v>105</v>
      </c>
      <c r="F991">
        <v>2</v>
      </c>
      <c r="G991" t="s">
        <v>89</v>
      </c>
      <c r="H991">
        <v>11</v>
      </c>
      <c r="M991" t="s">
        <v>52</v>
      </c>
      <c r="N991" t="s">
        <v>18</v>
      </c>
      <c r="O991" s="5" t="s">
        <v>18</v>
      </c>
    </row>
    <row r="992" spans="2:15" x14ac:dyDescent="0.3">
      <c r="B992" s="4">
        <v>2106</v>
      </c>
      <c r="C992" t="s">
        <v>31</v>
      </c>
      <c r="D992" t="s">
        <v>32</v>
      </c>
      <c r="E992" t="s">
        <v>11</v>
      </c>
      <c r="F992">
        <v>8</v>
      </c>
      <c r="G992" t="s">
        <v>88</v>
      </c>
      <c r="H992">
        <v>12</v>
      </c>
      <c r="J992" t="s">
        <v>17</v>
      </c>
      <c r="K992" t="s">
        <v>17</v>
      </c>
      <c r="L992" t="s">
        <v>17</v>
      </c>
      <c r="M992" t="s">
        <v>17</v>
      </c>
      <c r="N992" t="s">
        <v>17</v>
      </c>
      <c r="O992" s="5" t="s">
        <v>13</v>
      </c>
    </row>
    <row r="993" spans="2:15" x14ac:dyDescent="0.3">
      <c r="B993" s="4">
        <v>782</v>
      </c>
      <c r="C993" t="s">
        <v>84</v>
      </c>
      <c r="D993" t="s">
        <v>85</v>
      </c>
      <c r="E993" t="s">
        <v>86</v>
      </c>
      <c r="F993">
        <v>12</v>
      </c>
      <c r="G993" t="s">
        <v>88</v>
      </c>
      <c r="H993">
        <v>12</v>
      </c>
      <c r="L993" t="s">
        <v>13</v>
      </c>
      <c r="M993" t="s">
        <v>18</v>
      </c>
      <c r="N993" t="s">
        <v>13</v>
      </c>
      <c r="O993" s="5" t="s">
        <v>18</v>
      </c>
    </row>
    <row r="994" spans="2:15" x14ac:dyDescent="0.3">
      <c r="B994" s="4">
        <v>3</v>
      </c>
      <c r="C994" t="s">
        <v>14</v>
      </c>
      <c r="D994" t="s">
        <v>15</v>
      </c>
      <c r="E994" t="s">
        <v>11</v>
      </c>
      <c r="F994">
        <v>8</v>
      </c>
      <c r="G994" t="s">
        <v>55</v>
      </c>
      <c r="H994">
        <v>2</v>
      </c>
      <c r="I994" t="s">
        <v>19</v>
      </c>
      <c r="J994" t="s">
        <v>52</v>
      </c>
      <c r="O994" s="5"/>
    </row>
    <row r="995" spans="2:15" x14ac:dyDescent="0.3">
      <c r="B995" s="4">
        <v>61</v>
      </c>
      <c r="C995" t="s">
        <v>49</v>
      </c>
      <c r="D995" t="s">
        <v>50</v>
      </c>
      <c r="E995" t="s">
        <v>51</v>
      </c>
      <c r="F995">
        <v>3</v>
      </c>
      <c r="G995" t="s">
        <v>22</v>
      </c>
      <c r="H995">
        <v>1</v>
      </c>
      <c r="I995" t="s">
        <v>13</v>
      </c>
      <c r="J995" t="s">
        <v>13</v>
      </c>
      <c r="O995" s="5"/>
    </row>
    <row r="996" spans="2:15" x14ac:dyDescent="0.3">
      <c r="B996" s="4">
        <v>506</v>
      </c>
      <c r="C996" t="s">
        <v>49</v>
      </c>
      <c r="D996" t="s">
        <v>50</v>
      </c>
      <c r="E996" t="s">
        <v>51</v>
      </c>
      <c r="F996">
        <v>3</v>
      </c>
      <c r="G996" t="s">
        <v>54</v>
      </c>
      <c r="H996">
        <v>8</v>
      </c>
      <c r="I996" t="s">
        <v>13</v>
      </c>
      <c r="J996" t="s">
        <v>13</v>
      </c>
      <c r="K996" t="s">
        <v>13</v>
      </c>
      <c r="L996" t="s">
        <v>13</v>
      </c>
      <c r="M996" t="s">
        <v>13</v>
      </c>
      <c r="N996" t="s">
        <v>13</v>
      </c>
      <c r="O996" s="5" t="s">
        <v>13</v>
      </c>
    </row>
    <row r="997" spans="2:15" x14ac:dyDescent="0.3">
      <c r="B997" s="4">
        <v>1085</v>
      </c>
      <c r="C997" t="s">
        <v>14</v>
      </c>
      <c r="D997" t="s">
        <v>15</v>
      </c>
      <c r="E997" t="s">
        <v>11</v>
      </c>
      <c r="F997">
        <v>8</v>
      </c>
      <c r="G997" t="s">
        <v>16</v>
      </c>
      <c r="H997">
        <v>6</v>
      </c>
      <c r="M997" t="s">
        <v>52</v>
      </c>
      <c r="N997" t="s">
        <v>52</v>
      </c>
      <c r="O997" s="5" t="s">
        <v>52</v>
      </c>
    </row>
    <row r="998" spans="2:15" x14ac:dyDescent="0.3">
      <c r="B998" s="4">
        <v>1418</v>
      </c>
      <c r="C998" t="s">
        <v>14</v>
      </c>
      <c r="D998" t="s">
        <v>15</v>
      </c>
      <c r="E998" t="s">
        <v>11</v>
      </c>
      <c r="F998">
        <v>8</v>
      </c>
      <c r="G998" t="s">
        <v>40</v>
      </c>
      <c r="H998">
        <v>3</v>
      </c>
      <c r="K998" t="s">
        <v>52</v>
      </c>
      <c r="L998" t="s">
        <v>19</v>
      </c>
      <c r="M998" t="s">
        <v>33</v>
      </c>
      <c r="N998" t="s">
        <v>33</v>
      </c>
      <c r="O998" s="5" t="s">
        <v>35</v>
      </c>
    </row>
    <row r="999" spans="2:15" x14ac:dyDescent="0.3">
      <c r="B999" s="4">
        <v>26</v>
      </c>
      <c r="C999" t="s">
        <v>49</v>
      </c>
      <c r="D999" t="s">
        <v>50</v>
      </c>
      <c r="E999" t="s">
        <v>51</v>
      </c>
      <c r="F999">
        <v>3</v>
      </c>
      <c r="G999" t="s">
        <v>66</v>
      </c>
      <c r="H999">
        <v>5</v>
      </c>
      <c r="I999" t="s">
        <v>13</v>
      </c>
      <c r="J999" t="s">
        <v>13</v>
      </c>
      <c r="K999" t="s">
        <v>13</v>
      </c>
      <c r="L999" t="s">
        <v>13</v>
      </c>
      <c r="M999" t="s">
        <v>18</v>
      </c>
      <c r="N999" t="s">
        <v>17</v>
      </c>
      <c r="O999" s="5" t="s">
        <v>19</v>
      </c>
    </row>
    <row r="1000" spans="2:15" x14ac:dyDescent="0.3">
      <c r="B1000" s="4">
        <v>962</v>
      </c>
      <c r="C1000" t="s">
        <v>23</v>
      </c>
      <c r="D1000" t="s">
        <v>24</v>
      </c>
      <c r="E1000" t="s">
        <v>25</v>
      </c>
      <c r="F1000">
        <v>1</v>
      </c>
      <c r="G1000" t="s">
        <v>16</v>
      </c>
      <c r="H1000">
        <v>6</v>
      </c>
      <c r="M1000" t="s">
        <v>18</v>
      </c>
      <c r="N1000" t="s">
        <v>13</v>
      </c>
      <c r="O1000" s="5" t="s">
        <v>13</v>
      </c>
    </row>
    <row r="1001" spans="2:15" x14ac:dyDescent="0.3">
      <c r="B1001" s="4">
        <v>189</v>
      </c>
      <c r="C1001" t="s">
        <v>97</v>
      </c>
      <c r="D1001" t="s">
        <v>79</v>
      </c>
      <c r="E1001" t="s">
        <v>110</v>
      </c>
      <c r="F1001">
        <v>9</v>
      </c>
      <c r="G1001" t="s">
        <v>57</v>
      </c>
      <c r="H1001">
        <v>10</v>
      </c>
      <c r="L1001" t="s">
        <v>17</v>
      </c>
      <c r="M1001" t="s">
        <v>13</v>
      </c>
      <c r="N1001" t="s">
        <v>18</v>
      </c>
      <c r="O1001" s="5" t="s">
        <v>17</v>
      </c>
    </row>
    <row r="1002" spans="2:15" x14ac:dyDescent="0.3">
      <c r="B1002" s="4">
        <v>63</v>
      </c>
      <c r="C1002" t="s">
        <v>92</v>
      </c>
      <c r="D1002" t="s">
        <v>93</v>
      </c>
      <c r="E1002" t="s">
        <v>11</v>
      </c>
      <c r="F1002">
        <v>8</v>
      </c>
      <c r="G1002" t="s">
        <v>38</v>
      </c>
      <c r="H1002">
        <v>13</v>
      </c>
      <c r="M1002" t="s">
        <v>19</v>
      </c>
      <c r="N1002" t="s">
        <v>19</v>
      </c>
      <c r="O1002" s="5" t="s">
        <v>52</v>
      </c>
    </row>
    <row r="1003" spans="2:15" x14ac:dyDescent="0.3">
      <c r="B1003" s="4">
        <v>202</v>
      </c>
      <c r="C1003" t="s">
        <v>31</v>
      </c>
      <c r="D1003" t="s">
        <v>32</v>
      </c>
      <c r="E1003" t="s">
        <v>11</v>
      </c>
      <c r="F1003">
        <v>8</v>
      </c>
      <c r="G1003" t="s">
        <v>26</v>
      </c>
      <c r="H1003">
        <v>4</v>
      </c>
      <c r="I1003" t="s">
        <v>13</v>
      </c>
      <c r="J1003" t="s">
        <v>13</v>
      </c>
      <c r="K1003" t="s">
        <v>13</v>
      </c>
      <c r="L1003" t="s">
        <v>13</v>
      </c>
      <c r="M1003" t="s">
        <v>13</v>
      </c>
      <c r="N1003" t="s">
        <v>19</v>
      </c>
      <c r="O1003" s="5" t="s">
        <v>13</v>
      </c>
    </row>
    <row r="1004" spans="2:15" x14ac:dyDescent="0.3">
      <c r="B1004" s="4">
        <v>156</v>
      </c>
      <c r="C1004" t="s">
        <v>49</v>
      </c>
      <c r="D1004" t="s">
        <v>50</v>
      </c>
      <c r="E1004" t="s">
        <v>51</v>
      </c>
      <c r="F1004">
        <v>3</v>
      </c>
      <c r="G1004" t="s">
        <v>12</v>
      </c>
      <c r="H1004">
        <v>7</v>
      </c>
      <c r="K1004" t="s">
        <v>13</v>
      </c>
      <c r="L1004" t="s">
        <v>19</v>
      </c>
      <c r="M1004" t="s">
        <v>13</v>
      </c>
      <c r="N1004" t="s">
        <v>19</v>
      </c>
      <c r="O1004" s="5" t="s">
        <v>17</v>
      </c>
    </row>
    <row r="1005" spans="2:15" x14ac:dyDescent="0.3">
      <c r="B1005" s="4">
        <v>2533</v>
      </c>
      <c r="C1005" t="s">
        <v>14</v>
      </c>
      <c r="D1005" t="s">
        <v>15</v>
      </c>
      <c r="E1005" t="s">
        <v>11</v>
      </c>
      <c r="F1005">
        <v>8</v>
      </c>
      <c r="G1005" t="s">
        <v>22</v>
      </c>
      <c r="H1005">
        <v>1</v>
      </c>
      <c r="N1005" t="s">
        <v>13</v>
      </c>
      <c r="O1005" s="5" t="s">
        <v>13</v>
      </c>
    </row>
    <row r="1006" spans="2:15" x14ac:dyDescent="0.3">
      <c r="B1006" s="4">
        <v>2023</v>
      </c>
      <c r="C1006" t="s">
        <v>14</v>
      </c>
      <c r="D1006" t="s">
        <v>15</v>
      </c>
      <c r="E1006" t="s">
        <v>11</v>
      </c>
      <c r="F1006">
        <v>8</v>
      </c>
      <c r="G1006" t="s">
        <v>58</v>
      </c>
      <c r="H1006">
        <v>17</v>
      </c>
      <c r="L1006" t="s">
        <v>13</v>
      </c>
      <c r="M1006" t="s">
        <v>18</v>
      </c>
      <c r="N1006" t="s">
        <v>13</v>
      </c>
      <c r="O1006" s="5"/>
    </row>
    <row r="1007" spans="2:15" x14ac:dyDescent="0.3">
      <c r="B1007" s="4">
        <v>1161</v>
      </c>
      <c r="C1007" t="s">
        <v>43</v>
      </c>
      <c r="D1007" t="s">
        <v>44</v>
      </c>
      <c r="E1007" t="s">
        <v>45</v>
      </c>
      <c r="F1007">
        <v>5</v>
      </c>
      <c r="G1007" t="s">
        <v>54</v>
      </c>
      <c r="H1007">
        <v>8</v>
      </c>
      <c r="M1007" t="s">
        <v>13</v>
      </c>
      <c r="N1007" t="s">
        <v>19</v>
      </c>
      <c r="O1007" s="5" t="s">
        <v>17</v>
      </c>
    </row>
    <row r="1008" spans="2:15" x14ac:dyDescent="0.3">
      <c r="B1008" s="4">
        <v>927</v>
      </c>
      <c r="C1008" t="s">
        <v>23</v>
      </c>
      <c r="D1008" t="s">
        <v>24</v>
      </c>
      <c r="E1008" t="s">
        <v>25</v>
      </c>
      <c r="F1008">
        <v>1</v>
      </c>
      <c r="G1008" t="s">
        <v>40</v>
      </c>
      <c r="H1008">
        <v>3</v>
      </c>
      <c r="M1008" t="s">
        <v>18</v>
      </c>
      <c r="N1008" t="s">
        <v>19</v>
      </c>
      <c r="O1008" s="5" t="s">
        <v>19</v>
      </c>
    </row>
    <row r="1009" spans="2:15" x14ac:dyDescent="0.3">
      <c r="B1009" s="4">
        <v>254</v>
      </c>
      <c r="C1009" t="s">
        <v>23</v>
      </c>
      <c r="D1009" t="s">
        <v>24</v>
      </c>
      <c r="E1009" t="s">
        <v>25</v>
      </c>
      <c r="F1009">
        <v>1</v>
      </c>
      <c r="G1009" t="s">
        <v>22</v>
      </c>
      <c r="H1009">
        <v>1</v>
      </c>
      <c r="N1009" t="s">
        <v>17</v>
      </c>
      <c r="O1009" s="5" t="s">
        <v>13</v>
      </c>
    </row>
    <row r="1010" spans="2:15" x14ac:dyDescent="0.3">
      <c r="B1010" s="4">
        <v>872</v>
      </c>
      <c r="C1010" t="s">
        <v>31</v>
      </c>
      <c r="D1010" t="s">
        <v>32</v>
      </c>
      <c r="E1010" t="s">
        <v>11</v>
      </c>
      <c r="F1010">
        <v>8</v>
      </c>
      <c r="G1010" t="s">
        <v>22</v>
      </c>
      <c r="H1010">
        <v>1</v>
      </c>
      <c r="K1010" t="s">
        <v>17</v>
      </c>
      <c r="L1010" t="s">
        <v>17</v>
      </c>
      <c r="M1010" t="s">
        <v>19</v>
      </c>
      <c r="N1010" t="s">
        <v>52</v>
      </c>
      <c r="O1010" s="5" t="s">
        <v>18</v>
      </c>
    </row>
    <row r="1011" spans="2:15" x14ac:dyDescent="0.3">
      <c r="B1011" s="4">
        <v>26</v>
      </c>
      <c r="C1011" t="s">
        <v>9</v>
      </c>
      <c r="D1011" t="s">
        <v>10</v>
      </c>
      <c r="E1011" t="s">
        <v>11</v>
      </c>
      <c r="F1011">
        <v>8</v>
      </c>
      <c r="G1011" t="s">
        <v>30</v>
      </c>
      <c r="H1011">
        <v>18</v>
      </c>
      <c r="J1011" t="s">
        <v>18</v>
      </c>
      <c r="K1011" t="s">
        <v>13</v>
      </c>
      <c r="L1011" t="s">
        <v>13</v>
      </c>
      <c r="M1011" t="s">
        <v>18</v>
      </c>
      <c r="N1011" t="s">
        <v>17</v>
      </c>
      <c r="O1011" s="5" t="s">
        <v>19</v>
      </c>
    </row>
    <row r="1012" spans="2:15" x14ac:dyDescent="0.3">
      <c r="B1012" s="4">
        <v>734</v>
      </c>
      <c r="C1012" t="s">
        <v>9</v>
      </c>
      <c r="D1012" t="s">
        <v>10</v>
      </c>
      <c r="E1012" t="s">
        <v>11</v>
      </c>
      <c r="F1012">
        <v>8</v>
      </c>
      <c r="G1012" t="s">
        <v>55</v>
      </c>
      <c r="H1012">
        <v>2</v>
      </c>
      <c r="M1012" t="s">
        <v>19</v>
      </c>
      <c r="N1012" t="s">
        <v>19</v>
      </c>
      <c r="O1012" s="5" t="s">
        <v>52</v>
      </c>
    </row>
    <row r="1013" spans="2:15" x14ac:dyDescent="0.3">
      <c r="B1013" s="4">
        <v>998</v>
      </c>
      <c r="C1013" t="s">
        <v>9</v>
      </c>
      <c r="D1013" t="s">
        <v>10</v>
      </c>
      <c r="E1013" t="s">
        <v>11</v>
      </c>
      <c r="F1013">
        <v>8</v>
      </c>
      <c r="G1013" t="s">
        <v>54</v>
      </c>
      <c r="H1013">
        <v>8</v>
      </c>
      <c r="I1013" t="s">
        <v>18</v>
      </c>
      <c r="J1013" t="s">
        <v>13</v>
      </c>
      <c r="K1013" t="s">
        <v>13</v>
      </c>
      <c r="L1013" t="s">
        <v>13</v>
      </c>
      <c r="M1013" t="s">
        <v>18</v>
      </c>
      <c r="N1013" t="s">
        <v>13</v>
      </c>
      <c r="O1013" s="5" t="s">
        <v>13</v>
      </c>
    </row>
    <row r="1014" spans="2:15" x14ac:dyDescent="0.3">
      <c r="B1014" s="4">
        <v>552</v>
      </c>
      <c r="C1014" t="s">
        <v>106</v>
      </c>
      <c r="D1014" t="s">
        <v>107</v>
      </c>
      <c r="E1014" t="s">
        <v>11</v>
      </c>
      <c r="F1014">
        <v>8</v>
      </c>
      <c r="G1014" t="s">
        <v>16</v>
      </c>
      <c r="H1014">
        <v>6</v>
      </c>
      <c r="J1014" t="s">
        <v>13</v>
      </c>
      <c r="K1014" t="s">
        <v>13</v>
      </c>
      <c r="L1014" t="s">
        <v>13</v>
      </c>
      <c r="M1014" t="s">
        <v>13</v>
      </c>
      <c r="O1014" s="5"/>
    </row>
    <row r="1015" spans="2:15" x14ac:dyDescent="0.3">
      <c r="B1015" s="4">
        <v>17</v>
      </c>
      <c r="C1015" t="s">
        <v>27</v>
      </c>
      <c r="D1015" t="s">
        <v>28</v>
      </c>
      <c r="E1015" t="s">
        <v>29</v>
      </c>
      <c r="F1015">
        <v>6</v>
      </c>
      <c r="G1015" t="s">
        <v>22</v>
      </c>
      <c r="H1015">
        <v>1</v>
      </c>
      <c r="N1015" t="s">
        <v>13</v>
      </c>
      <c r="O1015" s="5" t="s">
        <v>13</v>
      </c>
    </row>
    <row r="1016" spans="2:15" x14ac:dyDescent="0.3">
      <c r="B1016" s="4">
        <v>1525</v>
      </c>
      <c r="C1016" t="s">
        <v>49</v>
      </c>
      <c r="D1016" t="s">
        <v>50</v>
      </c>
      <c r="E1016" t="s">
        <v>51</v>
      </c>
      <c r="F1016">
        <v>3</v>
      </c>
      <c r="G1016" t="s">
        <v>30</v>
      </c>
      <c r="H1016">
        <v>18</v>
      </c>
      <c r="N1016" t="s">
        <v>18</v>
      </c>
      <c r="O1016" s="5" t="s">
        <v>18</v>
      </c>
    </row>
    <row r="1017" spans="2:15" x14ac:dyDescent="0.3">
      <c r="B1017" s="4">
        <v>167</v>
      </c>
      <c r="C1017" t="s">
        <v>75</v>
      </c>
      <c r="D1017" t="s">
        <v>76</v>
      </c>
      <c r="E1017" t="s">
        <v>77</v>
      </c>
      <c r="F1017">
        <v>7</v>
      </c>
      <c r="G1017" t="s">
        <v>74</v>
      </c>
      <c r="H1017">
        <v>15</v>
      </c>
      <c r="I1017" t="s">
        <v>13</v>
      </c>
      <c r="J1017" t="s">
        <v>13</v>
      </c>
      <c r="K1017" t="s">
        <v>13</v>
      </c>
      <c r="L1017" t="s">
        <v>13</v>
      </c>
      <c r="M1017" t="s">
        <v>18</v>
      </c>
      <c r="N1017" t="s">
        <v>18</v>
      </c>
      <c r="O1017" s="5" t="s">
        <v>17</v>
      </c>
    </row>
    <row r="1018" spans="2:15" x14ac:dyDescent="0.3">
      <c r="B1018" s="4">
        <v>1444</v>
      </c>
      <c r="C1018" t="s">
        <v>84</v>
      </c>
      <c r="D1018" t="s">
        <v>85</v>
      </c>
      <c r="E1018" t="s">
        <v>86</v>
      </c>
      <c r="F1018">
        <v>12</v>
      </c>
      <c r="G1018" t="s">
        <v>54</v>
      </c>
      <c r="H1018">
        <v>8</v>
      </c>
      <c r="I1018" t="s">
        <v>17</v>
      </c>
      <c r="J1018" t="s">
        <v>18</v>
      </c>
      <c r="K1018" t="s">
        <v>18</v>
      </c>
      <c r="O1018" s="5"/>
    </row>
    <row r="1019" spans="2:15" x14ac:dyDescent="0.3">
      <c r="B1019" s="4">
        <v>409</v>
      </c>
      <c r="C1019" t="s">
        <v>14</v>
      </c>
      <c r="D1019" t="s">
        <v>15</v>
      </c>
      <c r="E1019" t="s">
        <v>11</v>
      </c>
      <c r="F1019">
        <v>8</v>
      </c>
      <c r="G1019" t="s">
        <v>54</v>
      </c>
      <c r="H1019">
        <v>8</v>
      </c>
      <c r="N1019" t="s">
        <v>18</v>
      </c>
      <c r="O1019" s="5" t="s">
        <v>17</v>
      </c>
    </row>
    <row r="1020" spans="2:15" x14ac:dyDescent="0.3">
      <c r="B1020" s="4">
        <v>668</v>
      </c>
      <c r="C1020" t="s">
        <v>14</v>
      </c>
      <c r="D1020" t="s">
        <v>15</v>
      </c>
      <c r="E1020" t="s">
        <v>11</v>
      </c>
      <c r="F1020">
        <v>8</v>
      </c>
      <c r="G1020" t="s">
        <v>30</v>
      </c>
      <c r="H1020">
        <v>18</v>
      </c>
      <c r="M1020" t="s">
        <v>17</v>
      </c>
      <c r="N1020" t="s">
        <v>17</v>
      </c>
      <c r="O1020" s="5" t="s">
        <v>18</v>
      </c>
    </row>
    <row r="1021" spans="2:15" x14ac:dyDescent="0.3">
      <c r="B1021" s="4">
        <v>2603</v>
      </c>
      <c r="C1021" t="s">
        <v>61</v>
      </c>
      <c r="D1021" t="s">
        <v>62</v>
      </c>
      <c r="E1021" t="s">
        <v>11</v>
      </c>
      <c r="F1021">
        <v>8</v>
      </c>
      <c r="G1021" t="s">
        <v>30</v>
      </c>
      <c r="H1021">
        <v>18</v>
      </c>
      <c r="M1021" t="s">
        <v>17</v>
      </c>
      <c r="N1021" t="s">
        <v>19</v>
      </c>
      <c r="O1021" s="5" t="s">
        <v>52</v>
      </c>
    </row>
    <row r="1022" spans="2:15" x14ac:dyDescent="0.3">
      <c r="B1022" s="4">
        <v>670</v>
      </c>
      <c r="C1022" t="s">
        <v>98</v>
      </c>
      <c r="D1022" t="s">
        <v>99</v>
      </c>
      <c r="E1022" t="s">
        <v>77</v>
      </c>
      <c r="F1022">
        <v>7</v>
      </c>
      <c r="G1022" t="s">
        <v>40</v>
      </c>
      <c r="H1022">
        <v>3</v>
      </c>
      <c r="I1022" t="s">
        <v>19</v>
      </c>
      <c r="J1022" t="s">
        <v>19</v>
      </c>
      <c r="K1022" t="s">
        <v>19</v>
      </c>
      <c r="L1022" t="s">
        <v>34</v>
      </c>
      <c r="O1022" s="5"/>
    </row>
    <row r="1023" spans="2:15" x14ac:dyDescent="0.3">
      <c r="B1023" s="4">
        <v>284</v>
      </c>
      <c r="C1023" t="s">
        <v>27</v>
      </c>
      <c r="D1023" t="s">
        <v>28</v>
      </c>
      <c r="E1023" t="s">
        <v>29</v>
      </c>
      <c r="F1023">
        <v>6</v>
      </c>
      <c r="G1023" t="s">
        <v>30</v>
      </c>
      <c r="H1023">
        <v>18</v>
      </c>
      <c r="M1023" t="s">
        <v>13</v>
      </c>
      <c r="N1023" t="s">
        <v>17</v>
      </c>
      <c r="O1023" s="5" t="s">
        <v>17</v>
      </c>
    </row>
    <row r="1024" spans="2:15" x14ac:dyDescent="0.3">
      <c r="B1024" s="4">
        <v>93</v>
      </c>
      <c r="C1024" t="s">
        <v>31</v>
      </c>
      <c r="D1024" t="s">
        <v>32</v>
      </c>
      <c r="E1024" t="s">
        <v>11</v>
      </c>
      <c r="F1024">
        <v>8</v>
      </c>
      <c r="G1024" t="s">
        <v>57</v>
      </c>
      <c r="H1024">
        <v>10</v>
      </c>
      <c r="I1024" t="s">
        <v>18</v>
      </c>
      <c r="J1024" t="s">
        <v>17</v>
      </c>
      <c r="K1024" t="s">
        <v>18</v>
      </c>
      <c r="L1024" t="s">
        <v>19</v>
      </c>
      <c r="M1024" t="s">
        <v>18</v>
      </c>
      <c r="N1024" t="s">
        <v>17</v>
      </c>
      <c r="O1024" s="5" t="s">
        <v>17</v>
      </c>
    </row>
    <row r="1025" spans="2:15" x14ac:dyDescent="0.3">
      <c r="B1025" s="4">
        <v>92</v>
      </c>
      <c r="C1025" t="s">
        <v>31</v>
      </c>
      <c r="D1025" t="s">
        <v>32</v>
      </c>
      <c r="E1025" t="s">
        <v>11</v>
      </c>
      <c r="F1025">
        <v>8</v>
      </c>
      <c r="G1025" t="s">
        <v>57</v>
      </c>
      <c r="H1025">
        <v>10</v>
      </c>
      <c r="I1025" t="s">
        <v>18</v>
      </c>
      <c r="J1025" t="s">
        <v>17</v>
      </c>
      <c r="K1025" t="s">
        <v>17</v>
      </c>
      <c r="L1025" t="s">
        <v>19</v>
      </c>
      <c r="M1025" t="s">
        <v>19</v>
      </c>
      <c r="N1025" t="s">
        <v>18</v>
      </c>
      <c r="O1025" s="5" t="s">
        <v>18</v>
      </c>
    </row>
    <row r="1026" spans="2:15" x14ac:dyDescent="0.3">
      <c r="B1026" s="4">
        <v>2178</v>
      </c>
      <c r="C1026" t="s">
        <v>70</v>
      </c>
      <c r="D1026" t="s">
        <v>71</v>
      </c>
      <c r="E1026" t="s">
        <v>11</v>
      </c>
      <c r="F1026">
        <v>8</v>
      </c>
      <c r="G1026" t="s">
        <v>88</v>
      </c>
      <c r="H1026">
        <v>12</v>
      </c>
      <c r="M1026" t="s">
        <v>18</v>
      </c>
      <c r="N1026" t="s">
        <v>19</v>
      </c>
      <c r="O1026" s="5"/>
    </row>
    <row r="1027" spans="2:15" x14ac:dyDescent="0.3">
      <c r="B1027" s="4">
        <v>51</v>
      </c>
      <c r="C1027" t="s">
        <v>9</v>
      </c>
      <c r="D1027" t="s">
        <v>10</v>
      </c>
      <c r="E1027" t="s">
        <v>11</v>
      </c>
      <c r="F1027">
        <v>8</v>
      </c>
      <c r="G1027" t="s">
        <v>88</v>
      </c>
      <c r="H1027">
        <v>12</v>
      </c>
      <c r="K1027" t="s">
        <v>33</v>
      </c>
      <c r="L1027" t="s">
        <v>34</v>
      </c>
      <c r="M1027" t="s">
        <v>34</v>
      </c>
      <c r="N1027" t="s">
        <v>52</v>
      </c>
      <c r="O1027" s="5" t="s">
        <v>52</v>
      </c>
    </row>
    <row r="1028" spans="2:15" x14ac:dyDescent="0.3">
      <c r="B1028" s="4">
        <v>681</v>
      </c>
      <c r="C1028" t="s">
        <v>49</v>
      </c>
      <c r="D1028" t="s">
        <v>50</v>
      </c>
      <c r="E1028" t="s">
        <v>51</v>
      </c>
      <c r="F1028">
        <v>3</v>
      </c>
      <c r="G1028" t="s">
        <v>16</v>
      </c>
      <c r="H1028">
        <v>6</v>
      </c>
      <c r="K1028" t="s">
        <v>13</v>
      </c>
      <c r="L1028" t="s">
        <v>13</v>
      </c>
      <c r="O1028" s="5"/>
    </row>
    <row r="1029" spans="2:15" x14ac:dyDescent="0.3">
      <c r="B1029" s="4">
        <v>866</v>
      </c>
      <c r="C1029" t="s">
        <v>49</v>
      </c>
      <c r="D1029" t="s">
        <v>50</v>
      </c>
      <c r="E1029" t="s">
        <v>51</v>
      </c>
      <c r="F1029">
        <v>3</v>
      </c>
      <c r="G1029" t="s">
        <v>16</v>
      </c>
      <c r="H1029">
        <v>6</v>
      </c>
      <c r="M1029" t="s">
        <v>13</v>
      </c>
      <c r="N1029" t="s">
        <v>13</v>
      </c>
      <c r="O1029" s="5" t="s">
        <v>13</v>
      </c>
    </row>
    <row r="1030" spans="2:15" x14ac:dyDescent="0.3">
      <c r="B1030" s="4">
        <v>1750</v>
      </c>
      <c r="C1030" t="s">
        <v>9</v>
      </c>
      <c r="D1030" t="s">
        <v>10</v>
      </c>
      <c r="E1030" t="s">
        <v>11</v>
      </c>
      <c r="F1030">
        <v>8</v>
      </c>
      <c r="G1030" t="s">
        <v>40</v>
      </c>
      <c r="H1030">
        <v>3</v>
      </c>
      <c r="N1030" t="s">
        <v>13</v>
      </c>
      <c r="O1030" s="5" t="s">
        <v>13</v>
      </c>
    </row>
    <row r="1031" spans="2:15" x14ac:dyDescent="0.3">
      <c r="B1031" s="4">
        <v>2035</v>
      </c>
      <c r="C1031" t="s">
        <v>9</v>
      </c>
      <c r="D1031" t="s">
        <v>10</v>
      </c>
      <c r="E1031" t="s">
        <v>11</v>
      </c>
      <c r="F1031">
        <v>8</v>
      </c>
      <c r="G1031" t="s">
        <v>87</v>
      </c>
      <c r="H1031">
        <v>9</v>
      </c>
      <c r="L1031" t="s">
        <v>18</v>
      </c>
      <c r="M1031" t="s">
        <v>18</v>
      </c>
      <c r="N1031" t="s">
        <v>13</v>
      </c>
      <c r="O1031" s="5"/>
    </row>
    <row r="1032" spans="2:15" x14ac:dyDescent="0.3">
      <c r="B1032" s="4">
        <v>756</v>
      </c>
      <c r="C1032" t="s">
        <v>49</v>
      </c>
      <c r="D1032" t="s">
        <v>50</v>
      </c>
      <c r="E1032" t="s">
        <v>51</v>
      </c>
      <c r="F1032">
        <v>3</v>
      </c>
      <c r="G1032" t="s">
        <v>87</v>
      </c>
      <c r="H1032">
        <v>9</v>
      </c>
      <c r="N1032" t="s">
        <v>17</v>
      </c>
      <c r="O1032" s="5" t="s">
        <v>18</v>
      </c>
    </row>
    <row r="1033" spans="2:15" x14ac:dyDescent="0.3">
      <c r="B1033" s="4">
        <v>211</v>
      </c>
      <c r="C1033" t="s">
        <v>46</v>
      </c>
      <c r="D1033" t="s">
        <v>47</v>
      </c>
      <c r="E1033" t="s">
        <v>11</v>
      </c>
      <c r="F1033">
        <v>8</v>
      </c>
      <c r="G1033" t="s">
        <v>26</v>
      </c>
      <c r="H1033">
        <v>4</v>
      </c>
      <c r="L1033" t="s">
        <v>13</v>
      </c>
      <c r="M1033" t="s">
        <v>17</v>
      </c>
      <c r="N1033" t="s">
        <v>13</v>
      </c>
      <c r="O1033" s="5" t="s">
        <v>17</v>
      </c>
    </row>
    <row r="1034" spans="2:15" x14ac:dyDescent="0.3">
      <c r="B1034" s="4">
        <v>273</v>
      </c>
      <c r="C1034" t="s">
        <v>46</v>
      </c>
      <c r="D1034" t="s">
        <v>47</v>
      </c>
      <c r="E1034" t="s">
        <v>11</v>
      </c>
      <c r="F1034">
        <v>8</v>
      </c>
      <c r="G1034" t="s">
        <v>26</v>
      </c>
      <c r="H1034">
        <v>4</v>
      </c>
      <c r="I1034" t="s">
        <v>13</v>
      </c>
      <c r="J1034" t="s">
        <v>18</v>
      </c>
      <c r="K1034" t="s">
        <v>18</v>
      </c>
      <c r="L1034" t="s">
        <v>18</v>
      </c>
      <c r="N1034" t="s">
        <v>18</v>
      </c>
      <c r="O1034" s="5" t="s">
        <v>17</v>
      </c>
    </row>
    <row r="1035" spans="2:15" x14ac:dyDescent="0.3">
      <c r="B1035" s="4">
        <v>10</v>
      </c>
      <c r="C1035" t="s">
        <v>14</v>
      </c>
      <c r="D1035" t="s">
        <v>15</v>
      </c>
      <c r="E1035" t="s">
        <v>11</v>
      </c>
      <c r="F1035">
        <v>8</v>
      </c>
      <c r="G1035" t="s">
        <v>12</v>
      </c>
      <c r="H1035">
        <v>7</v>
      </c>
      <c r="I1035" t="s">
        <v>18</v>
      </c>
      <c r="J1035" t="s">
        <v>17</v>
      </c>
      <c r="K1035" t="s">
        <v>18</v>
      </c>
      <c r="L1035" t="s">
        <v>18</v>
      </c>
      <c r="M1035" t="s">
        <v>13</v>
      </c>
      <c r="N1035" t="s">
        <v>18</v>
      </c>
      <c r="O1035" s="5"/>
    </row>
    <row r="1036" spans="2:15" x14ac:dyDescent="0.3">
      <c r="B1036" s="4">
        <v>304</v>
      </c>
      <c r="C1036" t="s">
        <v>46</v>
      </c>
      <c r="D1036" t="s">
        <v>47</v>
      </c>
      <c r="E1036" t="s">
        <v>11</v>
      </c>
      <c r="F1036">
        <v>8</v>
      </c>
      <c r="G1036" t="s">
        <v>30</v>
      </c>
      <c r="H1036">
        <v>18</v>
      </c>
      <c r="M1036" t="s">
        <v>18</v>
      </c>
      <c r="N1036" t="s">
        <v>18</v>
      </c>
      <c r="O1036" s="5"/>
    </row>
    <row r="1037" spans="2:15" x14ac:dyDescent="0.3">
      <c r="B1037" s="4">
        <v>546</v>
      </c>
      <c r="C1037" t="s">
        <v>46</v>
      </c>
      <c r="D1037" t="s">
        <v>47</v>
      </c>
      <c r="E1037" t="s">
        <v>11</v>
      </c>
      <c r="F1037">
        <v>8</v>
      </c>
      <c r="G1037" t="s">
        <v>30</v>
      </c>
      <c r="H1037">
        <v>18</v>
      </c>
      <c r="L1037" t="s">
        <v>13</v>
      </c>
      <c r="M1037" t="s">
        <v>13</v>
      </c>
      <c r="O1037" s="5"/>
    </row>
    <row r="1038" spans="2:15" x14ac:dyDescent="0.3">
      <c r="B1038" s="4">
        <v>2582</v>
      </c>
      <c r="C1038" t="s">
        <v>14</v>
      </c>
      <c r="D1038" t="s">
        <v>15</v>
      </c>
      <c r="E1038" t="s">
        <v>11</v>
      </c>
      <c r="F1038">
        <v>8</v>
      </c>
      <c r="G1038" t="s">
        <v>30</v>
      </c>
      <c r="H1038">
        <v>18</v>
      </c>
      <c r="N1038" t="s">
        <v>18</v>
      </c>
      <c r="O1038" s="5" t="s">
        <v>18</v>
      </c>
    </row>
    <row r="1039" spans="2:15" x14ac:dyDescent="0.3">
      <c r="B1039" s="4">
        <v>1031</v>
      </c>
      <c r="C1039" t="s">
        <v>14</v>
      </c>
      <c r="D1039" t="s">
        <v>15</v>
      </c>
      <c r="E1039" t="s">
        <v>11</v>
      </c>
      <c r="F1039">
        <v>8</v>
      </c>
      <c r="G1039" t="s">
        <v>54</v>
      </c>
      <c r="H1039">
        <v>8</v>
      </c>
      <c r="K1039" t="s">
        <v>17</v>
      </c>
      <c r="L1039" t="s">
        <v>13</v>
      </c>
      <c r="M1039" t="s">
        <v>18</v>
      </c>
      <c r="N1039" t="s">
        <v>17</v>
      </c>
      <c r="O1039" s="5" t="s">
        <v>18</v>
      </c>
    </row>
    <row r="1040" spans="2:15" x14ac:dyDescent="0.3">
      <c r="B1040" s="4">
        <v>2012</v>
      </c>
      <c r="C1040" t="s">
        <v>14</v>
      </c>
      <c r="D1040" t="s">
        <v>15</v>
      </c>
      <c r="E1040" t="s">
        <v>11</v>
      </c>
      <c r="F1040">
        <v>8</v>
      </c>
      <c r="G1040" t="s">
        <v>55</v>
      </c>
      <c r="H1040">
        <v>2</v>
      </c>
      <c r="L1040" t="s">
        <v>13</v>
      </c>
      <c r="M1040" t="s">
        <v>13</v>
      </c>
      <c r="O1040" s="5"/>
    </row>
    <row r="1041" spans="2:15" x14ac:dyDescent="0.3">
      <c r="B1041" s="4">
        <v>2513</v>
      </c>
      <c r="C1041" t="s">
        <v>14</v>
      </c>
      <c r="D1041" t="s">
        <v>15</v>
      </c>
      <c r="E1041" t="s">
        <v>11</v>
      </c>
      <c r="F1041">
        <v>8</v>
      </c>
      <c r="G1041" t="s">
        <v>55</v>
      </c>
      <c r="H1041">
        <v>2</v>
      </c>
      <c r="N1041" t="s">
        <v>18</v>
      </c>
      <c r="O1041" s="5" t="s">
        <v>18</v>
      </c>
    </row>
    <row r="1042" spans="2:15" x14ac:dyDescent="0.3">
      <c r="B1042" s="4">
        <v>1415</v>
      </c>
      <c r="C1042" t="s">
        <v>23</v>
      </c>
      <c r="D1042" t="s">
        <v>24</v>
      </c>
      <c r="E1042" t="s">
        <v>25</v>
      </c>
      <c r="F1042">
        <v>1</v>
      </c>
      <c r="G1042" t="s">
        <v>58</v>
      </c>
      <c r="H1042">
        <v>17</v>
      </c>
      <c r="N1042" t="s">
        <v>18</v>
      </c>
      <c r="O1042" s="5" t="s">
        <v>18</v>
      </c>
    </row>
    <row r="1043" spans="2:15" x14ac:dyDescent="0.3">
      <c r="B1043" s="4">
        <v>334</v>
      </c>
      <c r="C1043" t="s">
        <v>46</v>
      </c>
      <c r="D1043" t="s">
        <v>47</v>
      </c>
      <c r="E1043" t="s">
        <v>11</v>
      </c>
      <c r="F1043">
        <v>8</v>
      </c>
      <c r="G1043" t="s">
        <v>58</v>
      </c>
      <c r="H1043">
        <v>17</v>
      </c>
      <c r="L1043" t="s">
        <v>18</v>
      </c>
      <c r="M1043" t="s">
        <v>52</v>
      </c>
      <c r="N1043" t="s">
        <v>52</v>
      </c>
      <c r="O1043" s="5"/>
    </row>
    <row r="1044" spans="2:15" x14ac:dyDescent="0.3">
      <c r="B1044" s="4">
        <v>330</v>
      </c>
      <c r="C1044" t="s">
        <v>46</v>
      </c>
      <c r="D1044" t="s">
        <v>47</v>
      </c>
      <c r="E1044" t="s">
        <v>11</v>
      </c>
      <c r="F1044">
        <v>8</v>
      </c>
      <c r="G1044" t="s">
        <v>58</v>
      </c>
      <c r="H1044">
        <v>17</v>
      </c>
      <c r="M1044" t="s">
        <v>13</v>
      </c>
      <c r="N1044" t="s">
        <v>17</v>
      </c>
      <c r="O1044" s="5"/>
    </row>
    <row r="1045" spans="2:15" x14ac:dyDescent="0.3">
      <c r="B1045" s="4">
        <v>1375</v>
      </c>
      <c r="C1045" t="s">
        <v>14</v>
      </c>
      <c r="D1045" t="s">
        <v>15</v>
      </c>
      <c r="E1045" t="s">
        <v>11</v>
      </c>
      <c r="F1045">
        <v>8</v>
      </c>
      <c r="G1045" t="s">
        <v>58</v>
      </c>
      <c r="H1045">
        <v>17</v>
      </c>
      <c r="N1045" t="s">
        <v>17</v>
      </c>
      <c r="O1045" s="5" t="s">
        <v>18</v>
      </c>
    </row>
    <row r="1046" spans="2:15" x14ac:dyDescent="0.3">
      <c r="B1046" s="4">
        <v>1211</v>
      </c>
      <c r="C1046" t="s">
        <v>46</v>
      </c>
      <c r="D1046" t="s">
        <v>47</v>
      </c>
      <c r="E1046" t="s">
        <v>11</v>
      </c>
      <c r="F1046">
        <v>8</v>
      </c>
      <c r="G1046" t="s">
        <v>55</v>
      </c>
      <c r="H1046">
        <v>2</v>
      </c>
      <c r="J1046" t="s">
        <v>18</v>
      </c>
      <c r="K1046" t="s">
        <v>18</v>
      </c>
      <c r="L1046" t="s">
        <v>18</v>
      </c>
      <c r="O1046" s="5"/>
    </row>
    <row r="1047" spans="2:15" x14ac:dyDescent="0.3">
      <c r="B1047" s="4">
        <v>62</v>
      </c>
      <c r="C1047" t="s">
        <v>63</v>
      </c>
      <c r="D1047" t="s">
        <v>64</v>
      </c>
      <c r="E1047" t="s">
        <v>65</v>
      </c>
      <c r="F1047">
        <v>14</v>
      </c>
      <c r="G1047" t="s">
        <v>55</v>
      </c>
      <c r="H1047">
        <v>2</v>
      </c>
      <c r="I1047" t="s">
        <v>52</v>
      </c>
      <c r="J1047" t="s">
        <v>19</v>
      </c>
      <c r="K1047" t="s">
        <v>13</v>
      </c>
      <c r="L1047" t="s">
        <v>18</v>
      </c>
      <c r="O1047" s="5"/>
    </row>
    <row r="1048" spans="2:15" x14ac:dyDescent="0.3">
      <c r="B1048" s="4">
        <v>1637</v>
      </c>
      <c r="C1048" t="s">
        <v>92</v>
      </c>
      <c r="D1048" t="s">
        <v>93</v>
      </c>
      <c r="E1048" t="s">
        <v>11</v>
      </c>
      <c r="F1048">
        <v>8</v>
      </c>
      <c r="G1048" t="s">
        <v>66</v>
      </c>
      <c r="H1048">
        <v>5</v>
      </c>
      <c r="K1048" t="s">
        <v>13</v>
      </c>
      <c r="L1048" t="s">
        <v>18</v>
      </c>
      <c r="M1048" t="s">
        <v>17</v>
      </c>
      <c r="N1048" t="s">
        <v>19</v>
      </c>
      <c r="O1048" s="5"/>
    </row>
    <row r="1049" spans="2:15" x14ac:dyDescent="0.3">
      <c r="B1049" s="4">
        <v>3011</v>
      </c>
      <c r="C1049" t="s">
        <v>20</v>
      </c>
      <c r="D1049" t="s">
        <v>21</v>
      </c>
      <c r="E1049" t="s">
        <v>11</v>
      </c>
      <c r="F1049">
        <v>8</v>
      </c>
      <c r="G1049" t="s">
        <v>66</v>
      </c>
      <c r="H1049">
        <v>5</v>
      </c>
      <c r="L1049" t="s">
        <v>19</v>
      </c>
      <c r="M1049" t="s">
        <v>18</v>
      </c>
      <c r="N1049" t="s">
        <v>18</v>
      </c>
      <c r="O1049" s="5" t="s">
        <v>19</v>
      </c>
    </row>
    <row r="1050" spans="2:15" x14ac:dyDescent="0.3">
      <c r="B1050" s="4">
        <v>1122</v>
      </c>
      <c r="C1050" t="s">
        <v>9</v>
      </c>
      <c r="D1050" t="s">
        <v>10</v>
      </c>
      <c r="E1050" t="s">
        <v>11</v>
      </c>
      <c r="F1050">
        <v>8</v>
      </c>
      <c r="G1050" t="s">
        <v>89</v>
      </c>
      <c r="H1050">
        <v>11</v>
      </c>
      <c r="M1050" t="s">
        <v>17</v>
      </c>
      <c r="N1050" t="s">
        <v>17</v>
      </c>
      <c r="O1050" s="5" t="s">
        <v>17</v>
      </c>
    </row>
    <row r="1051" spans="2:15" x14ac:dyDescent="0.3">
      <c r="B1051" s="4">
        <v>3566</v>
      </c>
      <c r="C1051" t="s">
        <v>61</v>
      </c>
      <c r="D1051" t="s">
        <v>62</v>
      </c>
      <c r="E1051" t="s">
        <v>11</v>
      </c>
      <c r="F1051">
        <v>8</v>
      </c>
      <c r="G1051" t="s">
        <v>89</v>
      </c>
      <c r="H1051">
        <v>11</v>
      </c>
      <c r="N1051" t="s">
        <v>17</v>
      </c>
      <c r="O1051" s="5" t="s">
        <v>17</v>
      </c>
    </row>
    <row r="1052" spans="2:15" x14ac:dyDescent="0.3">
      <c r="B1052" s="4">
        <v>59</v>
      </c>
      <c r="C1052" t="s">
        <v>14</v>
      </c>
      <c r="D1052" t="s">
        <v>15</v>
      </c>
      <c r="E1052" t="s">
        <v>11</v>
      </c>
      <c r="F1052">
        <v>8</v>
      </c>
      <c r="G1052" t="s">
        <v>89</v>
      </c>
      <c r="H1052">
        <v>11</v>
      </c>
      <c r="I1052" t="s">
        <v>19</v>
      </c>
      <c r="J1052" t="s">
        <v>52</v>
      </c>
      <c r="K1052" t="s">
        <v>34</v>
      </c>
      <c r="L1052" t="s">
        <v>34</v>
      </c>
      <c r="O1052" s="5"/>
    </row>
    <row r="1053" spans="2:15" x14ac:dyDescent="0.3">
      <c r="B1053" s="4">
        <v>1611</v>
      </c>
      <c r="C1053" t="s">
        <v>9</v>
      </c>
      <c r="D1053" t="s">
        <v>10</v>
      </c>
      <c r="E1053" t="s">
        <v>11</v>
      </c>
      <c r="F1053">
        <v>8</v>
      </c>
      <c r="G1053" t="s">
        <v>30</v>
      </c>
      <c r="H1053">
        <v>18</v>
      </c>
      <c r="L1053" t="s">
        <v>13</v>
      </c>
      <c r="M1053" t="s">
        <v>18</v>
      </c>
      <c r="N1053" t="s">
        <v>17</v>
      </c>
      <c r="O1053" s="5" t="s">
        <v>17</v>
      </c>
    </row>
    <row r="1054" spans="2:15" x14ac:dyDescent="0.3">
      <c r="B1054" s="4">
        <v>605</v>
      </c>
      <c r="C1054" t="s">
        <v>46</v>
      </c>
      <c r="D1054" t="s">
        <v>47</v>
      </c>
      <c r="E1054" t="s">
        <v>11</v>
      </c>
      <c r="F1054">
        <v>8</v>
      </c>
      <c r="G1054" t="s">
        <v>30</v>
      </c>
      <c r="H1054">
        <v>18</v>
      </c>
      <c r="I1054" t="s">
        <v>13</v>
      </c>
      <c r="J1054" t="s">
        <v>13</v>
      </c>
      <c r="K1054" t="s">
        <v>18</v>
      </c>
      <c r="L1054" t="s">
        <v>13</v>
      </c>
      <c r="M1054" t="s">
        <v>18</v>
      </c>
      <c r="N1054" t="s">
        <v>13</v>
      </c>
      <c r="O1054" s="5" t="s">
        <v>18</v>
      </c>
    </row>
    <row r="1055" spans="2:15" x14ac:dyDescent="0.3">
      <c r="B1055" s="4">
        <v>135</v>
      </c>
      <c r="C1055" t="s">
        <v>41</v>
      </c>
      <c r="D1055" t="s">
        <v>42</v>
      </c>
      <c r="E1055" t="s">
        <v>11</v>
      </c>
      <c r="F1055">
        <v>8</v>
      </c>
      <c r="G1055" t="s">
        <v>40</v>
      </c>
      <c r="H1055">
        <v>3</v>
      </c>
      <c r="J1055" t="s">
        <v>13</v>
      </c>
      <c r="K1055" t="s">
        <v>18</v>
      </c>
      <c r="L1055" t="s">
        <v>17</v>
      </c>
      <c r="M1055" t="s">
        <v>18</v>
      </c>
      <c r="N1055" t="s">
        <v>17</v>
      </c>
      <c r="O1055" s="5" t="s">
        <v>17</v>
      </c>
    </row>
    <row r="1056" spans="2:15" x14ac:dyDescent="0.3">
      <c r="B1056" s="4">
        <v>968</v>
      </c>
      <c r="C1056" t="s">
        <v>14</v>
      </c>
      <c r="D1056" t="s">
        <v>15</v>
      </c>
      <c r="E1056" t="s">
        <v>11</v>
      </c>
      <c r="F1056">
        <v>8</v>
      </c>
      <c r="G1056" t="s">
        <v>30</v>
      </c>
      <c r="H1056">
        <v>18</v>
      </c>
      <c r="L1056" t="s">
        <v>13</v>
      </c>
      <c r="M1056" t="s">
        <v>13</v>
      </c>
      <c r="N1056" t="s">
        <v>18</v>
      </c>
      <c r="O1056" s="5" t="s">
        <v>13</v>
      </c>
    </row>
    <row r="1057" spans="2:15" x14ac:dyDescent="0.3">
      <c r="B1057" s="4">
        <v>406</v>
      </c>
      <c r="C1057" t="s">
        <v>9</v>
      </c>
      <c r="D1057" t="s">
        <v>10</v>
      </c>
      <c r="E1057" t="s">
        <v>11</v>
      </c>
      <c r="F1057">
        <v>8</v>
      </c>
      <c r="G1057" t="s">
        <v>57</v>
      </c>
      <c r="H1057">
        <v>10</v>
      </c>
      <c r="L1057" t="s">
        <v>33</v>
      </c>
      <c r="M1057" t="s">
        <v>19</v>
      </c>
      <c r="N1057" t="s">
        <v>18</v>
      </c>
      <c r="O1057" s="5" t="s">
        <v>13</v>
      </c>
    </row>
    <row r="1058" spans="2:15" x14ac:dyDescent="0.3">
      <c r="B1058" s="4">
        <v>2223</v>
      </c>
      <c r="C1058" t="s">
        <v>72</v>
      </c>
      <c r="D1058" t="s">
        <v>73</v>
      </c>
      <c r="E1058" t="s">
        <v>11</v>
      </c>
      <c r="F1058">
        <v>8</v>
      </c>
      <c r="G1058" t="s">
        <v>57</v>
      </c>
      <c r="H1058">
        <v>10</v>
      </c>
      <c r="L1058" t="s">
        <v>13</v>
      </c>
      <c r="M1058" t="s">
        <v>13</v>
      </c>
      <c r="N1058" t="s">
        <v>13</v>
      </c>
      <c r="O1058" s="5" t="s">
        <v>13</v>
      </c>
    </row>
    <row r="1059" spans="2:15" x14ac:dyDescent="0.3">
      <c r="B1059" s="4">
        <v>236</v>
      </c>
      <c r="C1059" t="s">
        <v>46</v>
      </c>
      <c r="D1059" t="s">
        <v>47</v>
      </c>
      <c r="E1059" t="s">
        <v>11</v>
      </c>
      <c r="F1059">
        <v>8</v>
      </c>
      <c r="G1059" t="s">
        <v>88</v>
      </c>
      <c r="H1059">
        <v>12</v>
      </c>
      <c r="N1059" t="s">
        <v>18</v>
      </c>
      <c r="O1059" s="5" t="s">
        <v>17</v>
      </c>
    </row>
    <row r="1060" spans="2:15" x14ac:dyDescent="0.3">
      <c r="B1060" s="4">
        <v>58</v>
      </c>
      <c r="C1060" t="s">
        <v>49</v>
      </c>
      <c r="D1060" t="s">
        <v>50</v>
      </c>
      <c r="E1060" t="s">
        <v>51</v>
      </c>
      <c r="F1060">
        <v>3</v>
      </c>
      <c r="G1060" t="s">
        <v>88</v>
      </c>
      <c r="H1060">
        <v>12</v>
      </c>
      <c r="L1060" t="s">
        <v>13</v>
      </c>
      <c r="M1060" t="s">
        <v>18</v>
      </c>
      <c r="N1060" t="s">
        <v>13</v>
      </c>
      <c r="O1060" s="5"/>
    </row>
    <row r="1061" spans="2:15" x14ac:dyDescent="0.3">
      <c r="B1061" s="4">
        <v>1179</v>
      </c>
      <c r="C1061" t="s">
        <v>14</v>
      </c>
      <c r="D1061" t="s">
        <v>15</v>
      </c>
      <c r="E1061" t="s">
        <v>11</v>
      </c>
      <c r="F1061">
        <v>8</v>
      </c>
      <c r="G1061" t="s">
        <v>16</v>
      </c>
      <c r="H1061">
        <v>6</v>
      </c>
      <c r="J1061" t="s">
        <v>13</v>
      </c>
      <c r="K1061" t="s">
        <v>13</v>
      </c>
      <c r="L1061" t="s">
        <v>18</v>
      </c>
      <c r="O1061" s="5"/>
    </row>
    <row r="1062" spans="2:15" x14ac:dyDescent="0.3">
      <c r="B1062" s="4">
        <v>130</v>
      </c>
      <c r="C1062" t="s">
        <v>14</v>
      </c>
      <c r="D1062" t="s">
        <v>15</v>
      </c>
      <c r="E1062" t="s">
        <v>11</v>
      </c>
      <c r="F1062">
        <v>8</v>
      </c>
      <c r="G1062" t="s">
        <v>16</v>
      </c>
      <c r="H1062">
        <v>6</v>
      </c>
      <c r="K1062" t="s">
        <v>13</v>
      </c>
      <c r="L1062" t="s">
        <v>18</v>
      </c>
      <c r="M1062" t="s">
        <v>13</v>
      </c>
      <c r="N1062" t="s">
        <v>13</v>
      </c>
      <c r="O1062" s="5"/>
    </row>
    <row r="1063" spans="2:15" x14ac:dyDescent="0.3">
      <c r="B1063" s="4">
        <v>427</v>
      </c>
      <c r="C1063" t="s">
        <v>94</v>
      </c>
      <c r="D1063" t="s">
        <v>95</v>
      </c>
      <c r="E1063" t="s">
        <v>96</v>
      </c>
      <c r="F1063">
        <v>13</v>
      </c>
      <c r="G1063" t="s">
        <v>40</v>
      </c>
      <c r="H1063">
        <v>3</v>
      </c>
      <c r="M1063" t="s">
        <v>13</v>
      </c>
      <c r="N1063" t="s">
        <v>13</v>
      </c>
      <c r="O1063" s="5" t="s">
        <v>13</v>
      </c>
    </row>
    <row r="1064" spans="2:15" x14ac:dyDescent="0.3">
      <c r="B1064" s="4">
        <v>2798</v>
      </c>
      <c r="C1064" t="s">
        <v>14</v>
      </c>
      <c r="D1064" t="s">
        <v>15</v>
      </c>
      <c r="E1064" t="s">
        <v>11</v>
      </c>
      <c r="F1064">
        <v>8</v>
      </c>
      <c r="G1064" t="s">
        <v>87</v>
      </c>
      <c r="H1064">
        <v>9</v>
      </c>
      <c r="I1064" t="s">
        <v>13</v>
      </c>
      <c r="J1064" t="s">
        <v>17</v>
      </c>
      <c r="K1064" t="s">
        <v>13</v>
      </c>
      <c r="L1064" t="s">
        <v>13</v>
      </c>
      <c r="M1064" t="s">
        <v>13</v>
      </c>
      <c r="N1064" t="s">
        <v>13</v>
      </c>
      <c r="O1064" s="5"/>
    </row>
    <row r="1065" spans="2:15" x14ac:dyDescent="0.3">
      <c r="B1065" s="4">
        <v>1119</v>
      </c>
      <c r="C1065" t="s">
        <v>46</v>
      </c>
      <c r="D1065" t="s">
        <v>47</v>
      </c>
      <c r="E1065" t="s">
        <v>11</v>
      </c>
      <c r="F1065">
        <v>8</v>
      </c>
      <c r="G1065" t="s">
        <v>87</v>
      </c>
      <c r="H1065">
        <v>9</v>
      </c>
      <c r="M1065" t="s">
        <v>13</v>
      </c>
      <c r="N1065" t="s">
        <v>18</v>
      </c>
      <c r="O1065" s="5" t="s">
        <v>17</v>
      </c>
    </row>
    <row r="1066" spans="2:15" x14ac:dyDescent="0.3">
      <c r="B1066" s="4">
        <v>1</v>
      </c>
      <c r="C1066" t="s">
        <v>46</v>
      </c>
      <c r="D1066" t="s">
        <v>47</v>
      </c>
      <c r="E1066" t="s">
        <v>11</v>
      </c>
      <c r="F1066">
        <v>8</v>
      </c>
      <c r="G1066" t="s">
        <v>26</v>
      </c>
      <c r="H1066">
        <v>4</v>
      </c>
      <c r="I1066" t="s">
        <v>18</v>
      </c>
      <c r="J1066" t="s">
        <v>18</v>
      </c>
      <c r="K1066" t="s">
        <v>18</v>
      </c>
      <c r="L1066" t="s">
        <v>13</v>
      </c>
      <c r="M1066" t="s">
        <v>17</v>
      </c>
      <c r="N1066" t="s">
        <v>17</v>
      </c>
      <c r="O1066" s="5" t="s">
        <v>19</v>
      </c>
    </row>
    <row r="1067" spans="2:15" x14ac:dyDescent="0.3">
      <c r="B1067" s="4">
        <v>385</v>
      </c>
      <c r="C1067" t="s">
        <v>46</v>
      </c>
      <c r="D1067" t="s">
        <v>47</v>
      </c>
      <c r="E1067" t="s">
        <v>11</v>
      </c>
      <c r="F1067">
        <v>8</v>
      </c>
      <c r="G1067" t="s">
        <v>26</v>
      </c>
      <c r="H1067">
        <v>4</v>
      </c>
      <c r="J1067" t="s">
        <v>17</v>
      </c>
      <c r="K1067" t="s">
        <v>19</v>
      </c>
      <c r="L1067" t="s">
        <v>19</v>
      </c>
      <c r="M1067" t="s">
        <v>17</v>
      </c>
      <c r="N1067" t="s">
        <v>18</v>
      </c>
      <c r="O1067" s="5" t="s">
        <v>18</v>
      </c>
    </row>
    <row r="1068" spans="2:15" x14ac:dyDescent="0.3">
      <c r="B1068" s="4">
        <v>875</v>
      </c>
      <c r="C1068" t="s">
        <v>49</v>
      </c>
      <c r="D1068" t="s">
        <v>50</v>
      </c>
      <c r="E1068" t="s">
        <v>51</v>
      </c>
      <c r="F1068">
        <v>3</v>
      </c>
      <c r="G1068" t="s">
        <v>12</v>
      </c>
      <c r="H1068">
        <v>7</v>
      </c>
      <c r="M1068" t="s">
        <v>17</v>
      </c>
      <c r="N1068" t="s">
        <v>17</v>
      </c>
      <c r="O1068" s="5" t="s">
        <v>17</v>
      </c>
    </row>
    <row r="1069" spans="2:15" x14ac:dyDescent="0.3">
      <c r="B1069" s="4">
        <v>1017</v>
      </c>
      <c r="C1069" t="s">
        <v>46</v>
      </c>
      <c r="D1069" t="s">
        <v>47</v>
      </c>
      <c r="E1069" t="s">
        <v>11</v>
      </c>
      <c r="F1069">
        <v>8</v>
      </c>
      <c r="G1069" t="s">
        <v>30</v>
      </c>
      <c r="H1069">
        <v>18</v>
      </c>
      <c r="L1069" t="s">
        <v>13</v>
      </c>
      <c r="M1069" t="s">
        <v>17</v>
      </c>
      <c r="N1069" t="s">
        <v>13</v>
      </c>
      <c r="O1069" s="5"/>
    </row>
    <row r="1070" spans="2:15" x14ac:dyDescent="0.3">
      <c r="B1070" s="4">
        <v>123</v>
      </c>
      <c r="C1070" t="s">
        <v>100</v>
      </c>
      <c r="D1070" t="s">
        <v>101</v>
      </c>
      <c r="E1070" t="s">
        <v>102</v>
      </c>
      <c r="F1070">
        <v>4</v>
      </c>
      <c r="G1070" t="s">
        <v>30</v>
      </c>
      <c r="H1070">
        <v>18</v>
      </c>
      <c r="I1070" t="s">
        <v>18</v>
      </c>
      <c r="J1070" t="s">
        <v>13</v>
      </c>
      <c r="K1070" t="s">
        <v>13</v>
      </c>
      <c r="L1070" t="s">
        <v>13</v>
      </c>
      <c r="O1070" s="5"/>
    </row>
    <row r="1071" spans="2:15" x14ac:dyDescent="0.3">
      <c r="B1071" s="4">
        <v>486</v>
      </c>
      <c r="C1071" t="s">
        <v>49</v>
      </c>
      <c r="D1071" t="s">
        <v>50</v>
      </c>
      <c r="E1071" t="s">
        <v>51</v>
      </c>
      <c r="F1071">
        <v>3</v>
      </c>
      <c r="G1071" t="s">
        <v>30</v>
      </c>
      <c r="H1071">
        <v>18</v>
      </c>
      <c r="L1071" t="s">
        <v>13</v>
      </c>
      <c r="M1071" t="s">
        <v>13</v>
      </c>
      <c r="N1071" t="s">
        <v>18</v>
      </c>
      <c r="O1071" s="5" t="s">
        <v>18</v>
      </c>
    </row>
    <row r="1072" spans="2:15" x14ac:dyDescent="0.3">
      <c r="B1072" s="4">
        <v>1593</v>
      </c>
      <c r="C1072" t="s">
        <v>41</v>
      </c>
      <c r="D1072" t="s">
        <v>42</v>
      </c>
      <c r="E1072" t="s">
        <v>11</v>
      </c>
      <c r="F1072">
        <v>8</v>
      </c>
      <c r="G1072" t="s">
        <v>54</v>
      </c>
      <c r="H1072">
        <v>8</v>
      </c>
      <c r="N1072" t="s">
        <v>13</v>
      </c>
      <c r="O1072" s="5" t="s">
        <v>19</v>
      </c>
    </row>
    <row r="1073" spans="2:15" x14ac:dyDescent="0.3">
      <c r="B1073" s="4">
        <v>419</v>
      </c>
      <c r="C1073" t="s">
        <v>59</v>
      </c>
      <c r="D1073" t="s">
        <v>60</v>
      </c>
      <c r="E1073" t="s">
        <v>11</v>
      </c>
      <c r="F1073">
        <v>8</v>
      </c>
      <c r="G1073" t="s">
        <v>55</v>
      </c>
      <c r="H1073">
        <v>2</v>
      </c>
      <c r="K1073" t="s">
        <v>13</v>
      </c>
      <c r="L1073" t="s">
        <v>13</v>
      </c>
      <c r="M1073" t="s">
        <v>17</v>
      </c>
      <c r="N1073" t="s">
        <v>18</v>
      </c>
      <c r="O1073" s="5" t="s">
        <v>18</v>
      </c>
    </row>
    <row r="1074" spans="2:15" x14ac:dyDescent="0.3">
      <c r="B1074" s="4">
        <v>262</v>
      </c>
      <c r="C1074" t="s">
        <v>84</v>
      </c>
      <c r="D1074" t="s">
        <v>85</v>
      </c>
      <c r="E1074" t="s">
        <v>86</v>
      </c>
      <c r="F1074">
        <v>12</v>
      </c>
      <c r="G1074" t="s">
        <v>55</v>
      </c>
      <c r="H1074">
        <v>2</v>
      </c>
      <c r="I1074" t="s">
        <v>19</v>
      </c>
      <c r="J1074" t="s">
        <v>19</v>
      </c>
      <c r="O1074" s="5"/>
    </row>
    <row r="1075" spans="2:15" x14ac:dyDescent="0.3">
      <c r="B1075" s="4">
        <v>8</v>
      </c>
      <c r="C1075" t="s">
        <v>23</v>
      </c>
      <c r="D1075" t="s">
        <v>24</v>
      </c>
      <c r="E1075" t="s">
        <v>25</v>
      </c>
      <c r="F1075">
        <v>1</v>
      </c>
      <c r="G1075" t="s">
        <v>58</v>
      </c>
      <c r="H1075">
        <v>17</v>
      </c>
      <c r="J1075" t="s">
        <v>18</v>
      </c>
      <c r="K1075" t="s">
        <v>18</v>
      </c>
      <c r="L1075" t="s">
        <v>13</v>
      </c>
      <c r="M1075" t="s">
        <v>18</v>
      </c>
      <c r="N1075" t="s">
        <v>13</v>
      </c>
      <c r="O1075" s="5" t="s">
        <v>18</v>
      </c>
    </row>
    <row r="1076" spans="2:15" x14ac:dyDescent="0.3">
      <c r="B1076" s="4">
        <v>684</v>
      </c>
      <c r="C1076" t="s">
        <v>14</v>
      </c>
      <c r="D1076" t="s">
        <v>15</v>
      </c>
      <c r="E1076" t="s">
        <v>11</v>
      </c>
      <c r="F1076">
        <v>8</v>
      </c>
      <c r="G1076" t="s">
        <v>58</v>
      </c>
      <c r="H1076">
        <v>17</v>
      </c>
      <c r="M1076" t="s">
        <v>18</v>
      </c>
      <c r="N1076" t="s">
        <v>18</v>
      </c>
      <c r="O1076" s="5" t="s">
        <v>13</v>
      </c>
    </row>
    <row r="1077" spans="2:15" x14ac:dyDescent="0.3">
      <c r="B1077" s="4">
        <v>2994</v>
      </c>
      <c r="C1077" t="s">
        <v>23</v>
      </c>
      <c r="D1077" t="s">
        <v>24</v>
      </c>
      <c r="E1077" t="s">
        <v>25</v>
      </c>
      <c r="F1077">
        <v>1</v>
      </c>
      <c r="G1077" t="s">
        <v>58</v>
      </c>
      <c r="H1077">
        <v>17</v>
      </c>
      <c r="M1077" t="s">
        <v>18</v>
      </c>
      <c r="N1077" t="s">
        <v>17</v>
      </c>
      <c r="O1077" s="5" t="s">
        <v>17</v>
      </c>
    </row>
    <row r="1078" spans="2:15" x14ac:dyDescent="0.3">
      <c r="B1078" s="4">
        <v>644</v>
      </c>
      <c r="C1078" t="s">
        <v>46</v>
      </c>
      <c r="D1078" t="s">
        <v>47</v>
      </c>
      <c r="E1078" t="s">
        <v>11</v>
      </c>
      <c r="F1078">
        <v>8</v>
      </c>
      <c r="G1078" t="s">
        <v>58</v>
      </c>
      <c r="H1078">
        <v>17</v>
      </c>
      <c r="M1078" t="s">
        <v>17</v>
      </c>
      <c r="N1078" t="s">
        <v>18</v>
      </c>
      <c r="O1078" s="5" t="s">
        <v>18</v>
      </c>
    </row>
    <row r="1079" spans="2:15" x14ac:dyDescent="0.3">
      <c r="B1079" s="4">
        <v>667</v>
      </c>
      <c r="C1079" t="s">
        <v>46</v>
      </c>
      <c r="D1079" t="s">
        <v>47</v>
      </c>
      <c r="E1079" t="s">
        <v>11</v>
      </c>
      <c r="F1079">
        <v>8</v>
      </c>
      <c r="G1079" t="s">
        <v>55</v>
      </c>
      <c r="H1079">
        <v>2</v>
      </c>
      <c r="M1079" t="s">
        <v>18</v>
      </c>
      <c r="N1079" t="s">
        <v>17</v>
      </c>
      <c r="O1079" s="5" t="s">
        <v>17</v>
      </c>
    </row>
    <row r="1080" spans="2:15" x14ac:dyDescent="0.3">
      <c r="B1080" s="4">
        <v>1415</v>
      </c>
      <c r="C1080" t="s">
        <v>46</v>
      </c>
      <c r="D1080" t="s">
        <v>47</v>
      </c>
      <c r="E1080" t="s">
        <v>11</v>
      </c>
      <c r="F1080">
        <v>8</v>
      </c>
      <c r="G1080" t="s">
        <v>55</v>
      </c>
      <c r="H1080">
        <v>2</v>
      </c>
      <c r="N1080" t="s">
        <v>17</v>
      </c>
      <c r="O1080" s="5" t="s">
        <v>17</v>
      </c>
    </row>
    <row r="1081" spans="2:15" x14ac:dyDescent="0.3">
      <c r="B1081" s="4">
        <v>176</v>
      </c>
      <c r="C1081" t="s">
        <v>27</v>
      </c>
      <c r="D1081" t="s">
        <v>28</v>
      </c>
      <c r="E1081" t="s">
        <v>29</v>
      </c>
      <c r="F1081">
        <v>6</v>
      </c>
      <c r="G1081" t="s">
        <v>66</v>
      </c>
      <c r="H1081">
        <v>5</v>
      </c>
      <c r="N1081" t="s">
        <v>13</v>
      </c>
      <c r="O1081" s="5" t="s">
        <v>13</v>
      </c>
    </row>
    <row r="1082" spans="2:15" x14ac:dyDescent="0.3">
      <c r="B1082" s="4">
        <v>683</v>
      </c>
      <c r="C1082" t="s">
        <v>14</v>
      </c>
      <c r="D1082" t="s">
        <v>15</v>
      </c>
      <c r="E1082" t="s">
        <v>11</v>
      </c>
      <c r="F1082">
        <v>8</v>
      </c>
      <c r="G1082" t="s">
        <v>66</v>
      </c>
      <c r="H1082">
        <v>5</v>
      </c>
      <c r="I1082" t="s">
        <v>13</v>
      </c>
      <c r="J1082" t="s">
        <v>13</v>
      </c>
      <c r="K1082" t="s">
        <v>13</v>
      </c>
      <c r="L1082" t="s">
        <v>13</v>
      </c>
      <c r="M1082" t="s">
        <v>13</v>
      </c>
      <c r="N1082" t="s">
        <v>19</v>
      </c>
      <c r="O1082" s="5" t="s">
        <v>19</v>
      </c>
    </row>
    <row r="1083" spans="2:15" x14ac:dyDescent="0.3">
      <c r="B1083" s="4">
        <v>1039</v>
      </c>
      <c r="C1083" t="s">
        <v>46</v>
      </c>
      <c r="D1083" t="s">
        <v>47</v>
      </c>
      <c r="E1083" t="s">
        <v>11</v>
      </c>
      <c r="F1083">
        <v>8</v>
      </c>
      <c r="G1083" t="s">
        <v>89</v>
      </c>
      <c r="H1083">
        <v>11</v>
      </c>
      <c r="J1083" t="s">
        <v>19</v>
      </c>
      <c r="K1083" t="s">
        <v>17</v>
      </c>
      <c r="L1083" t="s">
        <v>17</v>
      </c>
      <c r="M1083" t="s">
        <v>35</v>
      </c>
      <c r="O1083" s="5"/>
    </row>
    <row r="1084" spans="2:15" x14ac:dyDescent="0.3">
      <c r="B1084" s="4">
        <v>252</v>
      </c>
      <c r="C1084" t="s">
        <v>31</v>
      </c>
      <c r="D1084" t="s">
        <v>32</v>
      </c>
      <c r="E1084" t="s">
        <v>11</v>
      </c>
      <c r="F1084">
        <v>8</v>
      </c>
      <c r="G1084" t="s">
        <v>89</v>
      </c>
      <c r="H1084">
        <v>11</v>
      </c>
      <c r="I1084" t="s">
        <v>18</v>
      </c>
      <c r="J1084" t="s">
        <v>18</v>
      </c>
      <c r="K1084" t="s">
        <v>13</v>
      </c>
      <c r="L1084" t="s">
        <v>17</v>
      </c>
      <c r="M1084" t="s">
        <v>13</v>
      </c>
      <c r="N1084" t="s">
        <v>18</v>
      </c>
      <c r="O1084" s="5"/>
    </row>
    <row r="1085" spans="2:15" x14ac:dyDescent="0.3">
      <c r="B1085" s="4">
        <v>1379</v>
      </c>
      <c r="C1085" t="s">
        <v>23</v>
      </c>
      <c r="D1085" t="s">
        <v>24</v>
      </c>
      <c r="E1085" t="s">
        <v>25</v>
      </c>
      <c r="F1085">
        <v>1</v>
      </c>
      <c r="G1085" t="s">
        <v>89</v>
      </c>
      <c r="H1085">
        <v>11</v>
      </c>
      <c r="N1085" t="s">
        <v>18</v>
      </c>
      <c r="O1085" s="5" t="s">
        <v>13</v>
      </c>
    </row>
    <row r="1086" spans="2:15" x14ac:dyDescent="0.3">
      <c r="B1086" s="4">
        <v>410</v>
      </c>
      <c r="C1086" t="s">
        <v>90</v>
      </c>
      <c r="D1086" t="s">
        <v>91</v>
      </c>
      <c r="E1086" t="s">
        <v>11</v>
      </c>
      <c r="F1086">
        <v>8</v>
      </c>
      <c r="G1086" t="s">
        <v>66</v>
      </c>
      <c r="H1086">
        <v>5</v>
      </c>
      <c r="I1086" t="s">
        <v>17</v>
      </c>
      <c r="J1086" t="s">
        <v>17</v>
      </c>
      <c r="K1086" t="s">
        <v>17</v>
      </c>
      <c r="L1086" t="s">
        <v>17</v>
      </c>
      <c r="M1086" t="s">
        <v>52</v>
      </c>
      <c r="N1086" t="s">
        <v>17</v>
      </c>
      <c r="O1086" s="5" t="s">
        <v>13</v>
      </c>
    </row>
    <row r="1087" spans="2:15" x14ac:dyDescent="0.3">
      <c r="B1087" s="4">
        <v>3</v>
      </c>
      <c r="C1087" t="s">
        <v>46</v>
      </c>
      <c r="D1087" t="s">
        <v>47</v>
      </c>
      <c r="E1087" t="s">
        <v>11</v>
      </c>
      <c r="F1087">
        <v>8</v>
      </c>
      <c r="G1087" t="s">
        <v>22</v>
      </c>
      <c r="H1087">
        <v>1</v>
      </c>
      <c r="J1087" t="s">
        <v>13</v>
      </c>
      <c r="K1087" t="s">
        <v>18</v>
      </c>
      <c r="L1087" t="s">
        <v>18</v>
      </c>
      <c r="O1087" s="5"/>
    </row>
    <row r="1088" spans="2:15" x14ac:dyDescent="0.3">
      <c r="B1088" s="4">
        <v>907</v>
      </c>
      <c r="C1088" t="s">
        <v>46</v>
      </c>
      <c r="D1088" t="s">
        <v>47</v>
      </c>
      <c r="E1088" t="s">
        <v>11</v>
      </c>
      <c r="F1088">
        <v>8</v>
      </c>
      <c r="G1088" t="s">
        <v>58</v>
      </c>
      <c r="H1088">
        <v>17</v>
      </c>
      <c r="N1088" t="s">
        <v>19</v>
      </c>
      <c r="O1088" s="5" t="s">
        <v>18</v>
      </c>
    </row>
    <row r="1089" spans="2:15" x14ac:dyDescent="0.3">
      <c r="B1089" s="4">
        <v>3233</v>
      </c>
      <c r="C1089" t="s">
        <v>14</v>
      </c>
      <c r="D1089" t="s">
        <v>15</v>
      </c>
      <c r="E1089" t="s">
        <v>11</v>
      </c>
      <c r="F1089">
        <v>8</v>
      </c>
      <c r="G1089" t="s">
        <v>58</v>
      </c>
      <c r="H1089">
        <v>17</v>
      </c>
      <c r="L1089" t="s">
        <v>18</v>
      </c>
      <c r="M1089" t="s">
        <v>18</v>
      </c>
      <c r="N1089" t="s">
        <v>17</v>
      </c>
      <c r="O1089" s="5"/>
    </row>
    <row r="1090" spans="2:15" x14ac:dyDescent="0.3">
      <c r="B1090" s="4">
        <v>169</v>
      </c>
      <c r="C1090" t="s">
        <v>14</v>
      </c>
      <c r="D1090" t="s">
        <v>15</v>
      </c>
      <c r="E1090" t="s">
        <v>11</v>
      </c>
      <c r="F1090">
        <v>8</v>
      </c>
      <c r="G1090" t="s">
        <v>12</v>
      </c>
      <c r="H1090">
        <v>7</v>
      </c>
      <c r="J1090" t="s">
        <v>13</v>
      </c>
      <c r="K1090" t="s">
        <v>13</v>
      </c>
      <c r="L1090" t="s">
        <v>18</v>
      </c>
      <c r="M1090" t="s">
        <v>18</v>
      </c>
      <c r="N1090" t="s">
        <v>18</v>
      </c>
      <c r="O1090" s="5" t="s">
        <v>18</v>
      </c>
    </row>
    <row r="1091" spans="2:15" x14ac:dyDescent="0.3">
      <c r="B1091" s="4">
        <v>1080</v>
      </c>
      <c r="C1091" t="s">
        <v>9</v>
      </c>
      <c r="D1091" t="s">
        <v>10</v>
      </c>
      <c r="E1091" t="s">
        <v>11</v>
      </c>
      <c r="F1091">
        <v>8</v>
      </c>
      <c r="G1091" t="s">
        <v>12</v>
      </c>
      <c r="H1091">
        <v>7</v>
      </c>
      <c r="K1091" t="s">
        <v>13</v>
      </c>
      <c r="L1091" t="s">
        <v>18</v>
      </c>
      <c r="M1091" t="s">
        <v>17</v>
      </c>
      <c r="N1091" t="s">
        <v>17</v>
      </c>
      <c r="O1091" s="5"/>
    </row>
    <row r="1092" spans="2:15" x14ac:dyDescent="0.3">
      <c r="B1092" s="4">
        <v>914</v>
      </c>
      <c r="C1092" t="s">
        <v>43</v>
      </c>
      <c r="D1092" t="s">
        <v>44</v>
      </c>
      <c r="E1092" t="s">
        <v>45</v>
      </c>
      <c r="F1092">
        <v>5</v>
      </c>
      <c r="G1092" t="s">
        <v>88</v>
      </c>
      <c r="H1092">
        <v>12</v>
      </c>
      <c r="K1092" t="s">
        <v>33</v>
      </c>
      <c r="L1092" t="s">
        <v>33</v>
      </c>
      <c r="M1092" t="s">
        <v>52</v>
      </c>
      <c r="N1092" t="s">
        <v>52</v>
      </c>
      <c r="O1092" s="5" t="s">
        <v>19</v>
      </c>
    </row>
    <row r="1093" spans="2:15" x14ac:dyDescent="0.3">
      <c r="B1093" s="4">
        <v>719</v>
      </c>
      <c r="C1093" t="s">
        <v>78</v>
      </c>
      <c r="D1093" t="s">
        <v>79</v>
      </c>
      <c r="E1093" t="s">
        <v>80</v>
      </c>
      <c r="F1093">
        <v>10</v>
      </c>
      <c r="G1093" t="s">
        <v>26</v>
      </c>
      <c r="H1093">
        <v>4</v>
      </c>
      <c r="N1093" t="s">
        <v>13</v>
      </c>
      <c r="O1093" s="5" t="s">
        <v>13</v>
      </c>
    </row>
    <row r="1094" spans="2:15" x14ac:dyDescent="0.3">
      <c r="B1094" s="4">
        <v>279</v>
      </c>
      <c r="C1094" t="s">
        <v>27</v>
      </c>
      <c r="D1094" t="s">
        <v>28</v>
      </c>
      <c r="E1094" t="s">
        <v>29</v>
      </c>
      <c r="F1094">
        <v>6</v>
      </c>
      <c r="G1094" t="s">
        <v>55</v>
      </c>
      <c r="H1094">
        <v>2</v>
      </c>
      <c r="J1094" t="s">
        <v>18</v>
      </c>
      <c r="K1094" t="s">
        <v>13</v>
      </c>
      <c r="L1094" t="s">
        <v>13</v>
      </c>
      <c r="M1094" t="s">
        <v>13</v>
      </c>
      <c r="N1094" t="s">
        <v>17</v>
      </c>
      <c r="O1094" s="5" t="s">
        <v>17</v>
      </c>
    </row>
    <row r="1095" spans="2:15" x14ac:dyDescent="0.3">
      <c r="B1095" s="4">
        <v>888</v>
      </c>
      <c r="C1095" t="s">
        <v>100</v>
      </c>
      <c r="D1095" t="s">
        <v>101</v>
      </c>
      <c r="E1095" t="s">
        <v>102</v>
      </c>
      <c r="F1095">
        <v>4</v>
      </c>
      <c r="G1095" t="s">
        <v>48</v>
      </c>
      <c r="H1095">
        <v>16</v>
      </c>
      <c r="M1095" t="s">
        <v>13</v>
      </c>
      <c r="N1095" t="s">
        <v>13</v>
      </c>
      <c r="O1095" s="5" t="s">
        <v>13</v>
      </c>
    </row>
    <row r="1096" spans="2:15" x14ac:dyDescent="0.3">
      <c r="B1096" s="4">
        <v>127</v>
      </c>
      <c r="C1096" t="s">
        <v>63</v>
      </c>
      <c r="D1096" t="s">
        <v>64</v>
      </c>
      <c r="E1096" t="s">
        <v>65</v>
      </c>
      <c r="F1096">
        <v>14</v>
      </c>
      <c r="G1096" t="s">
        <v>81</v>
      </c>
      <c r="H1096">
        <v>7</v>
      </c>
      <c r="K1096" t="s">
        <v>13</v>
      </c>
      <c r="L1096" t="s">
        <v>13</v>
      </c>
      <c r="M1096" t="s">
        <v>13</v>
      </c>
      <c r="N1096" t="s">
        <v>17</v>
      </c>
      <c r="O1096" s="5" t="s">
        <v>18</v>
      </c>
    </row>
    <row r="1097" spans="2:15" x14ac:dyDescent="0.3">
      <c r="B1097" s="4">
        <v>4</v>
      </c>
      <c r="C1097" t="s">
        <v>75</v>
      </c>
      <c r="D1097" t="s">
        <v>76</v>
      </c>
      <c r="E1097" t="s">
        <v>77</v>
      </c>
      <c r="F1097">
        <v>7</v>
      </c>
      <c r="G1097" t="s">
        <v>54</v>
      </c>
      <c r="H1097">
        <v>8</v>
      </c>
      <c r="I1097" t="s">
        <v>18</v>
      </c>
      <c r="J1097" t="s">
        <v>18</v>
      </c>
      <c r="K1097" t="s">
        <v>18</v>
      </c>
      <c r="L1097" t="s">
        <v>13</v>
      </c>
      <c r="O1097" s="5"/>
    </row>
    <row r="1098" spans="2:15" x14ac:dyDescent="0.3">
      <c r="B1098" s="4">
        <v>17</v>
      </c>
      <c r="C1098" t="s">
        <v>46</v>
      </c>
      <c r="D1098" t="s">
        <v>47</v>
      </c>
      <c r="E1098" t="s">
        <v>11</v>
      </c>
      <c r="F1098">
        <v>8</v>
      </c>
      <c r="G1098" t="s">
        <v>54</v>
      </c>
      <c r="H1098">
        <v>8</v>
      </c>
      <c r="I1098" t="s">
        <v>18</v>
      </c>
      <c r="J1098" t="s">
        <v>18</v>
      </c>
      <c r="K1098" t="s">
        <v>18</v>
      </c>
      <c r="L1098" t="s">
        <v>17</v>
      </c>
      <c r="M1098" t="s">
        <v>17</v>
      </c>
      <c r="N1098" t="s">
        <v>19</v>
      </c>
      <c r="O1098" s="5" t="s">
        <v>52</v>
      </c>
    </row>
    <row r="1099" spans="2:15" x14ac:dyDescent="0.3">
      <c r="B1099" s="4">
        <v>1414</v>
      </c>
      <c r="C1099" t="s">
        <v>9</v>
      </c>
      <c r="D1099" t="s">
        <v>10</v>
      </c>
      <c r="E1099" t="s">
        <v>11</v>
      </c>
      <c r="F1099">
        <v>8</v>
      </c>
      <c r="G1099" t="s">
        <v>22</v>
      </c>
      <c r="H1099">
        <v>1</v>
      </c>
      <c r="L1099" t="s">
        <v>13</v>
      </c>
      <c r="M1099" t="s">
        <v>13</v>
      </c>
      <c r="N1099" t="s">
        <v>13</v>
      </c>
      <c r="O1099" s="5" t="s">
        <v>13</v>
      </c>
    </row>
    <row r="1100" spans="2:15" x14ac:dyDescent="0.3">
      <c r="B1100" s="4">
        <v>77</v>
      </c>
      <c r="C1100" t="s">
        <v>9</v>
      </c>
      <c r="D1100" t="s">
        <v>10</v>
      </c>
      <c r="E1100" t="s">
        <v>11</v>
      </c>
      <c r="F1100">
        <v>8</v>
      </c>
      <c r="G1100" t="s">
        <v>22</v>
      </c>
      <c r="H1100">
        <v>1</v>
      </c>
      <c r="L1100" t="s">
        <v>19</v>
      </c>
      <c r="M1100" t="s">
        <v>17</v>
      </c>
      <c r="N1100" t="s">
        <v>18</v>
      </c>
      <c r="O1100" s="5" t="s">
        <v>18</v>
      </c>
    </row>
    <row r="1101" spans="2:15" x14ac:dyDescent="0.3">
      <c r="B1101" s="4">
        <v>816</v>
      </c>
      <c r="C1101" t="s">
        <v>49</v>
      </c>
      <c r="D1101" t="s">
        <v>50</v>
      </c>
      <c r="E1101" t="s">
        <v>51</v>
      </c>
      <c r="F1101">
        <v>3</v>
      </c>
      <c r="G1101" t="s">
        <v>22</v>
      </c>
      <c r="H1101">
        <v>1</v>
      </c>
      <c r="L1101" t="s">
        <v>18</v>
      </c>
      <c r="M1101" t="s">
        <v>13</v>
      </c>
      <c r="N1101" t="s">
        <v>18</v>
      </c>
      <c r="O1101" s="5" t="s">
        <v>17</v>
      </c>
    </row>
    <row r="1102" spans="2:15" x14ac:dyDescent="0.3">
      <c r="B1102" s="4">
        <v>883</v>
      </c>
      <c r="C1102" t="s">
        <v>36</v>
      </c>
      <c r="D1102" t="s">
        <v>37</v>
      </c>
      <c r="E1102" t="s">
        <v>11</v>
      </c>
      <c r="F1102">
        <v>8</v>
      </c>
      <c r="G1102" t="s">
        <v>55</v>
      </c>
      <c r="H1102">
        <v>2</v>
      </c>
      <c r="K1102" t="s">
        <v>13</v>
      </c>
      <c r="L1102" t="s">
        <v>13</v>
      </c>
      <c r="M1102" t="s">
        <v>13</v>
      </c>
      <c r="O1102" s="5"/>
    </row>
    <row r="1103" spans="2:15" x14ac:dyDescent="0.3">
      <c r="B1103" s="4">
        <v>621</v>
      </c>
      <c r="C1103" t="s">
        <v>14</v>
      </c>
      <c r="D1103" t="s">
        <v>15</v>
      </c>
      <c r="E1103" t="s">
        <v>11</v>
      </c>
      <c r="F1103">
        <v>8</v>
      </c>
      <c r="G1103" t="s">
        <v>81</v>
      </c>
      <c r="H1103">
        <v>7</v>
      </c>
      <c r="K1103" t="s">
        <v>18</v>
      </c>
      <c r="L1103" t="s">
        <v>13</v>
      </c>
      <c r="M1103" t="s">
        <v>13</v>
      </c>
      <c r="N1103" t="s">
        <v>18</v>
      </c>
      <c r="O1103" s="5" t="s">
        <v>18</v>
      </c>
    </row>
    <row r="1104" spans="2:15" x14ac:dyDescent="0.3">
      <c r="B1104" s="4">
        <v>1173</v>
      </c>
      <c r="C1104" t="s">
        <v>14</v>
      </c>
      <c r="D1104" t="s">
        <v>15</v>
      </c>
      <c r="E1104" t="s">
        <v>11</v>
      </c>
      <c r="F1104">
        <v>8</v>
      </c>
      <c r="G1104" t="s">
        <v>48</v>
      </c>
      <c r="H1104">
        <v>16</v>
      </c>
      <c r="M1104" t="s">
        <v>13</v>
      </c>
      <c r="N1104" t="s">
        <v>18</v>
      </c>
      <c r="O1104" s="5"/>
    </row>
    <row r="1105" spans="2:15" x14ac:dyDescent="0.3">
      <c r="B1105" s="4">
        <v>1499</v>
      </c>
      <c r="C1105" t="s">
        <v>14</v>
      </c>
      <c r="D1105" t="s">
        <v>15</v>
      </c>
      <c r="E1105" t="s">
        <v>11</v>
      </c>
      <c r="F1105">
        <v>8</v>
      </c>
      <c r="G1105" t="s">
        <v>87</v>
      </c>
      <c r="H1105">
        <v>9</v>
      </c>
      <c r="M1105" t="s">
        <v>17</v>
      </c>
      <c r="N1105" t="s">
        <v>18</v>
      </c>
      <c r="O1105" s="5"/>
    </row>
    <row r="1106" spans="2:15" x14ac:dyDescent="0.3">
      <c r="B1106" s="4">
        <v>29</v>
      </c>
      <c r="C1106" t="s">
        <v>49</v>
      </c>
      <c r="D1106" t="s">
        <v>50</v>
      </c>
      <c r="E1106" t="s">
        <v>51</v>
      </c>
      <c r="F1106">
        <v>3</v>
      </c>
      <c r="G1106" t="s">
        <v>87</v>
      </c>
      <c r="H1106">
        <v>9</v>
      </c>
      <c r="I1106" t="s">
        <v>19</v>
      </c>
      <c r="J1106" t="s">
        <v>52</v>
      </c>
      <c r="K1106" t="s">
        <v>19</v>
      </c>
      <c r="L1106" t="s">
        <v>52</v>
      </c>
      <c r="M1106" t="s">
        <v>19</v>
      </c>
      <c r="N1106" t="s">
        <v>19</v>
      </c>
      <c r="O1106" s="5" t="s">
        <v>19</v>
      </c>
    </row>
    <row r="1107" spans="2:15" x14ac:dyDescent="0.3">
      <c r="B1107" s="4">
        <v>5</v>
      </c>
      <c r="C1107" t="s">
        <v>75</v>
      </c>
      <c r="D1107" t="s">
        <v>76</v>
      </c>
      <c r="E1107" t="s">
        <v>77</v>
      </c>
      <c r="F1107">
        <v>7</v>
      </c>
      <c r="G1107" t="s">
        <v>22</v>
      </c>
      <c r="H1107">
        <v>1</v>
      </c>
      <c r="I1107" t="s">
        <v>13</v>
      </c>
      <c r="J1107" t="s">
        <v>13</v>
      </c>
      <c r="K1107" t="s">
        <v>13</v>
      </c>
      <c r="L1107" t="s">
        <v>13</v>
      </c>
      <c r="M1107" t="s">
        <v>13</v>
      </c>
      <c r="N1107" t="s">
        <v>18</v>
      </c>
      <c r="O1107" s="5" t="s">
        <v>18</v>
      </c>
    </row>
    <row r="1108" spans="2:15" x14ac:dyDescent="0.3">
      <c r="B1108" s="4">
        <v>1082</v>
      </c>
      <c r="C1108" t="s">
        <v>41</v>
      </c>
      <c r="D1108" t="s">
        <v>42</v>
      </c>
      <c r="E1108" t="s">
        <v>11</v>
      </c>
      <c r="F1108">
        <v>8</v>
      </c>
      <c r="G1108" t="s">
        <v>16</v>
      </c>
      <c r="H1108">
        <v>6</v>
      </c>
      <c r="N1108" t="s">
        <v>17</v>
      </c>
      <c r="O1108" s="5" t="s">
        <v>17</v>
      </c>
    </row>
    <row r="1109" spans="2:15" x14ac:dyDescent="0.3">
      <c r="B1109" s="4">
        <v>661</v>
      </c>
      <c r="C1109" t="s">
        <v>14</v>
      </c>
      <c r="D1109" t="s">
        <v>15</v>
      </c>
      <c r="E1109" t="s">
        <v>11</v>
      </c>
      <c r="F1109">
        <v>8</v>
      </c>
      <c r="G1109" t="s">
        <v>81</v>
      </c>
      <c r="H1109">
        <v>7</v>
      </c>
      <c r="I1109" t="s">
        <v>17</v>
      </c>
      <c r="J1109" t="s">
        <v>17</v>
      </c>
      <c r="K1109" t="s">
        <v>19</v>
      </c>
      <c r="L1109" t="s">
        <v>17</v>
      </c>
      <c r="M1109" t="s">
        <v>13</v>
      </c>
      <c r="N1109" t="s">
        <v>18</v>
      </c>
      <c r="O1109" s="5" t="s">
        <v>52</v>
      </c>
    </row>
    <row r="1110" spans="2:15" x14ac:dyDescent="0.3">
      <c r="B1110" s="4">
        <v>295</v>
      </c>
      <c r="C1110" t="s">
        <v>9</v>
      </c>
      <c r="D1110" t="s">
        <v>10</v>
      </c>
      <c r="E1110" t="s">
        <v>11</v>
      </c>
      <c r="F1110">
        <v>8</v>
      </c>
      <c r="G1110" t="s">
        <v>22</v>
      </c>
      <c r="H1110">
        <v>1</v>
      </c>
      <c r="K1110" t="s">
        <v>33</v>
      </c>
      <c r="L1110" t="s">
        <v>33</v>
      </c>
      <c r="M1110" t="s">
        <v>19</v>
      </c>
      <c r="N1110" t="s">
        <v>17</v>
      </c>
      <c r="O1110" s="5" t="s">
        <v>18</v>
      </c>
    </row>
    <row r="1111" spans="2:15" x14ac:dyDescent="0.3">
      <c r="B1111" s="4">
        <v>763</v>
      </c>
      <c r="C1111" t="s">
        <v>84</v>
      </c>
      <c r="D1111" t="s">
        <v>85</v>
      </c>
      <c r="E1111" t="s">
        <v>86</v>
      </c>
      <c r="F1111">
        <v>12</v>
      </c>
      <c r="G1111" t="s">
        <v>88</v>
      </c>
      <c r="H1111">
        <v>12</v>
      </c>
      <c r="M1111" t="s">
        <v>18</v>
      </c>
      <c r="N1111" t="s">
        <v>19</v>
      </c>
      <c r="O1111" s="5" t="s">
        <v>17</v>
      </c>
    </row>
    <row r="1112" spans="2:15" x14ac:dyDescent="0.3">
      <c r="B1112" s="4">
        <v>275</v>
      </c>
      <c r="C1112" t="s">
        <v>92</v>
      </c>
      <c r="D1112" t="s">
        <v>93</v>
      </c>
      <c r="E1112" t="s">
        <v>11</v>
      </c>
      <c r="F1112">
        <v>8</v>
      </c>
      <c r="G1112" t="s">
        <v>89</v>
      </c>
      <c r="H1112">
        <v>11</v>
      </c>
      <c r="N1112" t="s">
        <v>13</v>
      </c>
      <c r="O1112" s="5" t="s">
        <v>13</v>
      </c>
    </row>
    <row r="1113" spans="2:15" x14ac:dyDescent="0.3">
      <c r="B1113" s="4">
        <v>4</v>
      </c>
      <c r="C1113" t="s">
        <v>23</v>
      </c>
      <c r="D1113" t="s">
        <v>24</v>
      </c>
      <c r="E1113" t="s">
        <v>25</v>
      </c>
      <c r="F1113">
        <v>1</v>
      </c>
      <c r="G1113" t="s">
        <v>89</v>
      </c>
      <c r="H1113">
        <v>11</v>
      </c>
      <c r="I1113" t="s">
        <v>18</v>
      </c>
      <c r="J1113" t="s">
        <v>18</v>
      </c>
      <c r="K1113" t="s">
        <v>13</v>
      </c>
      <c r="L1113" t="s">
        <v>17</v>
      </c>
      <c r="M1113" t="s">
        <v>18</v>
      </c>
      <c r="N1113" t="s">
        <v>17</v>
      </c>
      <c r="O1113" s="5" t="s">
        <v>19</v>
      </c>
    </row>
    <row r="1114" spans="2:15" x14ac:dyDescent="0.3">
      <c r="B1114" s="4">
        <v>4</v>
      </c>
      <c r="C1114" t="s">
        <v>49</v>
      </c>
      <c r="D1114" t="s">
        <v>50</v>
      </c>
      <c r="E1114" t="s">
        <v>51</v>
      </c>
      <c r="F1114">
        <v>3</v>
      </c>
      <c r="G1114" t="s">
        <v>88</v>
      </c>
      <c r="H1114">
        <v>12</v>
      </c>
      <c r="L1114" t="s">
        <v>13</v>
      </c>
      <c r="M1114" t="s">
        <v>18</v>
      </c>
      <c r="N1114" t="s">
        <v>17</v>
      </c>
      <c r="O1114" s="5"/>
    </row>
    <row r="1115" spans="2:15" x14ac:dyDescent="0.3">
      <c r="B1115" s="4">
        <v>47</v>
      </c>
      <c r="C1115" t="s">
        <v>9</v>
      </c>
      <c r="D1115" t="s">
        <v>10</v>
      </c>
      <c r="E1115" t="s">
        <v>11</v>
      </c>
      <c r="F1115">
        <v>8</v>
      </c>
      <c r="G1115" t="s">
        <v>88</v>
      </c>
      <c r="H1115">
        <v>12</v>
      </c>
      <c r="J1115" t="s">
        <v>13</v>
      </c>
      <c r="K1115" t="s">
        <v>18</v>
      </c>
      <c r="L1115" t="s">
        <v>18</v>
      </c>
      <c r="M1115" t="s">
        <v>17</v>
      </c>
      <c r="N1115" t="s">
        <v>19</v>
      </c>
      <c r="O1115" s="5" t="s">
        <v>35</v>
      </c>
    </row>
    <row r="1116" spans="2:15" x14ac:dyDescent="0.3">
      <c r="B1116" s="4">
        <v>1040</v>
      </c>
      <c r="C1116" t="s">
        <v>27</v>
      </c>
      <c r="D1116" t="s">
        <v>28</v>
      </c>
      <c r="E1116" t="s">
        <v>29</v>
      </c>
      <c r="F1116">
        <v>6</v>
      </c>
      <c r="G1116" t="s">
        <v>55</v>
      </c>
      <c r="H1116">
        <v>2</v>
      </c>
      <c r="M1116" t="s">
        <v>13</v>
      </c>
      <c r="N1116" t="s">
        <v>13</v>
      </c>
      <c r="O1116" s="5" t="s">
        <v>17</v>
      </c>
    </row>
    <row r="1117" spans="2:15" x14ac:dyDescent="0.3">
      <c r="B1117" s="4">
        <v>369</v>
      </c>
      <c r="C1117" t="s">
        <v>78</v>
      </c>
      <c r="D1117" t="s">
        <v>79</v>
      </c>
      <c r="E1117" t="s">
        <v>80</v>
      </c>
      <c r="F1117">
        <v>10</v>
      </c>
      <c r="G1117" t="s">
        <v>22</v>
      </c>
      <c r="H1117">
        <v>1</v>
      </c>
      <c r="I1117" t="s">
        <v>13</v>
      </c>
      <c r="J1117" t="s">
        <v>13</v>
      </c>
      <c r="K1117" t="s">
        <v>13</v>
      </c>
      <c r="L1117" t="s">
        <v>13</v>
      </c>
      <c r="M1117" t="s">
        <v>13</v>
      </c>
      <c r="N1117" t="s">
        <v>17</v>
      </c>
      <c r="O1117" s="5" t="s">
        <v>17</v>
      </c>
    </row>
    <row r="1118" spans="2:15" x14ac:dyDescent="0.3">
      <c r="B1118" s="4">
        <v>450</v>
      </c>
      <c r="C1118" t="s">
        <v>78</v>
      </c>
      <c r="D1118" t="s">
        <v>79</v>
      </c>
      <c r="E1118" t="s">
        <v>80</v>
      </c>
      <c r="F1118">
        <v>10</v>
      </c>
      <c r="G1118" t="s">
        <v>54</v>
      </c>
      <c r="H1118">
        <v>8</v>
      </c>
      <c r="L1118" t="s">
        <v>18</v>
      </c>
      <c r="M1118" t="s">
        <v>17</v>
      </c>
      <c r="O1118" s="5"/>
    </row>
    <row r="1119" spans="2:15" x14ac:dyDescent="0.3">
      <c r="B1119" s="4">
        <v>821</v>
      </c>
      <c r="C1119" t="s">
        <v>78</v>
      </c>
      <c r="D1119" t="s">
        <v>79</v>
      </c>
      <c r="E1119" t="s">
        <v>80</v>
      </c>
      <c r="F1119">
        <v>10</v>
      </c>
      <c r="G1119" t="s">
        <v>16</v>
      </c>
      <c r="H1119">
        <v>6</v>
      </c>
      <c r="M1119" t="s">
        <v>13</v>
      </c>
      <c r="N1119" t="s">
        <v>13</v>
      </c>
      <c r="O1119" s="5" t="s">
        <v>18</v>
      </c>
    </row>
    <row r="1120" spans="2:15" x14ac:dyDescent="0.3">
      <c r="B1120" s="4">
        <v>453</v>
      </c>
      <c r="C1120" t="s">
        <v>106</v>
      </c>
      <c r="D1120" t="s">
        <v>107</v>
      </c>
      <c r="E1120" t="s">
        <v>11</v>
      </c>
      <c r="F1120">
        <v>8</v>
      </c>
      <c r="G1120" t="s">
        <v>40</v>
      </c>
      <c r="H1120">
        <v>3</v>
      </c>
      <c r="L1120" t="s">
        <v>13</v>
      </c>
      <c r="M1120" t="s">
        <v>18</v>
      </c>
      <c r="N1120" t="s">
        <v>18</v>
      </c>
      <c r="O1120" s="5" t="s">
        <v>17</v>
      </c>
    </row>
    <row r="1121" spans="2:15" x14ac:dyDescent="0.3">
      <c r="B1121" s="4">
        <v>370</v>
      </c>
      <c r="C1121" t="s">
        <v>49</v>
      </c>
      <c r="D1121" t="s">
        <v>50</v>
      </c>
      <c r="E1121" t="s">
        <v>51</v>
      </c>
      <c r="F1121">
        <v>3</v>
      </c>
      <c r="G1121" t="s">
        <v>66</v>
      </c>
      <c r="H1121">
        <v>5</v>
      </c>
      <c r="M1121" t="s">
        <v>17</v>
      </c>
      <c r="N1121" t="s">
        <v>17</v>
      </c>
      <c r="O1121" s="5" t="s">
        <v>17</v>
      </c>
    </row>
    <row r="1122" spans="2:15" x14ac:dyDescent="0.3">
      <c r="B1122" s="4">
        <v>2167</v>
      </c>
      <c r="C1122" t="s">
        <v>14</v>
      </c>
      <c r="D1122" t="s">
        <v>15</v>
      </c>
      <c r="E1122" t="s">
        <v>11</v>
      </c>
      <c r="F1122">
        <v>8</v>
      </c>
      <c r="G1122" t="s">
        <v>16</v>
      </c>
      <c r="H1122">
        <v>6</v>
      </c>
      <c r="M1122" t="s">
        <v>17</v>
      </c>
      <c r="N1122" t="s">
        <v>17</v>
      </c>
      <c r="O1122" s="5" t="s">
        <v>18</v>
      </c>
    </row>
    <row r="1123" spans="2:15" x14ac:dyDescent="0.3">
      <c r="B1123" s="4">
        <v>1714</v>
      </c>
      <c r="C1123" t="s">
        <v>23</v>
      </c>
      <c r="D1123" t="s">
        <v>24</v>
      </c>
      <c r="E1123" t="s">
        <v>25</v>
      </c>
      <c r="F1123">
        <v>1</v>
      </c>
      <c r="G1123" t="s">
        <v>57</v>
      </c>
      <c r="H1123">
        <v>10</v>
      </c>
      <c r="M1123" t="s">
        <v>13</v>
      </c>
      <c r="N1123" t="s">
        <v>18</v>
      </c>
      <c r="O1123" s="5" t="s">
        <v>18</v>
      </c>
    </row>
    <row r="1124" spans="2:15" x14ac:dyDescent="0.3">
      <c r="B1124" s="4">
        <v>4372</v>
      </c>
      <c r="C1124" t="s">
        <v>23</v>
      </c>
      <c r="D1124" t="s">
        <v>24</v>
      </c>
      <c r="E1124" t="s">
        <v>25</v>
      </c>
      <c r="F1124">
        <v>1</v>
      </c>
      <c r="G1124" t="s">
        <v>38</v>
      </c>
      <c r="H1124">
        <v>13</v>
      </c>
      <c r="L1124" t="s">
        <v>18</v>
      </c>
      <c r="M1124" t="s">
        <v>52</v>
      </c>
      <c r="N1124" t="s">
        <v>52</v>
      </c>
      <c r="O1124" s="5" t="s">
        <v>19</v>
      </c>
    </row>
    <row r="1125" spans="2:15" x14ac:dyDescent="0.3">
      <c r="B1125" s="4">
        <v>1000</v>
      </c>
      <c r="C1125" t="s">
        <v>27</v>
      </c>
      <c r="D1125" t="s">
        <v>28</v>
      </c>
      <c r="E1125" t="s">
        <v>29</v>
      </c>
      <c r="F1125">
        <v>6</v>
      </c>
      <c r="G1125" t="s">
        <v>26</v>
      </c>
      <c r="H1125">
        <v>4</v>
      </c>
      <c r="M1125" t="s">
        <v>13</v>
      </c>
      <c r="N1125" t="s">
        <v>18</v>
      </c>
      <c r="O1125" s="5" t="s">
        <v>13</v>
      </c>
    </row>
    <row r="1126" spans="2:15" x14ac:dyDescent="0.3">
      <c r="B1126" s="4">
        <v>2890</v>
      </c>
      <c r="C1126" t="s">
        <v>14</v>
      </c>
      <c r="D1126" t="s">
        <v>15</v>
      </c>
      <c r="E1126" t="s">
        <v>11</v>
      </c>
      <c r="F1126">
        <v>8</v>
      </c>
      <c r="G1126" t="s">
        <v>12</v>
      </c>
      <c r="H1126">
        <v>7</v>
      </c>
      <c r="K1126" t="s">
        <v>17</v>
      </c>
      <c r="L1126" t="s">
        <v>17</v>
      </c>
      <c r="M1126" t="s">
        <v>17</v>
      </c>
      <c r="N1126" t="s">
        <v>17</v>
      </c>
      <c r="O1126" s="5" t="s">
        <v>19</v>
      </c>
    </row>
    <row r="1127" spans="2:15" x14ac:dyDescent="0.3">
      <c r="B1127" s="4">
        <v>146</v>
      </c>
      <c r="C1127" t="s">
        <v>46</v>
      </c>
      <c r="D1127" t="s">
        <v>47</v>
      </c>
      <c r="E1127" t="s">
        <v>11</v>
      </c>
      <c r="F1127">
        <v>8</v>
      </c>
      <c r="G1127" t="s">
        <v>22</v>
      </c>
      <c r="H1127">
        <v>1</v>
      </c>
      <c r="I1127" t="s">
        <v>18</v>
      </c>
      <c r="J1127" t="s">
        <v>52</v>
      </c>
      <c r="K1127" t="s">
        <v>19</v>
      </c>
      <c r="L1127" t="s">
        <v>35</v>
      </c>
      <c r="O1127" s="5"/>
    </row>
    <row r="1128" spans="2:15" x14ac:dyDescent="0.3">
      <c r="B1128" s="4">
        <v>1129</v>
      </c>
      <c r="C1128" t="s">
        <v>14</v>
      </c>
      <c r="D1128" t="s">
        <v>15</v>
      </c>
      <c r="E1128" t="s">
        <v>11</v>
      </c>
      <c r="F1128">
        <v>8</v>
      </c>
      <c r="G1128" t="s">
        <v>58</v>
      </c>
      <c r="H1128">
        <v>17</v>
      </c>
      <c r="L1128" t="s">
        <v>13</v>
      </c>
      <c r="M1128" t="s">
        <v>18</v>
      </c>
      <c r="N1128" t="s">
        <v>19</v>
      </c>
      <c r="O1128" s="5"/>
    </row>
    <row r="1129" spans="2:15" x14ac:dyDescent="0.3">
      <c r="B1129" s="4">
        <v>24</v>
      </c>
      <c r="C1129" t="s">
        <v>20</v>
      </c>
      <c r="D1129" t="s">
        <v>21</v>
      </c>
      <c r="E1129" t="s">
        <v>11</v>
      </c>
      <c r="F1129">
        <v>8</v>
      </c>
      <c r="G1129" t="s">
        <v>54</v>
      </c>
      <c r="H1129">
        <v>8</v>
      </c>
      <c r="M1129" t="s">
        <v>17</v>
      </c>
      <c r="N1129" t="s">
        <v>13</v>
      </c>
      <c r="O1129" s="5" t="s">
        <v>13</v>
      </c>
    </row>
    <row r="1130" spans="2:15" x14ac:dyDescent="0.3">
      <c r="B1130" s="4">
        <v>985</v>
      </c>
      <c r="C1130" t="s">
        <v>14</v>
      </c>
      <c r="D1130" t="s">
        <v>15</v>
      </c>
      <c r="E1130" t="s">
        <v>11</v>
      </c>
      <c r="F1130">
        <v>8</v>
      </c>
      <c r="G1130" t="s">
        <v>40</v>
      </c>
      <c r="H1130">
        <v>3</v>
      </c>
      <c r="L1130" t="s">
        <v>13</v>
      </c>
      <c r="M1130" t="s">
        <v>13</v>
      </c>
      <c r="N1130" t="s">
        <v>18</v>
      </c>
      <c r="O1130" s="5" t="s">
        <v>13</v>
      </c>
    </row>
    <row r="1131" spans="2:15" x14ac:dyDescent="0.3">
      <c r="B1131" s="4">
        <v>7</v>
      </c>
      <c r="C1131" t="s">
        <v>14</v>
      </c>
      <c r="D1131" t="s">
        <v>15</v>
      </c>
      <c r="E1131" t="s">
        <v>11</v>
      </c>
      <c r="F1131">
        <v>8</v>
      </c>
      <c r="G1131" t="s">
        <v>22</v>
      </c>
      <c r="H1131">
        <v>1</v>
      </c>
      <c r="J1131" t="s">
        <v>17</v>
      </c>
      <c r="K1131" t="s">
        <v>18</v>
      </c>
      <c r="O1131" s="5"/>
    </row>
    <row r="1132" spans="2:15" x14ac:dyDescent="0.3">
      <c r="B1132" s="4">
        <v>589</v>
      </c>
      <c r="C1132" t="s">
        <v>49</v>
      </c>
      <c r="D1132" t="s">
        <v>50</v>
      </c>
      <c r="E1132" t="s">
        <v>51</v>
      </c>
      <c r="F1132">
        <v>3</v>
      </c>
      <c r="G1132" t="s">
        <v>22</v>
      </c>
      <c r="H1132">
        <v>1</v>
      </c>
      <c r="I1132" t="s">
        <v>13</v>
      </c>
      <c r="J1132" t="s">
        <v>19</v>
      </c>
      <c r="K1132" t="s">
        <v>18</v>
      </c>
      <c r="L1132" t="s">
        <v>18</v>
      </c>
      <c r="M1132" t="s">
        <v>13</v>
      </c>
      <c r="N1132" t="s">
        <v>52</v>
      </c>
      <c r="O1132" s="5" t="s">
        <v>19</v>
      </c>
    </row>
    <row r="1133" spans="2:15" x14ac:dyDescent="0.3">
      <c r="B1133" s="4">
        <v>775</v>
      </c>
      <c r="C1133" t="s">
        <v>23</v>
      </c>
      <c r="D1133" t="s">
        <v>24</v>
      </c>
      <c r="E1133" t="s">
        <v>25</v>
      </c>
      <c r="F1133">
        <v>1</v>
      </c>
      <c r="G1133" t="s">
        <v>30</v>
      </c>
      <c r="H1133">
        <v>18</v>
      </c>
      <c r="M1133" t="s">
        <v>17</v>
      </c>
      <c r="N1133" t="s">
        <v>13</v>
      </c>
      <c r="O1133" s="5" t="s">
        <v>13</v>
      </c>
    </row>
    <row r="1134" spans="2:15" x14ac:dyDescent="0.3">
      <c r="B1134" s="4">
        <v>76</v>
      </c>
      <c r="C1134" t="s">
        <v>63</v>
      </c>
      <c r="D1134" t="s">
        <v>64</v>
      </c>
      <c r="E1134" t="s">
        <v>65</v>
      </c>
      <c r="F1134">
        <v>14</v>
      </c>
      <c r="G1134" t="s">
        <v>55</v>
      </c>
      <c r="H1134">
        <v>2</v>
      </c>
      <c r="K1134" t="s">
        <v>17</v>
      </c>
      <c r="L1134" t="s">
        <v>18</v>
      </c>
      <c r="M1134" t="s">
        <v>34</v>
      </c>
      <c r="N1134" t="s">
        <v>34</v>
      </c>
      <c r="O1134" s="5"/>
    </row>
    <row r="1135" spans="2:15" x14ac:dyDescent="0.3">
      <c r="B1135" s="4">
        <v>29</v>
      </c>
      <c r="C1135" t="s">
        <v>63</v>
      </c>
      <c r="D1135" t="s">
        <v>64</v>
      </c>
      <c r="E1135" t="s">
        <v>65</v>
      </c>
      <c r="F1135">
        <v>14</v>
      </c>
      <c r="G1135" t="s">
        <v>54</v>
      </c>
      <c r="H1135">
        <v>8</v>
      </c>
      <c r="I1135" t="s">
        <v>17</v>
      </c>
      <c r="J1135" t="s">
        <v>17</v>
      </c>
      <c r="K1135" t="s">
        <v>19</v>
      </c>
      <c r="L1135" t="s">
        <v>34</v>
      </c>
      <c r="M1135" t="s">
        <v>35</v>
      </c>
      <c r="O1135" s="5"/>
    </row>
    <row r="1136" spans="2:15" x14ac:dyDescent="0.3">
      <c r="B1136" s="4">
        <v>619</v>
      </c>
      <c r="C1136" t="s">
        <v>84</v>
      </c>
      <c r="D1136" t="s">
        <v>85</v>
      </c>
      <c r="E1136" t="s">
        <v>86</v>
      </c>
      <c r="F1136">
        <v>12</v>
      </c>
      <c r="G1136" t="s">
        <v>16</v>
      </c>
      <c r="H1136">
        <v>6</v>
      </c>
      <c r="I1136" t="s">
        <v>13</v>
      </c>
      <c r="J1136" t="s">
        <v>13</v>
      </c>
      <c r="K1136" t="s">
        <v>13</v>
      </c>
      <c r="L1136" t="s">
        <v>13</v>
      </c>
      <c r="O1136" s="5"/>
    </row>
    <row r="1137" spans="2:15" x14ac:dyDescent="0.3">
      <c r="B1137" s="4">
        <v>1240</v>
      </c>
      <c r="C1137" t="s">
        <v>14</v>
      </c>
      <c r="D1137" t="s">
        <v>15</v>
      </c>
      <c r="E1137" t="s">
        <v>11</v>
      </c>
      <c r="F1137">
        <v>8</v>
      </c>
      <c r="G1137" t="s">
        <v>22</v>
      </c>
      <c r="H1137">
        <v>1</v>
      </c>
      <c r="M1137" t="s">
        <v>13</v>
      </c>
      <c r="N1137" t="s">
        <v>13</v>
      </c>
      <c r="O1137" s="5" t="s">
        <v>17</v>
      </c>
    </row>
    <row r="1138" spans="2:15" x14ac:dyDescent="0.3">
      <c r="B1138" s="4">
        <v>22</v>
      </c>
      <c r="C1138" t="s">
        <v>41</v>
      </c>
      <c r="D1138" t="s">
        <v>42</v>
      </c>
      <c r="E1138" t="s">
        <v>11</v>
      </c>
      <c r="F1138">
        <v>8</v>
      </c>
      <c r="G1138" t="s">
        <v>30</v>
      </c>
      <c r="H1138">
        <v>18</v>
      </c>
      <c r="I1138" t="s">
        <v>13</v>
      </c>
      <c r="J1138" t="s">
        <v>18</v>
      </c>
      <c r="K1138" t="s">
        <v>13</v>
      </c>
      <c r="L1138" t="s">
        <v>18</v>
      </c>
      <c r="M1138" t="s">
        <v>18</v>
      </c>
      <c r="N1138" t="s">
        <v>34</v>
      </c>
      <c r="O1138" s="5" t="s">
        <v>34</v>
      </c>
    </row>
    <row r="1139" spans="2:15" x14ac:dyDescent="0.3">
      <c r="B1139" s="4">
        <v>131</v>
      </c>
      <c r="C1139" t="s">
        <v>14</v>
      </c>
      <c r="D1139" t="s">
        <v>15</v>
      </c>
      <c r="E1139" t="s">
        <v>11</v>
      </c>
      <c r="F1139">
        <v>8</v>
      </c>
      <c r="G1139" t="s">
        <v>74</v>
      </c>
      <c r="H1139">
        <v>15</v>
      </c>
      <c r="L1139" t="s">
        <v>17</v>
      </c>
      <c r="M1139" t="s">
        <v>18</v>
      </c>
      <c r="N1139" t="s">
        <v>18</v>
      </c>
      <c r="O1139" s="5" t="s">
        <v>18</v>
      </c>
    </row>
    <row r="1140" spans="2:15" x14ac:dyDescent="0.3">
      <c r="B1140" s="4">
        <v>264</v>
      </c>
      <c r="C1140" t="s">
        <v>46</v>
      </c>
      <c r="D1140" t="s">
        <v>47</v>
      </c>
      <c r="E1140" t="s">
        <v>11</v>
      </c>
      <c r="F1140">
        <v>8</v>
      </c>
      <c r="G1140" t="s">
        <v>54</v>
      </c>
      <c r="H1140">
        <v>8</v>
      </c>
      <c r="K1140" t="s">
        <v>18</v>
      </c>
      <c r="L1140" t="s">
        <v>13</v>
      </c>
      <c r="M1140" t="s">
        <v>13</v>
      </c>
      <c r="N1140" t="s">
        <v>13</v>
      </c>
      <c r="O1140" s="5" t="s">
        <v>18</v>
      </c>
    </row>
    <row r="1141" spans="2:15" x14ac:dyDescent="0.3">
      <c r="B1141" s="4">
        <v>564</v>
      </c>
      <c r="C1141" t="s">
        <v>49</v>
      </c>
      <c r="D1141" t="s">
        <v>50</v>
      </c>
      <c r="E1141" t="s">
        <v>51</v>
      </c>
      <c r="F1141">
        <v>3</v>
      </c>
      <c r="G1141" t="s">
        <v>54</v>
      </c>
      <c r="H1141">
        <v>8</v>
      </c>
      <c r="I1141" t="s">
        <v>13</v>
      </c>
      <c r="J1141" t="s">
        <v>13</v>
      </c>
      <c r="K1141" t="s">
        <v>13</v>
      </c>
      <c r="L1141" t="s">
        <v>13</v>
      </c>
      <c r="M1141" t="s">
        <v>13</v>
      </c>
      <c r="N1141" t="s">
        <v>13</v>
      </c>
      <c r="O1141" s="5"/>
    </row>
    <row r="1142" spans="2:15" x14ac:dyDescent="0.3">
      <c r="B1142" s="4">
        <v>53</v>
      </c>
      <c r="C1142" t="s">
        <v>27</v>
      </c>
      <c r="D1142" t="s">
        <v>28</v>
      </c>
      <c r="E1142" t="s">
        <v>29</v>
      </c>
      <c r="F1142">
        <v>6</v>
      </c>
      <c r="G1142" t="s">
        <v>30</v>
      </c>
      <c r="H1142">
        <v>18</v>
      </c>
      <c r="I1142" t="s">
        <v>34</v>
      </c>
      <c r="J1142" t="s">
        <v>52</v>
      </c>
      <c r="K1142" t="s">
        <v>33</v>
      </c>
      <c r="L1142" t="s">
        <v>33</v>
      </c>
      <c r="M1142" t="s">
        <v>52</v>
      </c>
      <c r="N1142" t="s">
        <v>52</v>
      </c>
      <c r="O1142" s="5"/>
    </row>
    <row r="1143" spans="2:15" x14ac:dyDescent="0.3">
      <c r="B1143" s="4">
        <v>2044</v>
      </c>
      <c r="C1143" t="s">
        <v>72</v>
      </c>
      <c r="D1143" t="s">
        <v>73</v>
      </c>
      <c r="E1143" t="s">
        <v>11</v>
      </c>
      <c r="F1143">
        <v>8</v>
      </c>
      <c r="G1143" t="s">
        <v>30</v>
      </c>
      <c r="H1143">
        <v>18</v>
      </c>
      <c r="N1143" t="s">
        <v>19</v>
      </c>
      <c r="O1143" s="5" t="s">
        <v>19</v>
      </c>
    </row>
    <row r="1144" spans="2:15" x14ac:dyDescent="0.3">
      <c r="B1144" s="4">
        <v>498</v>
      </c>
      <c r="C1144" t="s">
        <v>75</v>
      </c>
      <c r="D1144" t="s">
        <v>76</v>
      </c>
      <c r="E1144" t="s">
        <v>77</v>
      </c>
      <c r="F1144">
        <v>7</v>
      </c>
      <c r="G1144" t="s">
        <v>40</v>
      </c>
      <c r="H1144">
        <v>3</v>
      </c>
      <c r="I1144" t="s">
        <v>18</v>
      </c>
      <c r="J1144" t="s">
        <v>13</v>
      </c>
      <c r="K1144" t="s">
        <v>17</v>
      </c>
      <c r="L1144" t="s">
        <v>18</v>
      </c>
      <c r="M1144" t="s">
        <v>13</v>
      </c>
      <c r="N1144" t="s">
        <v>18</v>
      </c>
      <c r="O1144" s="5" t="s">
        <v>18</v>
      </c>
    </row>
    <row r="1145" spans="2:15" x14ac:dyDescent="0.3">
      <c r="B1145" s="4">
        <v>512</v>
      </c>
      <c r="C1145" t="s">
        <v>9</v>
      </c>
      <c r="D1145" t="s">
        <v>10</v>
      </c>
      <c r="E1145" t="s">
        <v>11</v>
      </c>
      <c r="F1145">
        <v>8</v>
      </c>
      <c r="G1145" t="s">
        <v>30</v>
      </c>
      <c r="H1145">
        <v>18</v>
      </c>
      <c r="K1145" t="s">
        <v>33</v>
      </c>
      <c r="L1145" t="s">
        <v>33</v>
      </c>
      <c r="M1145" t="s">
        <v>52</v>
      </c>
      <c r="N1145" t="s">
        <v>52</v>
      </c>
      <c r="O1145" s="5" t="s">
        <v>19</v>
      </c>
    </row>
    <row r="1146" spans="2:15" x14ac:dyDescent="0.3">
      <c r="B1146" s="4">
        <v>18</v>
      </c>
      <c r="C1146" t="s">
        <v>14</v>
      </c>
      <c r="D1146" t="s">
        <v>15</v>
      </c>
      <c r="E1146" t="s">
        <v>11</v>
      </c>
      <c r="F1146">
        <v>8</v>
      </c>
      <c r="G1146" t="s">
        <v>57</v>
      </c>
      <c r="H1146">
        <v>10</v>
      </c>
      <c r="I1146" t="s">
        <v>13</v>
      </c>
      <c r="J1146" t="s">
        <v>13</v>
      </c>
      <c r="K1146" t="s">
        <v>13</v>
      </c>
      <c r="L1146" t="s">
        <v>13</v>
      </c>
      <c r="M1146" t="s">
        <v>13</v>
      </c>
      <c r="N1146" t="s">
        <v>13</v>
      </c>
      <c r="O1146" s="5" t="s">
        <v>13</v>
      </c>
    </row>
    <row r="1147" spans="2:15" x14ac:dyDescent="0.3">
      <c r="B1147" s="4">
        <v>1118</v>
      </c>
      <c r="C1147" t="s">
        <v>9</v>
      </c>
      <c r="D1147" t="s">
        <v>10</v>
      </c>
      <c r="E1147" t="s">
        <v>11</v>
      </c>
      <c r="F1147">
        <v>8</v>
      </c>
      <c r="G1147" t="s">
        <v>57</v>
      </c>
      <c r="H1147">
        <v>10</v>
      </c>
      <c r="J1147" t="s">
        <v>13</v>
      </c>
      <c r="K1147" t="s">
        <v>13</v>
      </c>
      <c r="L1147" t="s">
        <v>13</v>
      </c>
      <c r="M1147" t="s">
        <v>13</v>
      </c>
      <c r="N1147" t="s">
        <v>18</v>
      </c>
      <c r="O1147" s="5" t="s">
        <v>13</v>
      </c>
    </row>
    <row r="1148" spans="2:15" x14ac:dyDescent="0.3">
      <c r="B1148" s="4">
        <v>2435</v>
      </c>
      <c r="C1148" t="s">
        <v>14</v>
      </c>
      <c r="D1148" t="s">
        <v>15</v>
      </c>
      <c r="E1148" t="s">
        <v>11</v>
      </c>
      <c r="F1148">
        <v>8</v>
      </c>
      <c r="G1148" t="s">
        <v>88</v>
      </c>
      <c r="H1148">
        <v>12</v>
      </c>
      <c r="J1148" t="s">
        <v>18</v>
      </c>
      <c r="K1148" t="s">
        <v>13</v>
      </c>
      <c r="L1148" t="s">
        <v>17</v>
      </c>
      <c r="M1148" t="s">
        <v>17</v>
      </c>
      <c r="O1148" s="5"/>
    </row>
    <row r="1149" spans="2:15" x14ac:dyDescent="0.3">
      <c r="B1149" s="4">
        <v>669</v>
      </c>
      <c r="C1149" t="s">
        <v>27</v>
      </c>
      <c r="D1149" t="s">
        <v>28</v>
      </c>
      <c r="E1149" t="s">
        <v>29</v>
      </c>
      <c r="F1149">
        <v>6</v>
      </c>
      <c r="G1149" t="s">
        <v>88</v>
      </c>
      <c r="H1149">
        <v>12</v>
      </c>
      <c r="M1149" t="s">
        <v>17</v>
      </c>
      <c r="N1149" t="s">
        <v>17</v>
      </c>
      <c r="O1149" s="5" t="s">
        <v>52</v>
      </c>
    </row>
    <row r="1150" spans="2:15" x14ac:dyDescent="0.3">
      <c r="B1150" s="4">
        <v>123</v>
      </c>
      <c r="C1150" t="s">
        <v>14</v>
      </c>
      <c r="D1150" t="s">
        <v>15</v>
      </c>
      <c r="E1150" t="s">
        <v>11</v>
      </c>
      <c r="F1150">
        <v>8</v>
      </c>
      <c r="G1150" t="s">
        <v>16</v>
      </c>
      <c r="H1150">
        <v>6</v>
      </c>
      <c r="I1150" t="s">
        <v>18</v>
      </c>
      <c r="J1150" t="s">
        <v>13</v>
      </c>
      <c r="K1150" t="s">
        <v>13</v>
      </c>
      <c r="O1150" s="5"/>
    </row>
    <row r="1151" spans="2:15" x14ac:dyDescent="0.3">
      <c r="B1151" s="4">
        <v>1183</v>
      </c>
      <c r="C1151" t="s">
        <v>43</v>
      </c>
      <c r="D1151" t="s">
        <v>44</v>
      </c>
      <c r="E1151" t="s">
        <v>45</v>
      </c>
      <c r="F1151">
        <v>5</v>
      </c>
      <c r="G1151" t="s">
        <v>16</v>
      </c>
      <c r="H1151">
        <v>6</v>
      </c>
      <c r="N1151" t="s">
        <v>17</v>
      </c>
      <c r="O1151" s="5" t="s">
        <v>13</v>
      </c>
    </row>
    <row r="1152" spans="2:15" x14ac:dyDescent="0.3">
      <c r="B1152" s="4">
        <v>721</v>
      </c>
      <c r="C1152" t="s">
        <v>84</v>
      </c>
      <c r="D1152" t="s">
        <v>85</v>
      </c>
      <c r="E1152" t="s">
        <v>86</v>
      </c>
      <c r="F1152">
        <v>12</v>
      </c>
      <c r="G1152" t="s">
        <v>40</v>
      </c>
      <c r="H1152">
        <v>3</v>
      </c>
      <c r="N1152" t="s">
        <v>18</v>
      </c>
      <c r="O1152" s="5" t="s">
        <v>13</v>
      </c>
    </row>
    <row r="1153" spans="2:15" x14ac:dyDescent="0.3">
      <c r="B1153" s="4">
        <v>194</v>
      </c>
      <c r="C1153" t="s">
        <v>41</v>
      </c>
      <c r="D1153" t="s">
        <v>42</v>
      </c>
      <c r="E1153" t="s">
        <v>11</v>
      </c>
      <c r="F1153">
        <v>8</v>
      </c>
      <c r="G1153" t="s">
        <v>87</v>
      </c>
      <c r="H1153">
        <v>9</v>
      </c>
      <c r="M1153" t="s">
        <v>17</v>
      </c>
      <c r="N1153" t="s">
        <v>13</v>
      </c>
      <c r="O1153" s="5" t="s">
        <v>13</v>
      </c>
    </row>
    <row r="1154" spans="2:15" x14ac:dyDescent="0.3">
      <c r="B1154" s="4">
        <v>1103</v>
      </c>
      <c r="C1154" t="s">
        <v>94</v>
      </c>
      <c r="D1154" t="s">
        <v>95</v>
      </c>
      <c r="E1154" t="s">
        <v>96</v>
      </c>
      <c r="F1154">
        <v>13</v>
      </c>
      <c r="G1154" t="s">
        <v>87</v>
      </c>
      <c r="H1154">
        <v>9</v>
      </c>
      <c r="L1154" t="s">
        <v>13</v>
      </c>
      <c r="M1154" t="s">
        <v>13</v>
      </c>
      <c r="N1154" t="s">
        <v>17</v>
      </c>
      <c r="O1154" s="5" t="s">
        <v>52</v>
      </c>
    </row>
    <row r="1155" spans="2:15" x14ac:dyDescent="0.3">
      <c r="B1155" s="4">
        <v>522</v>
      </c>
      <c r="C1155" t="s">
        <v>14</v>
      </c>
      <c r="D1155" t="s">
        <v>15</v>
      </c>
      <c r="E1155" t="s">
        <v>11</v>
      </c>
      <c r="F1155">
        <v>8</v>
      </c>
      <c r="G1155" t="s">
        <v>26</v>
      </c>
      <c r="H1155">
        <v>4</v>
      </c>
      <c r="M1155" t="s">
        <v>18</v>
      </c>
      <c r="N1155" t="s">
        <v>17</v>
      </c>
      <c r="O1155" s="5" t="s">
        <v>17</v>
      </c>
    </row>
    <row r="1156" spans="2:15" x14ac:dyDescent="0.3">
      <c r="B1156" s="4">
        <v>603</v>
      </c>
      <c r="C1156" t="s">
        <v>14</v>
      </c>
      <c r="D1156" t="s">
        <v>15</v>
      </c>
      <c r="E1156" t="s">
        <v>11</v>
      </c>
      <c r="F1156">
        <v>8</v>
      </c>
      <c r="G1156" t="s">
        <v>26</v>
      </c>
      <c r="H1156">
        <v>4</v>
      </c>
      <c r="I1156" t="s">
        <v>13</v>
      </c>
      <c r="J1156" t="s">
        <v>17</v>
      </c>
      <c r="K1156" t="s">
        <v>18</v>
      </c>
      <c r="L1156" t="s">
        <v>13</v>
      </c>
      <c r="M1156" t="s">
        <v>18</v>
      </c>
      <c r="N1156" t="s">
        <v>18</v>
      </c>
      <c r="O1156" s="5" t="s">
        <v>17</v>
      </c>
    </row>
    <row r="1157" spans="2:15" x14ac:dyDescent="0.3">
      <c r="B1157" s="4">
        <v>172</v>
      </c>
      <c r="C1157" t="s">
        <v>46</v>
      </c>
      <c r="D1157" t="s">
        <v>47</v>
      </c>
      <c r="E1157" t="s">
        <v>11</v>
      </c>
      <c r="F1157">
        <v>8</v>
      </c>
      <c r="G1157" t="s">
        <v>12</v>
      </c>
      <c r="H1157">
        <v>7</v>
      </c>
      <c r="J1157" t="s">
        <v>18</v>
      </c>
      <c r="K1157" t="s">
        <v>18</v>
      </c>
      <c r="L1157" t="s">
        <v>18</v>
      </c>
      <c r="M1157" t="s">
        <v>18</v>
      </c>
      <c r="N1157" t="s">
        <v>19</v>
      </c>
      <c r="O1157" s="5" t="s">
        <v>19</v>
      </c>
    </row>
    <row r="1158" spans="2:15" x14ac:dyDescent="0.3">
      <c r="B1158" s="4">
        <v>1</v>
      </c>
      <c r="C1158" t="s">
        <v>14</v>
      </c>
      <c r="D1158" t="s">
        <v>15</v>
      </c>
      <c r="E1158" t="s">
        <v>11</v>
      </c>
      <c r="F1158">
        <v>8</v>
      </c>
      <c r="G1158" t="s">
        <v>30</v>
      </c>
      <c r="H1158">
        <v>18</v>
      </c>
      <c r="I1158" t="s">
        <v>13</v>
      </c>
      <c r="J1158" t="s">
        <v>13</v>
      </c>
      <c r="K1158" t="s">
        <v>13</v>
      </c>
      <c r="L1158" t="s">
        <v>18</v>
      </c>
      <c r="M1158" t="s">
        <v>13</v>
      </c>
      <c r="N1158" t="s">
        <v>13</v>
      </c>
      <c r="O1158" s="5" t="s">
        <v>18</v>
      </c>
    </row>
    <row r="1159" spans="2:15" x14ac:dyDescent="0.3">
      <c r="B1159" s="4">
        <v>100</v>
      </c>
      <c r="C1159" t="s">
        <v>41</v>
      </c>
      <c r="D1159" t="s">
        <v>42</v>
      </c>
      <c r="E1159" t="s">
        <v>11</v>
      </c>
      <c r="F1159">
        <v>8</v>
      </c>
      <c r="G1159" t="s">
        <v>30</v>
      </c>
      <c r="H1159">
        <v>18</v>
      </c>
      <c r="I1159" t="s">
        <v>18</v>
      </c>
      <c r="J1159" t="s">
        <v>13</v>
      </c>
      <c r="K1159" t="s">
        <v>18</v>
      </c>
      <c r="L1159" t="s">
        <v>13</v>
      </c>
      <c r="M1159" t="s">
        <v>13</v>
      </c>
      <c r="N1159" t="s">
        <v>13</v>
      </c>
      <c r="O1159" s="5" t="s">
        <v>17</v>
      </c>
    </row>
    <row r="1160" spans="2:15" x14ac:dyDescent="0.3">
      <c r="B1160" s="4">
        <v>1129</v>
      </c>
      <c r="C1160" t="s">
        <v>9</v>
      </c>
      <c r="D1160" t="s">
        <v>10</v>
      </c>
      <c r="E1160" t="s">
        <v>11</v>
      </c>
      <c r="F1160">
        <v>8</v>
      </c>
      <c r="G1160" t="s">
        <v>30</v>
      </c>
      <c r="H1160">
        <v>18</v>
      </c>
      <c r="K1160" t="s">
        <v>18</v>
      </c>
      <c r="L1160" t="s">
        <v>18</v>
      </c>
      <c r="M1160" t="s">
        <v>13</v>
      </c>
      <c r="N1160" t="s">
        <v>13</v>
      </c>
      <c r="O1160" s="5" t="s">
        <v>13</v>
      </c>
    </row>
    <row r="1161" spans="2:15" x14ac:dyDescent="0.3">
      <c r="B1161" s="4">
        <v>801</v>
      </c>
      <c r="C1161" t="s">
        <v>9</v>
      </c>
      <c r="D1161" t="s">
        <v>10</v>
      </c>
      <c r="E1161" t="s">
        <v>11</v>
      </c>
      <c r="F1161">
        <v>8</v>
      </c>
      <c r="G1161" t="s">
        <v>54</v>
      </c>
      <c r="H1161">
        <v>8</v>
      </c>
      <c r="K1161" t="s">
        <v>19</v>
      </c>
      <c r="L1161" t="s">
        <v>18</v>
      </c>
      <c r="M1161" t="s">
        <v>18</v>
      </c>
      <c r="N1161" t="s">
        <v>18</v>
      </c>
      <c r="O1161" s="5" t="s">
        <v>17</v>
      </c>
    </row>
    <row r="1162" spans="2:15" x14ac:dyDescent="0.3">
      <c r="B1162" s="4">
        <v>474</v>
      </c>
      <c r="C1162" t="s">
        <v>14</v>
      </c>
      <c r="D1162" t="s">
        <v>15</v>
      </c>
      <c r="E1162" t="s">
        <v>11</v>
      </c>
      <c r="F1162">
        <v>8</v>
      </c>
      <c r="G1162" t="s">
        <v>55</v>
      </c>
      <c r="H1162">
        <v>2</v>
      </c>
      <c r="J1162" t="s">
        <v>13</v>
      </c>
      <c r="K1162" t="s">
        <v>13</v>
      </c>
      <c r="L1162" t="s">
        <v>13</v>
      </c>
      <c r="M1162" t="s">
        <v>13</v>
      </c>
      <c r="N1162" t="s">
        <v>13</v>
      </c>
      <c r="O1162" s="5" t="s">
        <v>13</v>
      </c>
    </row>
    <row r="1163" spans="2:15" x14ac:dyDescent="0.3">
      <c r="B1163" s="4">
        <v>92</v>
      </c>
      <c r="C1163" t="s">
        <v>63</v>
      </c>
      <c r="D1163" t="s">
        <v>64</v>
      </c>
      <c r="E1163" t="s">
        <v>65</v>
      </c>
      <c r="F1163">
        <v>14</v>
      </c>
      <c r="G1163" t="s">
        <v>55</v>
      </c>
      <c r="H1163">
        <v>2</v>
      </c>
      <c r="L1163" t="s">
        <v>13</v>
      </c>
      <c r="M1163" t="s">
        <v>18</v>
      </c>
      <c r="N1163" t="s">
        <v>13</v>
      </c>
      <c r="O1163" s="5" t="s">
        <v>13</v>
      </c>
    </row>
    <row r="1164" spans="2:15" x14ac:dyDescent="0.3">
      <c r="B1164" s="4">
        <v>297</v>
      </c>
      <c r="C1164" t="s">
        <v>46</v>
      </c>
      <c r="D1164" t="s">
        <v>47</v>
      </c>
      <c r="E1164" t="s">
        <v>11</v>
      </c>
      <c r="F1164">
        <v>8</v>
      </c>
      <c r="G1164" t="s">
        <v>58</v>
      </c>
      <c r="H1164">
        <v>17</v>
      </c>
      <c r="N1164" t="s">
        <v>13</v>
      </c>
      <c r="O1164" s="5" t="s">
        <v>17</v>
      </c>
    </row>
    <row r="1165" spans="2:15" x14ac:dyDescent="0.3">
      <c r="B1165" s="4">
        <v>16</v>
      </c>
      <c r="C1165" t="s">
        <v>106</v>
      </c>
      <c r="D1165" t="s">
        <v>107</v>
      </c>
      <c r="E1165" t="s">
        <v>11</v>
      </c>
      <c r="F1165">
        <v>8</v>
      </c>
      <c r="G1165" t="s">
        <v>58</v>
      </c>
      <c r="H1165">
        <v>17</v>
      </c>
      <c r="I1165" t="s">
        <v>13</v>
      </c>
      <c r="J1165" t="s">
        <v>13</v>
      </c>
      <c r="K1165" t="s">
        <v>13</v>
      </c>
      <c r="L1165" t="s">
        <v>18</v>
      </c>
      <c r="M1165" t="s">
        <v>13</v>
      </c>
      <c r="N1165" t="s">
        <v>13</v>
      </c>
      <c r="O1165" s="5" t="s">
        <v>17</v>
      </c>
    </row>
    <row r="1166" spans="2:15" x14ac:dyDescent="0.3">
      <c r="B1166" s="4">
        <v>1538</v>
      </c>
      <c r="C1166" t="s">
        <v>106</v>
      </c>
      <c r="D1166" t="s">
        <v>107</v>
      </c>
      <c r="E1166" t="s">
        <v>11</v>
      </c>
      <c r="F1166">
        <v>8</v>
      </c>
      <c r="G1166" t="s">
        <v>58</v>
      </c>
      <c r="H1166">
        <v>17</v>
      </c>
      <c r="N1166" t="s">
        <v>13</v>
      </c>
      <c r="O1166" s="5" t="s">
        <v>17</v>
      </c>
    </row>
    <row r="1167" spans="2:15" x14ac:dyDescent="0.3">
      <c r="B1167" s="4">
        <v>779</v>
      </c>
      <c r="C1167" t="s">
        <v>9</v>
      </c>
      <c r="D1167" t="s">
        <v>10</v>
      </c>
      <c r="E1167" t="s">
        <v>11</v>
      </c>
      <c r="F1167">
        <v>8</v>
      </c>
      <c r="G1167" t="s">
        <v>58</v>
      </c>
      <c r="H1167">
        <v>17</v>
      </c>
      <c r="K1167" t="s">
        <v>17</v>
      </c>
      <c r="L1167" t="s">
        <v>18</v>
      </c>
      <c r="M1167" t="s">
        <v>18</v>
      </c>
      <c r="N1167" t="s">
        <v>17</v>
      </c>
      <c r="O1167" s="5" t="s">
        <v>13</v>
      </c>
    </row>
    <row r="1168" spans="2:15" x14ac:dyDescent="0.3">
      <c r="B1168" s="4">
        <v>1228</v>
      </c>
      <c r="C1168" t="s">
        <v>82</v>
      </c>
      <c r="D1168" t="s">
        <v>83</v>
      </c>
      <c r="E1168" t="s">
        <v>11</v>
      </c>
      <c r="F1168">
        <v>8</v>
      </c>
      <c r="G1168" t="s">
        <v>55</v>
      </c>
      <c r="H1168">
        <v>2</v>
      </c>
      <c r="M1168" t="s">
        <v>13</v>
      </c>
      <c r="N1168" t="s">
        <v>13</v>
      </c>
      <c r="O1168" s="5" t="s">
        <v>13</v>
      </c>
    </row>
    <row r="1169" spans="2:15" x14ac:dyDescent="0.3">
      <c r="B1169" s="4">
        <v>167</v>
      </c>
      <c r="C1169" t="s">
        <v>46</v>
      </c>
      <c r="D1169" t="s">
        <v>47</v>
      </c>
      <c r="E1169" t="s">
        <v>11</v>
      </c>
      <c r="F1169">
        <v>8</v>
      </c>
      <c r="G1169" t="s">
        <v>55</v>
      </c>
      <c r="H1169">
        <v>2</v>
      </c>
      <c r="K1169" t="s">
        <v>52</v>
      </c>
      <c r="L1169" t="s">
        <v>52</v>
      </c>
      <c r="M1169" t="s">
        <v>17</v>
      </c>
      <c r="N1169" t="s">
        <v>17</v>
      </c>
      <c r="O1169" s="5"/>
    </row>
    <row r="1170" spans="2:15" x14ac:dyDescent="0.3">
      <c r="B1170" s="4">
        <v>4484</v>
      </c>
      <c r="C1170" t="s">
        <v>23</v>
      </c>
      <c r="D1170" t="s">
        <v>24</v>
      </c>
      <c r="E1170" t="s">
        <v>25</v>
      </c>
      <c r="F1170">
        <v>1</v>
      </c>
      <c r="G1170" t="s">
        <v>66</v>
      </c>
      <c r="H1170">
        <v>5</v>
      </c>
      <c r="N1170" t="s">
        <v>17</v>
      </c>
      <c r="O1170" s="5" t="s">
        <v>19</v>
      </c>
    </row>
    <row r="1171" spans="2:15" x14ac:dyDescent="0.3">
      <c r="B1171" s="4">
        <v>478</v>
      </c>
      <c r="C1171" t="s">
        <v>27</v>
      </c>
      <c r="D1171" t="s">
        <v>28</v>
      </c>
      <c r="E1171" t="s">
        <v>29</v>
      </c>
      <c r="F1171">
        <v>6</v>
      </c>
      <c r="G1171" t="s">
        <v>66</v>
      </c>
      <c r="H1171">
        <v>5</v>
      </c>
      <c r="M1171" t="s">
        <v>13</v>
      </c>
      <c r="N1171" t="s">
        <v>13</v>
      </c>
      <c r="O1171" s="5" t="s">
        <v>18</v>
      </c>
    </row>
    <row r="1172" spans="2:15" x14ac:dyDescent="0.3">
      <c r="B1172" s="4">
        <v>5</v>
      </c>
      <c r="C1172" t="s">
        <v>14</v>
      </c>
      <c r="D1172" t="s">
        <v>15</v>
      </c>
      <c r="E1172" t="s">
        <v>11</v>
      </c>
      <c r="F1172">
        <v>8</v>
      </c>
      <c r="G1172" t="s">
        <v>89</v>
      </c>
      <c r="H1172">
        <v>11</v>
      </c>
      <c r="N1172" t="s">
        <v>13</v>
      </c>
      <c r="O1172" s="5" t="s">
        <v>13</v>
      </c>
    </row>
    <row r="1173" spans="2:15" x14ac:dyDescent="0.3">
      <c r="B1173" s="4">
        <v>205</v>
      </c>
      <c r="C1173" t="s">
        <v>43</v>
      </c>
      <c r="D1173" t="s">
        <v>44</v>
      </c>
      <c r="E1173" t="s">
        <v>45</v>
      </c>
      <c r="F1173">
        <v>5</v>
      </c>
      <c r="G1173" t="s">
        <v>89</v>
      </c>
      <c r="H1173">
        <v>11</v>
      </c>
      <c r="I1173" t="s">
        <v>17</v>
      </c>
      <c r="J1173" t="s">
        <v>17</v>
      </c>
      <c r="K1173" t="s">
        <v>34</v>
      </c>
      <c r="L1173" t="s">
        <v>35</v>
      </c>
      <c r="O1173" s="5"/>
    </row>
    <row r="1174" spans="2:15" x14ac:dyDescent="0.3">
      <c r="B1174" s="4">
        <v>373</v>
      </c>
      <c r="C1174" t="s">
        <v>61</v>
      </c>
      <c r="D1174" t="s">
        <v>62</v>
      </c>
      <c r="E1174" t="s">
        <v>11</v>
      </c>
      <c r="F1174">
        <v>8</v>
      </c>
      <c r="G1174" t="s">
        <v>89</v>
      </c>
      <c r="H1174">
        <v>11</v>
      </c>
      <c r="J1174" t="s">
        <v>18</v>
      </c>
      <c r="K1174" t="s">
        <v>13</v>
      </c>
      <c r="L1174" t="s">
        <v>13</v>
      </c>
      <c r="M1174" t="s">
        <v>18</v>
      </c>
      <c r="N1174" t="s">
        <v>13</v>
      </c>
      <c r="O1174" s="5" t="s">
        <v>18</v>
      </c>
    </row>
    <row r="1175" spans="2:15" x14ac:dyDescent="0.3">
      <c r="B1175" s="4">
        <v>11</v>
      </c>
      <c r="C1175" t="s">
        <v>46</v>
      </c>
      <c r="D1175" t="s">
        <v>47</v>
      </c>
      <c r="E1175" t="s">
        <v>11</v>
      </c>
      <c r="F1175">
        <v>8</v>
      </c>
      <c r="G1175" t="s">
        <v>87</v>
      </c>
      <c r="H1175">
        <v>9</v>
      </c>
      <c r="I1175" t="s">
        <v>13</v>
      </c>
      <c r="J1175" t="s">
        <v>13</v>
      </c>
      <c r="O1175" s="5"/>
    </row>
    <row r="1176" spans="2:15" x14ac:dyDescent="0.3">
      <c r="B1176" s="4">
        <v>10</v>
      </c>
      <c r="C1176" t="s">
        <v>46</v>
      </c>
      <c r="D1176" t="s">
        <v>47</v>
      </c>
      <c r="E1176" t="s">
        <v>11</v>
      </c>
      <c r="F1176">
        <v>8</v>
      </c>
      <c r="G1176" t="s">
        <v>87</v>
      </c>
      <c r="H1176">
        <v>9</v>
      </c>
      <c r="L1176" t="s">
        <v>18</v>
      </c>
      <c r="M1176" t="s">
        <v>17</v>
      </c>
      <c r="N1176" t="s">
        <v>19</v>
      </c>
      <c r="O1176" s="5" t="s">
        <v>35</v>
      </c>
    </row>
    <row r="1177" spans="2:15" x14ac:dyDescent="0.3">
      <c r="B1177" s="4">
        <v>1</v>
      </c>
      <c r="C1177" t="s">
        <v>23</v>
      </c>
      <c r="D1177" t="s">
        <v>24</v>
      </c>
      <c r="E1177" t="s">
        <v>25</v>
      </c>
      <c r="F1177">
        <v>1</v>
      </c>
      <c r="G1177" t="s">
        <v>22</v>
      </c>
      <c r="H1177">
        <v>1</v>
      </c>
      <c r="I1177" t="s">
        <v>52</v>
      </c>
      <c r="J1177" t="s">
        <v>52</v>
      </c>
      <c r="L1177" t="s">
        <v>17</v>
      </c>
      <c r="M1177" t="s">
        <v>17</v>
      </c>
      <c r="N1177" t="s">
        <v>19</v>
      </c>
      <c r="O1177" s="5" t="s">
        <v>52</v>
      </c>
    </row>
    <row r="1178" spans="2:15" x14ac:dyDescent="0.3">
      <c r="B1178" s="4">
        <v>908</v>
      </c>
      <c r="C1178" t="s">
        <v>46</v>
      </c>
      <c r="D1178" t="s">
        <v>47</v>
      </c>
      <c r="E1178" t="s">
        <v>11</v>
      </c>
      <c r="F1178">
        <v>8</v>
      </c>
      <c r="G1178" t="s">
        <v>16</v>
      </c>
      <c r="H1178">
        <v>6</v>
      </c>
      <c r="L1178" t="s">
        <v>17</v>
      </c>
      <c r="M1178" t="s">
        <v>19</v>
      </c>
      <c r="N1178" t="s">
        <v>19</v>
      </c>
      <c r="O1178" s="5"/>
    </row>
    <row r="1179" spans="2:15" x14ac:dyDescent="0.3">
      <c r="B1179" s="4">
        <v>193</v>
      </c>
      <c r="C1179" t="s">
        <v>46</v>
      </c>
      <c r="D1179" t="s">
        <v>47</v>
      </c>
      <c r="E1179" t="s">
        <v>11</v>
      </c>
      <c r="F1179">
        <v>8</v>
      </c>
      <c r="G1179" t="s">
        <v>81</v>
      </c>
      <c r="H1179">
        <v>7</v>
      </c>
      <c r="K1179" t="s">
        <v>18</v>
      </c>
      <c r="L1179" t="s">
        <v>18</v>
      </c>
      <c r="O1179" s="5"/>
    </row>
    <row r="1180" spans="2:15" x14ac:dyDescent="0.3">
      <c r="B1180" s="4">
        <v>645</v>
      </c>
      <c r="C1180" t="s">
        <v>14</v>
      </c>
      <c r="D1180" t="s">
        <v>15</v>
      </c>
      <c r="E1180" t="s">
        <v>11</v>
      </c>
      <c r="F1180">
        <v>8</v>
      </c>
      <c r="G1180" t="s">
        <v>22</v>
      </c>
      <c r="H1180">
        <v>1</v>
      </c>
      <c r="L1180" t="s">
        <v>13</v>
      </c>
      <c r="M1180" t="s">
        <v>13</v>
      </c>
      <c r="N1180" t="s">
        <v>13</v>
      </c>
      <c r="O1180" s="5"/>
    </row>
    <row r="1181" spans="2:15" x14ac:dyDescent="0.3">
      <c r="B1181" s="4">
        <v>2081</v>
      </c>
      <c r="C1181" t="s">
        <v>78</v>
      </c>
      <c r="D1181" t="s">
        <v>79</v>
      </c>
      <c r="E1181" t="s">
        <v>80</v>
      </c>
      <c r="F1181">
        <v>10</v>
      </c>
      <c r="G1181" t="s">
        <v>88</v>
      </c>
      <c r="H1181">
        <v>12</v>
      </c>
      <c r="N1181" t="s">
        <v>17</v>
      </c>
      <c r="O1181" s="5" t="s">
        <v>18</v>
      </c>
    </row>
    <row r="1182" spans="2:15" x14ac:dyDescent="0.3">
      <c r="B1182" s="4">
        <v>29</v>
      </c>
      <c r="C1182" t="s">
        <v>14</v>
      </c>
      <c r="D1182" t="s">
        <v>15</v>
      </c>
      <c r="E1182" t="s">
        <v>11</v>
      </c>
      <c r="F1182">
        <v>8</v>
      </c>
      <c r="G1182" t="s">
        <v>89</v>
      </c>
      <c r="H1182">
        <v>11</v>
      </c>
      <c r="K1182" t="s">
        <v>13</v>
      </c>
      <c r="L1182" t="s">
        <v>18</v>
      </c>
      <c r="M1182" t="s">
        <v>13</v>
      </c>
      <c r="N1182" t="s">
        <v>13</v>
      </c>
      <c r="O1182" s="5" t="s">
        <v>13</v>
      </c>
    </row>
    <row r="1183" spans="2:15" x14ac:dyDescent="0.3">
      <c r="B1183" s="4">
        <v>1339</v>
      </c>
      <c r="C1183" t="s">
        <v>14</v>
      </c>
      <c r="D1183" t="s">
        <v>15</v>
      </c>
      <c r="E1183" t="s">
        <v>11</v>
      </c>
      <c r="F1183">
        <v>8</v>
      </c>
      <c r="G1183" t="s">
        <v>89</v>
      </c>
      <c r="H1183">
        <v>11</v>
      </c>
      <c r="M1183" t="s">
        <v>17</v>
      </c>
      <c r="N1183" t="s">
        <v>17</v>
      </c>
      <c r="O1183" s="5" t="s">
        <v>13</v>
      </c>
    </row>
    <row r="1184" spans="2:15" x14ac:dyDescent="0.3">
      <c r="B1184" s="4">
        <v>242</v>
      </c>
      <c r="C1184" t="s">
        <v>14</v>
      </c>
      <c r="D1184" t="s">
        <v>15</v>
      </c>
      <c r="E1184" t="s">
        <v>11</v>
      </c>
      <c r="F1184">
        <v>8</v>
      </c>
      <c r="G1184" t="s">
        <v>88</v>
      </c>
      <c r="H1184">
        <v>12</v>
      </c>
      <c r="I1184" t="s">
        <v>52</v>
      </c>
      <c r="J1184" t="s">
        <v>34</v>
      </c>
      <c r="O1184" s="5"/>
    </row>
    <row r="1185" spans="2:15" x14ac:dyDescent="0.3">
      <c r="B1185" s="4">
        <v>998</v>
      </c>
      <c r="C1185" t="s">
        <v>49</v>
      </c>
      <c r="D1185" t="s">
        <v>50</v>
      </c>
      <c r="E1185" t="s">
        <v>51</v>
      </c>
      <c r="F1185">
        <v>3</v>
      </c>
      <c r="G1185" t="s">
        <v>88</v>
      </c>
      <c r="H1185">
        <v>12</v>
      </c>
      <c r="N1185" t="s">
        <v>17</v>
      </c>
      <c r="O1185" s="5" t="s">
        <v>13</v>
      </c>
    </row>
    <row r="1186" spans="2:15" x14ac:dyDescent="0.3">
      <c r="B1186" s="4">
        <v>2625</v>
      </c>
      <c r="C1186" t="s">
        <v>14</v>
      </c>
      <c r="D1186" t="s">
        <v>15</v>
      </c>
      <c r="E1186" t="s">
        <v>11</v>
      </c>
      <c r="F1186">
        <v>8</v>
      </c>
      <c r="G1186" t="s">
        <v>55</v>
      </c>
      <c r="H1186">
        <v>2</v>
      </c>
      <c r="K1186" t="s">
        <v>13</v>
      </c>
      <c r="L1186" t="s">
        <v>13</v>
      </c>
      <c r="M1186" t="s">
        <v>18</v>
      </c>
      <c r="N1186" t="s">
        <v>13</v>
      </c>
      <c r="O1186" s="5"/>
    </row>
    <row r="1187" spans="2:15" x14ac:dyDescent="0.3">
      <c r="B1187" s="4">
        <v>170</v>
      </c>
      <c r="C1187" t="s">
        <v>46</v>
      </c>
      <c r="D1187" t="s">
        <v>47</v>
      </c>
      <c r="E1187" t="s">
        <v>11</v>
      </c>
      <c r="F1187">
        <v>8</v>
      </c>
      <c r="G1187" t="s">
        <v>22</v>
      </c>
      <c r="H1187">
        <v>1</v>
      </c>
      <c r="J1187" t="s">
        <v>19</v>
      </c>
      <c r="K1187" t="s">
        <v>19</v>
      </c>
      <c r="L1187" t="s">
        <v>17</v>
      </c>
      <c r="O1187" s="5"/>
    </row>
    <row r="1188" spans="2:15" x14ac:dyDescent="0.3">
      <c r="B1188" s="4">
        <v>626</v>
      </c>
      <c r="C1188" t="s">
        <v>41</v>
      </c>
      <c r="D1188" t="s">
        <v>42</v>
      </c>
      <c r="E1188" t="s">
        <v>11</v>
      </c>
      <c r="F1188">
        <v>8</v>
      </c>
      <c r="G1188" t="s">
        <v>54</v>
      </c>
      <c r="H1188">
        <v>8</v>
      </c>
      <c r="L1188" t="s">
        <v>18</v>
      </c>
      <c r="M1188" t="s">
        <v>18</v>
      </c>
      <c r="N1188" t="s">
        <v>18</v>
      </c>
      <c r="O1188" s="5" t="s">
        <v>18</v>
      </c>
    </row>
    <row r="1189" spans="2:15" x14ac:dyDescent="0.3">
      <c r="B1189" s="4">
        <v>342</v>
      </c>
      <c r="C1189" t="s">
        <v>14</v>
      </c>
      <c r="D1189" t="s">
        <v>15</v>
      </c>
      <c r="E1189" t="s">
        <v>11</v>
      </c>
      <c r="F1189">
        <v>8</v>
      </c>
      <c r="G1189" t="s">
        <v>16</v>
      </c>
      <c r="H1189">
        <v>6</v>
      </c>
      <c r="N1189" t="s">
        <v>18</v>
      </c>
      <c r="O1189" s="5" t="s">
        <v>18</v>
      </c>
    </row>
    <row r="1190" spans="2:15" x14ac:dyDescent="0.3">
      <c r="B1190" s="4">
        <v>12</v>
      </c>
      <c r="C1190" t="s">
        <v>14</v>
      </c>
      <c r="D1190" t="s">
        <v>15</v>
      </c>
      <c r="E1190" t="s">
        <v>11</v>
      </c>
      <c r="F1190">
        <v>8</v>
      </c>
      <c r="G1190" t="s">
        <v>40</v>
      </c>
      <c r="H1190">
        <v>3</v>
      </c>
      <c r="I1190" t="s">
        <v>19</v>
      </c>
      <c r="J1190" t="s">
        <v>17</v>
      </c>
      <c r="K1190" t="s">
        <v>52</v>
      </c>
      <c r="L1190" t="s">
        <v>52</v>
      </c>
      <c r="O1190" s="5"/>
    </row>
    <row r="1191" spans="2:15" x14ac:dyDescent="0.3">
      <c r="B1191" s="4">
        <v>795</v>
      </c>
      <c r="C1191" t="s">
        <v>49</v>
      </c>
      <c r="D1191" t="s">
        <v>50</v>
      </c>
      <c r="E1191" t="s">
        <v>51</v>
      </c>
      <c r="F1191">
        <v>3</v>
      </c>
      <c r="G1191" t="s">
        <v>66</v>
      </c>
      <c r="H1191">
        <v>5</v>
      </c>
      <c r="K1191" t="s">
        <v>13</v>
      </c>
      <c r="L1191" t="s">
        <v>13</v>
      </c>
      <c r="M1191" t="s">
        <v>13</v>
      </c>
      <c r="N1191" t="s">
        <v>13</v>
      </c>
      <c r="O1191" s="5" t="s">
        <v>13</v>
      </c>
    </row>
    <row r="1192" spans="2:15" x14ac:dyDescent="0.3">
      <c r="B1192" s="4">
        <v>351</v>
      </c>
      <c r="C1192" t="s">
        <v>27</v>
      </c>
      <c r="D1192" t="s">
        <v>28</v>
      </c>
      <c r="E1192" t="s">
        <v>29</v>
      </c>
      <c r="F1192">
        <v>6</v>
      </c>
      <c r="G1192" t="s">
        <v>16</v>
      </c>
      <c r="H1192">
        <v>6</v>
      </c>
      <c r="M1192" t="s">
        <v>19</v>
      </c>
      <c r="N1192" t="s">
        <v>13</v>
      </c>
      <c r="O1192" s="5" t="s">
        <v>13</v>
      </c>
    </row>
    <row r="1193" spans="2:15" x14ac:dyDescent="0.3">
      <c r="B1193" s="4">
        <v>78</v>
      </c>
      <c r="C1193" t="s">
        <v>84</v>
      </c>
      <c r="D1193" t="s">
        <v>85</v>
      </c>
      <c r="E1193" t="s">
        <v>86</v>
      </c>
      <c r="F1193">
        <v>12</v>
      </c>
      <c r="G1193" t="s">
        <v>57</v>
      </c>
      <c r="H1193">
        <v>10</v>
      </c>
      <c r="N1193" t="s">
        <v>13</v>
      </c>
      <c r="O1193" s="5" t="s">
        <v>17</v>
      </c>
    </row>
    <row r="1194" spans="2:15" x14ac:dyDescent="0.3">
      <c r="B1194" s="4">
        <v>414</v>
      </c>
      <c r="C1194" t="s">
        <v>23</v>
      </c>
      <c r="D1194" t="s">
        <v>24</v>
      </c>
      <c r="E1194" t="s">
        <v>25</v>
      </c>
      <c r="F1194">
        <v>1</v>
      </c>
      <c r="G1194" t="s">
        <v>38</v>
      </c>
      <c r="H1194">
        <v>13</v>
      </c>
      <c r="N1194" t="s">
        <v>18</v>
      </c>
      <c r="O1194" s="5" t="s">
        <v>13</v>
      </c>
    </row>
    <row r="1195" spans="2:15" x14ac:dyDescent="0.3">
      <c r="B1195" s="4">
        <v>909</v>
      </c>
      <c r="C1195" t="s">
        <v>46</v>
      </c>
      <c r="D1195" t="s">
        <v>47</v>
      </c>
      <c r="E1195" t="s">
        <v>11</v>
      </c>
      <c r="F1195">
        <v>8</v>
      </c>
      <c r="G1195" t="s">
        <v>26</v>
      </c>
      <c r="H1195">
        <v>4</v>
      </c>
      <c r="M1195" t="s">
        <v>13</v>
      </c>
      <c r="N1195" t="s">
        <v>13</v>
      </c>
      <c r="O1195" s="5" t="s">
        <v>17</v>
      </c>
    </row>
    <row r="1196" spans="2:15" x14ac:dyDescent="0.3">
      <c r="B1196" s="4">
        <v>2549</v>
      </c>
      <c r="C1196" t="s">
        <v>72</v>
      </c>
      <c r="D1196" t="s">
        <v>73</v>
      </c>
      <c r="E1196" t="s">
        <v>11</v>
      </c>
      <c r="F1196">
        <v>8</v>
      </c>
      <c r="G1196" t="s">
        <v>12</v>
      </c>
      <c r="H1196">
        <v>7</v>
      </c>
      <c r="N1196" t="s">
        <v>18</v>
      </c>
      <c r="O1196" s="5" t="s">
        <v>18</v>
      </c>
    </row>
    <row r="1197" spans="2:15" x14ac:dyDescent="0.3">
      <c r="B1197" s="4">
        <v>1818</v>
      </c>
      <c r="C1197" t="s">
        <v>84</v>
      </c>
      <c r="D1197" t="s">
        <v>85</v>
      </c>
      <c r="E1197" t="s">
        <v>86</v>
      </c>
      <c r="F1197">
        <v>12</v>
      </c>
      <c r="G1197" t="s">
        <v>22</v>
      </c>
      <c r="H1197">
        <v>1</v>
      </c>
      <c r="M1197" t="s">
        <v>18</v>
      </c>
      <c r="N1197" t="s">
        <v>17</v>
      </c>
      <c r="O1197" s="5" t="s">
        <v>52</v>
      </c>
    </row>
    <row r="1198" spans="2:15" x14ac:dyDescent="0.3">
      <c r="B1198" s="4">
        <v>802</v>
      </c>
      <c r="C1198" t="s">
        <v>46</v>
      </c>
      <c r="D1198" t="s">
        <v>47</v>
      </c>
      <c r="E1198" t="s">
        <v>11</v>
      </c>
      <c r="F1198">
        <v>8</v>
      </c>
      <c r="G1198" t="s">
        <v>58</v>
      </c>
      <c r="H1198">
        <v>17</v>
      </c>
      <c r="M1198" t="s">
        <v>17</v>
      </c>
      <c r="N1198" t="s">
        <v>19</v>
      </c>
      <c r="O1198" s="5" t="s">
        <v>17</v>
      </c>
    </row>
    <row r="1199" spans="2:15" x14ac:dyDescent="0.3">
      <c r="B1199" s="4">
        <v>3850</v>
      </c>
      <c r="C1199" t="s">
        <v>27</v>
      </c>
      <c r="D1199" t="s">
        <v>28</v>
      </c>
      <c r="E1199" t="s">
        <v>29</v>
      </c>
      <c r="F1199">
        <v>6</v>
      </c>
      <c r="G1199" t="s">
        <v>54</v>
      </c>
      <c r="H1199">
        <v>8</v>
      </c>
      <c r="K1199" t="s">
        <v>13</v>
      </c>
      <c r="L1199" t="s">
        <v>13</v>
      </c>
      <c r="O1199" s="5"/>
    </row>
    <row r="1200" spans="2:15" x14ac:dyDescent="0.3">
      <c r="B1200" s="4">
        <v>17</v>
      </c>
      <c r="C1200" t="s">
        <v>67</v>
      </c>
      <c r="D1200" t="s">
        <v>68</v>
      </c>
      <c r="E1200" t="s">
        <v>69</v>
      </c>
      <c r="F1200">
        <v>11</v>
      </c>
      <c r="G1200" t="s">
        <v>40</v>
      </c>
      <c r="H1200">
        <v>3</v>
      </c>
      <c r="I1200" t="s">
        <v>13</v>
      </c>
      <c r="J1200" t="s">
        <v>13</v>
      </c>
      <c r="K1200" t="s">
        <v>13</v>
      </c>
      <c r="L1200" t="s">
        <v>13</v>
      </c>
      <c r="M1200" t="s">
        <v>13</v>
      </c>
      <c r="N1200" t="s">
        <v>18</v>
      </c>
      <c r="O1200" s="5" t="s">
        <v>18</v>
      </c>
    </row>
    <row r="1201" spans="2:15" x14ac:dyDescent="0.3">
      <c r="B1201" s="4">
        <v>22</v>
      </c>
      <c r="C1201" t="s">
        <v>72</v>
      </c>
      <c r="D1201" t="s">
        <v>73</v>
      </c>
      <c r="E1201" t="s">
        <v>11</v>
      </c>
      <c r="F1201">
        <v>8</v>
      </c>
      <c r="G1201" t="s">
        <v>22</v>
      </c>
      <c r="H1201">
        <v>1</v>
      </c>
      <c r="I1201" t="s">
        <v>17</v>
      </c>
      <c r="J1201" t="s">
        <v>13</v>
      </c>
      <c r="K1201" t="s">
        <v>17</v>
      </c>
      <c r="M1201" t="s">
        <v>13</v>
      </c>
      <c r="N1201" t="s">
        <v>18</v>
      </c>
      <c r="O1201" s="5" t="s">
        <v>18</v>
      </c>
    </row>
    <row r="1202" spans="2:15" x14ac:dyDescent="0.3">
      <c r="B1202" s="4">
        <v>400</v>
      </c>
      <c r="C1202" t="s">
        <v>41</v>
      </c>
      <c r="D1202" t="s">
        <v>42</v>
      </c>
      <c r="E1202" t="s">
        <v>11</v>
      </c>
      <c r="F1202">
        <v>8</v>
      </c>
      <c r="G1202" t="s">
        <v>22</v>
      </c>
      <c r="H1202">
        <v>1</v>
      </c>
      <c r="N1202" t="s">
        <v>17</v>
      </c>
      <c r="O1202" s="5" t="s">
        <v>13</v>
      </c>
    </row>
    <row r="1203" spans="2:15" x14ac:dyDescent="0.3">
      <c r="B1203" s="4">
        <v>1034</v>
      </c>
      <c r="C1203" t="s">
        <v>84</v>
      </c>
      <c r="D1203" t="s">
        <v>85</v>
      </c>
      <c r="E1203" t="s">
        <v>86</v>
      </c>
      <c r="F1203">
        <v>12</v>
      </c>
      <c r="G1203" t="s">
        <v>30</v>
      </c>
      <c r="H1203">
        <v>18</v>
      </c>
      <c r="K1203" t="s">
        <v>13</v>
      </c>
      <c r="L1203" t="s">
        <v>17</v>
      </c>
      <c r="M1203" t="s">
        <v>17</v>
      </c>
      <c r="O1203" s="5"/>
    </row>
    <row r="1204" spans="2:15" x14ac:dyDescent="0.3">
      <c r="B1204" s="4">
        <v>251</v>
      </c>
      <c r="C1204" t="s">
        <v>31</v>
      </c>
      <c r="D1204" t="s">
        <v>32</v>
      </c>
      <c r="E1204" t="s">
        <v>11</v>
      </c>
      <c r="F1204">
        <v>8</v>
      </c>
      <c r="G1204" t="s">
        <v>55</v>
      </c>
      <c r="H1204">
        <v>2</v>
      </c>
      <c r="I1204" t="s">
        <v>17</v>
      </c>
      <c r="J1204" t="s">
        <v>17</v>
      </c>
      <c r="K1204" t="s">
        <v>19</v>
      </c>
      <c r="O1204" s="5"/>
    </row>
    <row r="1205" spans="2:15" x14ac:dyDescent="0.3">
      <c r="B1205" s="4">
        <v>118</v>
      </c>
      <c r="C1205" t="s">
        <v>46</v>
      </c>
      <c r="D1205" t="s">
        <v>47</v>
      </c>
      <c r="E1205" t="s">
        <v>11</v>
      </c>
      <c r="F1205">
        <v>8</v>
      </c>
      <c r="G1205" t="s">
        <v>54</v>
      </c>
      <c r="H1205">
        <v>8</v>
      </c>
      <c r="I1205" t="s">
        <v>17</v>
      </c>
      <c r="J1205" t="s">
        <v>13</v>
      </c>
      <c r="K1205" t="s">
        <v>13</v>
      </c>
      <c r="L1205" t="s">
        <v>13</v>
      </c>
      <c r="M1205" t="s">
        <v>13</v>
      </c>
      <c r="N1205" t="s">
        <v>13</v>
      </c>
      <c r="O1205" s="5" t="s">
        <v>18</v>
      </c>
    </row>
    <row r="1206" spans="2:15" x14ac:dyDescent="0.3">
      <c r="B1206" s="4">
        <v>400</v>
      </c>
      <c r="C1206" t="s">
        <v>23</v>
      </c>
      <c r="D1206" t="s">
        <v>24</v>
      </c>
      <c r="E1206" t="s">
        <v>25</v>
      </c>
      <c r="F1206">
        <v>1</v>
      </c>
      <c r="G1206" t="s">
        <v>16</v>
      </c>
      <c r="H1206">
        <v>6</v>
      </c>
      <c r="I1206" t="s">
        <v>18</v>
      </c>
      <c r="J1206" t="s">
        <v>18</v>
      </c>
      <c r="K1206" t="s">
        <v>13</v>
      </c>
      <c r="L1206" t="s">
        <v>17</v>
      </c>
      <c r="M1206" t="s">
        <v>18</v>
      </c>
      <c r="N1206" t="s">
        <v>17</v>
      </c>
      <c r="O1206" s="5" t="s">
        <v>35</v>
      </c>
    </row>
    <row r="1207" spans="2:15" x14ac:dyDescent="0.3">
      <c r="B1207" s="4">
        <v>810</v>
      </c>
      <c r="C1207" t="s">
        <v>108</v>
      </c>
      <c r="D1207" t="s">
        <v>109</v>
      </c>
      <c r="E1207" t="s">
        <v>77</v>
      </c>
      <c r="F1207">
        <v>7</v>
      </c>
      <c r="G1207" t="s">
        <v>22</v>
      </c>
      <c r="H1207">
        <v>1</v>
      </c>
      <c r="M1207" t="s">
        <v>19</v>
      </c>
      <c r="N1207" t="s">
        <v>33</v>
      </c>
      <c r="O1207" s="5"/>
    </row>
    <row r="1208" spans="2:15" x14ac:dyDescent="0.3">
      <c r="B1208" s="4">
        <v>1731</v>
      </c>
      <c r="C1208" t="s">
        <v>23</v>
      </c>
      <c r="D1208" t="s">
        <v>24</v>
      </c>
      <c r="E1208" t="s">
        <v>25</v>
      </c>
      <c r="F1208">
        <v>1</v>
      </c>
      <c r="G1208" t="s">
        <v>30</v>
      </c>
      <c r="H1208">
        <v>18</v>
      </c>
      <c r="N1208" t="s">
        <v>13</v>
      </c>
      <c r="O1208" s="5" t="s">
        <v>19</v>
      </c>
    </row>
    <row r="1209" spans="2:15" x14ac:dyDescent="0.3">
      <c r="B1209" s="4">
        <v>5</v>
      </c>
      <c r="C1209" t="s">
        <v>49</v>
      </c>
      <c r="D1209" t="s">
        <v>50</v>
      </c>
      <c r="E1209" t="s">
        <v>51</v>
      </c>
      <c r="F1209">
        <v>3</v>
      </c>
      <c r="G1209" t="s">
        <v>74</v>
      </c>
      <c r="H1209">
        <v>15</v>
      </c>
      <c r="L1209" t="s">
        <v>13</v>
      </c>
      <c r="M1209" t="s">
        <v>19</v>
      </c>
      <c r="N1209" t="s">
        <v>18</v>
      </c>
      <c r="O1209" s="5" t="s">
        <v>17</v>
      </c>
    </row>
    <row r="1210" spans="2:15" x14ac:dyDescent="0.3">
      <c r="B1210" s="4">
        <v>1</v>
      </c>
      <c r="C1210" t="s">
        <v>49</v>
      </c>
      <c r="D1210" t="s">
        <v>50</v>
      </c>
      <c r="E1210" t="s">
        <v>51</v>
      </c>
      <c r="F1210">
        <v>3</v>
      </c>
      <c r="G1210" t="s">
        <v>54</v>
      </c>
      <c r="H1210">
        <v>8</v>
      </c>
      <c r="I1210" t="s">
        <v>17</v>
      </c>
      <c r="J1210" t="s">
        <v>18</v>
      </c>
      <c r="K1210" t="s">
        <v>17</v>
      </c>
      <c r="L1210" t="s">
        <v>19</v>
      </c>
      <c r="M1210" t="s">
        <v>19</v>
      </c>
      <c r="N1210" t="s">
        <v>17</v>
      </c>
      <c r="O1210" s="5"/>
    </row>
    <row r="1211" spans="2:15" x14ac:dyDescent="0.3">
      <c r="B1211" s="4">
        <v>658</v>
      </c>
      <c r="C1211" t="s">
        <v>49</v>
      </c>
      <c r="D1211" t="s">
        <v>50</v>
      </c>
      <c r="E1211" t="s">
        <v>51</v>
      </c>
      <c r="F1211">
        <v>3</v>
      </c>
      <c r="G1211" t="s">
        <v>54</v>
      </c>
      <c r="H1211">
        <v>8</v>
      </c>
      <c r="K1211" t="s">
        <v>13</v>
      </c>
      <c r="L1211" t="s">
        <v>13</v>
      </c>
      <c r="M1211" t="s">
        <v>18</v>
      </c>
      <c r="N1211" t="s">
        <v>13</v>
      </c>
      <c r="O1211" s="5" t="s">
        <v>13</v>
      </c>
    </row>
    <row r="1212" spans="2:15" x14ac:dyDescent="0.3">
      <c r="B1212" s="4">
        <v>21</v>
      </c>
      <c r="C1212" t="s">
        <v>103</v>
      </c>
      <c r="D1212" t="s">
        <v>104</v>
      </c>
      <c r="E1212" t="s">
        <v>105</v>
      </c>
      <c r="F1212">
        <v>2</v>
      </c>
      <c r="G1212" t="s">
        <v>30</v>
      </c>
      <c r="H1212">
        <v>18</v>
      </c>
      <c r="M1212" t="s">
        <v>18</v>
      </c>
      <c r="N1212" t="s">
        <v>13</v>
      </c>
      <c r="O1212" s="5" t="s">
        <v>18</v>
      </c>
    </row>
    <row r="1213" spans="2:15" x14ac:dyDescent="0.3">
      <c r="B1213" s="4">
        <v>98</v>
      </c>
      <c r="C1213" t="s">
        <v>14</v>
      </c>
      <c r="D1213" t="s">
        <v>15</v>
      </c>
      <c r="E1213" t="s">
        <v>11</v>
      </c>
      <c r="F1213">
        <v>8</v>
      </c>
      <c r="G1213" t="s">
        <v>30</v>
      </c>
      <c r="H1213">
        <v>18</v>
      </c>
      <c r="I1213" t="s">
        <v>19</v>
      </c>
      <c r="J1213" t="s">
        <v>17</v>
      </c>
      <c r="K1213" t="s">
        <v>18</v>
      </c>
      <c r="L1213" t="s">
        <v>17</v>
      </c>
      <c r="M1213" t="s">
        <v>13</v>
      </c>
      <c r="N1213" t="s">
        <v>13</v>
      </c>
      <c r="O1213" s="5" t="s">
        <v>13</v>
      </c>
    </row>
    <row r="1214" spans="2:15" x14ac:dyDescent="0.3">
      <c r="B1214" s="4">
        <v>791</v>
      </c>
      <c r="C1214" t="s">
        <v>43</v>
      </c>
      <c r="D1214" t="s">
        <v>44</v>
      </c>
      <c r="E1214" t="s">
        <v>45</v>
      </c>
      <c r="F1214">
        <v>5</v>
      </c>
      <c r="G1214" t="s">
        <v>40</v>
      </c>
      <c r="H1214">
        <v>3</v>
      </c>
      <c r="N1214" t="s">
        <v>17</v>
      </c>
      <c r="O1214" s="5" t="s">
        <v>18</v>
      </c>
    </row>
    <row r="1215" spans="2:15" x14ac:dyDescent="0.3">
      <c r="B1215" s="4">
        <v>510</v>
      </c>
      <c r="C1215" t="s">
        <v>23</v>
      </c>
      <c r="D1215" t="s">
        <v>24</v>
      </c>
      <c r="E1215" t="s">
        <v>25</v>
      </c>
      <c r="F1215">
        <v>1</v>
      </c>
      <c r="G1215" t="s">
        <v>30</v>
      </c>
      <c r="H1215">
        <v>18</v>
      </c>
      <c r="M1215" t="s">
        <v>17</v>
      </c>
      <c r="N1215" t="s">
        <v>19</v>
      </c>
      <c r="O1215" s="5" t="s">
        <v>19</v>
      </c>
    </row>
    <row r="1216" spans="2:15" x14ac:dyDescent="0.3">
      <c r="B1216" s="4">
        <v>450</v>
      </c>
      <c r="C1216" t="s">
        <v>27</v>
      </c>
      <c r="D1216" t="s">
        <v>28</v>
      </c>
      <c r="E1216" t="s">
        <v>29</v>
      </c>
      <c r="F1216">
        <v>6</v>
      </c>
      <c r="G1216" t="s">
        <v>57</v>
      </c>
      <c r="H1216">
        <v>10</v>
      </c>
      <c r="M1216" t="s">
        <v>13</v>
      </c>
      <c r="N1216" t="s">
        <v>13</v>
      </c>
      <c r="O1216" s="5" t="s">
        <v>13</v>
      </c>
    </row>
    <row r="1217" spans="2:15" x14ac:dyDescent="0.3">
      <c r="B1217" s="4">
        <v>1342</v>
      </c>
      <c r="C1217" t="s">
        <v>9</v>
      </c>
      <c r="D1217" t="s">
        <v>10</v>
      </c>
      <c r="E1217" t="s">
        <v>11</v>
      </c>
      <c r="F1217">
        <v>8</v>
      </c>
      <c r="G1217" t="s">
        <v>57</v>
      </c>
      <c r="H1217">
        <v>10</v>
      </c>
      <c r="K1217" t="s">
        <v>13</v>
      </c>
      <c r="L1217" t="s">
        <v>19</v>
      </c>
      <c r="M1217" t="s">
        <v>33</v>
      </c>
      <c r="N1217" t="s">
        <v>33</v>
      </c>
      <c r="O1217" s="5" t="s">
        <v>35</v>
      </c>
    </row>
    <row r="1218" spans="2:15" x14ac:dyDescent="0.3">
      <c r="B1218" s="4">
        <v>23</v>
      </c>
      <c r="C1218" t="s">
        <v>43</v>
      </c>
      <c r="D1218" t="s">
        <v>44</v>
      </c>
      <c r="E1218" t="s">
        <v>45</v>
      </c>
      <c r="F1218">
        <v>5</v>
      </c>
      <c r="G1218" t="s">
        <v>88</v>
      </c>
      <c r="H1218">
        <v>12</v>
      </c>
      <c r="I1218" t="s">
        <v>18</v>
      </c>
      <c r="J1218" t="s">
        <v>13</v>
      </c>
      <c r="K1218" t="s">
        <v>18</v>
      </c>
      <c r="L1218" t="s">
        <v>13</v>
      </c>
      <c r="M1218" t="s">
        <v>17</v>
      </c>
      <c r="N1218" t="s">
        <v>18</v>
      </c>
      <c r="O1218" s="5" t="s">
        <v>18</v>
      </c>
    </row>
    <row r="1219" spans="2:15" x14ac:dyDescent="0.3">
      <c r="B1219" s="4">
        <v>72</v>
      </c>
      <c r="C1219" t="s">
        <v>43</v>
      </c>
      <c r="D1219" t="s">
        <v>44</v>
      </c>
      <c r="E1219" t="s">
        <v>45</v>
      </c>
      <c r="F1219">
        <v>5</v>
      </c>
      <c r="G1219" t="s">
        <v>88</v>
      </c>
      <c r="H1219">
        <v>12</v>
      </c>
      <c r="I1219" t="s">
        <v>52</v>
      </c>
      <c r="J1219" t="s">
        <v>19</v>
      </c>
      <c r="K1219" t="s">
        <v>34</v>
      </c>
      <c r="L1219" t="s">
        <v>35</v>
      </c>
      <c r="O1219" s="5"/>
    </row>
    <row r="1220" spans="2:15" x14ac:dyDescent="0.3">
      <c r="B1220" s="4">
        <v>258</v>
      </c>
      <c r="C1220" t="s">
        <v>14</v>
      </c>
      <c r="D1220" t="s">
        <v>15</v>
      </c>
      <c r="E1220" t="s">
        <v>11</v>
      </c>
      <c r="F1220">
        <v>8</v>
      </c>
      <c r="G1220" t="s">
        <v>16</v>
      </c>
      <c r="H1220">
        <v>6</v>
      </c>
      <c r="J1220" t="s">
        <v>13</v>
      </c>
      <c r="K1220" t="s">
        <v>18</v>
      </c>
      <c r="L1220" t="s">
        <v>17</v>
      </c>
      <c r="M1220" t="s">
        <v>17</v>
      </c>
      <c r="N1220" t="s">
        <v>18</v>
      </c>
      <c r="O1220" s="5" t="s">
        <v>18</v>
      </c>
    </row>
    <row r="1221" spans="2:15" x14ac:dyDescent="0.3">
      <c r="B1221" s="4">
        <v>1</v>
      </c>
      <c r="C1221" t="s">
        <v>49</v>
      </c>
      <c r="D1221" t="s">
        <v>50</v>
      </c>
      <c r="E1221" t="s">
        <v>51</v>
      </c>
      <c r="F1221">
        <v>3</v>
      </c>
      <c r="G1221" t="s">
        <v>16</v>
      </c>
      <c r="H1221">
        <v>6</v>
      </c>
      <c r="L1221" t="s">
        <v>52</v>
      </c>
      <c r="M1221" t="s">
        <v>17</v>
      </c>
      <c r="O1221" s="5"/>
    </row>
    <row r="1222" spans="2:15" x14ac:dyDescent="0.3">
      <c r="B1222" s="4">
        <v>1178</v>
      </c>
      <c r="C1222" t="s">
        <v>75</v>
      </c>
      <c r="D1222" t="s">
        <v>76</v>
      </c>
      <c r="E1222" t="s">
        <v>77</v>
      </c>
      <c r="F1222">
        <v>7</v>
      </c>
      <c r="G1222" t="s">
        <v>40</v>
      </c>
      <c r="H1222">
        <v>3</v>
      </c>
      <c r="K1222" t="s">
        <v>18</v>
      </c>
      <c r="L1222" t="s">
        <v>18</v>
      </c>
      <c r="M1222" t="s">
        <v>13</v>
      </c>
      <c r="O1222" s="5"/>
    </row>
    <row r="1223" spans="2:15" x14ac:dyDescent="0.3">
      <c r="B1223" s="4">
        <v>1119</v>
      </c>
      <c r="C1223" t="s">
        <v>98</v>
      </c>
      <c r="D1223" t="s">
        <v>99</v>
      </c>
      <c r="E1223" t="s">
        <v>77</v>
      </c>
      <c r="F1223">
        <v>7</v>
      </c>
      <c r="G1223" t="s">
        <v>87</v>
      </c>
      <c r="H1223">
        <v>9</v>
      </c>
      <c r="L1223" t="s">
        <v>19</v>
      </c>
      <c r="M1223" t="s">
        <v>33</v>
      </c>
      <c r="N1223" t="s">
        <v>35</v>
      </c>
      <c r="O1223" s="5"/>
    </row>
    <row r="1224" spans="2:15" x14ac:dyDescent="0.3">
      <c r="B1224" s="4">
        <v>6</v>
      </c>
      <c r="C1224" t="s">
        <v>41</v>
      </c>
      <c r="D1224" t="s">
        <v>42</v>
      </c>
      <c r="E1224" t="s">
        <v>11</v>
      </c>
      <c r="F1224">
        <v>8</v>
      </c>
      <c r="G1224" t="s">
        <v>87</v>
      </c>
      <c r="H1224">
        <v>9</v>
      </c>
      <c r="J1224" t="s">
        <v>18</v>
      </c>
      <c r="K1224" t="s">
        <v>18</v>
      </c>
      <c r="L1224" t="s">
        <v>18</v>
      </c>
      <c r="M1224" t="s">
        <v>13</v>
      </c>
      <c r="N1224" t="s">
        <v>13</v>
      </c>
      <c r="O1224" s="5" t="s">
        <v>18</v>
      </c>
    </row>
    <row r="1225" spans="2:15" x14ac:dyDescent="0.3">
      <c r="B1225" s="4">
        <v>1065</v>
      </c>
      <c r="C1225" t="s">
        <v>100</v>
      </c>
      <c r="D1225" t="s">
        <v>101</v>
      </c>
      <c r="E1225" t="s">
        <v>102</v>
      </c>
      <c r="F1225">
        <v>4</v>
      </c>
      <c r="G1225" t="s">
        <v>26</v>
      </c>
      <c r="H1225">
        <v>4</v>
      </c>
      <c r="L1225" t="s">
        <v>52</v>
      </c>
      <c r="M1225" t="s">
        <v>33</v>
      </c>
      <c r="N1225" t="s">
        <v>17</v>
      </c>
      <c r="O1225" s="5" t="s">
        <v>52</v>
      </c>
    </row>
    <row r="1226" spans="2:15" x14ac:dyDescent="0.3">
      <c r="B1226" s="4">
        <v>300</v>
      </c>
      <c r="C1226" t="s">
        <v>49</v>
      </c>
      <c r="D1226" t="s">
        <v>50</v>
      </c>
      <c r="E1226" t="s">
        <v>51</v>
      </c>
      <c r="F1226">
        <v>3</v>
      </c>
      <c r="G1226" t="s">
        <v>26</v>
      </c>
      <c r="H1226">
        <v>4</v>
      </c>
      <c r="I1226" t="s">
        <v>52</v>
      </c>
      <c r="J1226" t="s">
        <v>52</v>
      </c>
      <c r="K1226" t="s">
        <v>52</v>
      </c>
      <c r="L1226" t="s">
        <v>52</v>
      </c>
      <c r="M1226" t="s">
        <v>17</v>
      </c>
      <c r="N1226" t="s">
        <v>19</v>
      </c>
      <c r="O1226" s="5" t="s">
        <v>17</v>
      </c>
    </row>
    <row r="1227" spans="2:15" x14ac:dyDescent="0.3">
      <c r="B1227" s="4">
        <v>34</v>
      </c>
      <c r="C1227" t="s">
        <v>46</v>
      </c>
      <c r="D1227" t="s">
        <v>47</v>
      </c>
      <c r="E1227" t="s">
        <v>11</v>
      </c>
      <c r="F1227">
        <v>8</v>
      </c>
      <c r="G1227" t="s">
        <v>12</v>
      </c>
      <c r="H1227">
        <v>7</v>
      </c>
      <c r="L1227" t="s">
        <v>13</v>
      </c>
      <c r="M1227" t="s">
        <v>17</v>
      </c>
      <c r="N1227" t="s">
        <v>18</v>
      </c>
      <c r="O1227" s="5" t="s">
        <v>18</v>
      </c>
    </row>
    <row r="1228" spans="2:15" x14ac:dyDescent="0.3">
      <c r="B1228" s="4">
        <v>3336</v>
      </c>
      <c r="C1228" t="s">
        <v>14</v>
      </c>
      <c r="D1228" t="s">
        <v>15</v>
      </c>
      <c r="E1228" t="s">
        <v>11</v>
      </c>
      <c r="F1228">
        <v>8</v>
      </c>
      <c r="G1228" t="s">
        <v>30</v>
      </c>
      <c r="H1228">
        <v>18</v>
      </c>
      <c r="N1228" t="s">
        <v>17</v>
      </c>
      <c r="O1228" s="5" t="s">
        <v>13</v>
      </c>
    </row>
    <row r="1229" spans="2:15" x14ac:dyDescent="0.3">
      <c r="B1229" s="4">
        <v>802</v>
      </c>
      <c r="C1229" t="s">
        <v>14</v>
      </c>
      <c r="D1229" t="s">
        <v>15</v>
      </c>
      <c r="E1229" t="s">
        <v>11</v>
      </c>
      <c r="F1229">
        <v>8</v>
      </c>
      <c r="G1229" t="s">
        <v>30</v>
      </c>
      <c r="H1229">
        <v>18</v>
      </c>
      <c r="L1229" t="s">
        <v>18</v>
      </c>
      <c r="M1229" t="s">
        <v>17</v>
      </c>
      <c r="N1229" t="s">
        <v>13</v>
      </c>
      <c r="O1229" s="5" t="s">
        <v>13</v>
      </c>
    </row>
    <row r="1230" spans="2:15" x14ac:dyDescent="0.3">
      <c r="B1230" s="4">
        <v>156</v>
      </c>
      <c r="C1230" t="s">
        <v>14</v>
      </c>
      <c r="D1230" t="s">
        <v>15</v>
      </c>
      <c r="E1230" t="s">
        <v>11</v>
      </c>
      <c r="F1230">
        <v>8</v>
      </c>
      <c r="G1230" t="s">
        <v>30</v>
      </c>
      <c r="H1230">
        <v>18</v>
      </c>
      <c r="I1230" t="s">
        <v>13</v>
      </c>
      <c r="J1230" t="s">
        <v>13</v>
      </c>
      <c r="K1230" t="s">
        <v>13</v>
      </c>
      <c r="L1230" t="s">
        <v>13</v>
      </c>
      <c r="M1230" t="s">
        <v>13</v>
      </c>
      <c r="N1230" t="s">
        <v>13</v>
      </c>
      <c r="O1230" s="5" t="s">
        <v>13</v>
      </c>
    </row>
    <row r="1231" spans="2:15" x14ac:dyDescent="0.3">
      <c r="B1231" s="4">
        <v>1215</v>
      </c>
      <c r="C1231" t="s">
        <v>14</v>
      </c>
      <c r="D1231" t="s">
        <v>15</v>
      </c>
      <c r="E1231" t="s">
        <v>11</v>
      </c>
      <c r="F1231">
        <v>8</v>
      </c>
      <c r="G1231" t="s">
        <v>54</v>
      </c>
      <c r="H1231">
        <v>8</v>
      </c>
      <c r="M1231" t="s">
        <v>18</v>
      </c>
      <c r="N1231" t="s">
        <v>34</v>
      </c>
      <c r="O1231" s="5"/>
    </row>
    <row r="1232" spans="2:15" x14ac:dyDescent="0.3">
      <c r="B1232" s="4">
        <v>66</v>
      </c>
      <c r="C1232" t="s">
        <v>46</v>
      </c>
      <c r="D1232" t="s">
        <v>47</v>
      </c>
      <c r="E1232" t="s">
        <v>11</v>
      </c>
      <c r="F1232">
        <v>8</v>
      </c>
      <c r="G1232" t="s">
        <v>55</v>
      </c>
      <c r="H1232">
        <v>2</v>
      </c>
      <c r="I1232" t="s">
        <v>19</v>
      </c>
      <c r="J1232" t="s">
        <v>17</v>
      </c>
      <c r="O1232" s="5"/>
    </row>
    <row r="1233" spans="2:15" x14ac:dyDescent="0.3">
      <c r="B1233" s="4">
        <v>1107</v>
      </c>
      <c r="C1233" t="s">
        <v>84</v>
      </c>
      <c r="D1233" t="s">
        <v>85</v>
      </c>
      <c r="E1233" t="s">
        <v>86</v>
      </c>
      <c r="F1233">
        <v>12</v>
      </c>
      <c r="G1233" t="s">
        <v>55</v>
      </c>
      <c r="H1233">
        <v>2</v>
      </c>
      <c r="M1233" t="s">
        <v>13</v>
      </c>
      <c r="N1233" t="s">
        <v>18</v>
      </c>
      <c r="O1233" s="5" t="s">
        <v>17</v>
      </c>
    </row>
    <row r="1234" spans="2:15" x14ac:dyDescent="0.3">
      <c r="B1234" s="4">
        <v>627</v>
      </c>
      <c r="C1234" t="s">
        <v>46</v>
      </c>
      <c r="D1234" t="s">
        <v>47</v>
      </c>
      <c r="E1234" t="s">
        <v>11</v>
      </c>
      <c r="F1234">
        <v>8</v>
      </c>
      <c r="G1234" t="s">
        <v>58</v>
      </c>
      <c r="H1234">
        <v>17</v>
      </c>
      <c r="K1234" t="s">
        <v>18</v>
      </c>
      <c r="L1234" t="s">
        <v>13</v>
      </c>
      <c r="O1234" s="5"/>
    </row>
    <row r="1235" spans="2:15" x14ac:dyDescent="0.3">
      <c r="B1235" s="4">
        <v>264</v>
      </c>
      <c r="C1235" t="s">
        <v>14</v>
      </c>
      <c r="D1235" t="s">
        <v>15</v>
      </c>
      <c r="E1235" t="s">
        <v>11</v>
      </c>
      <c r="F1235">
        <v>8</v>
      </c>
      <c r="G1235" t="s">
        <v>58</v>
      </c>
      <c r="H1235">
        <v>17</v>
      </c>
      <c r="K1235" t="s">
        <v>17</v>
      </c>
      <c r="L1235" t="s">
        <v>18</v>
      </c>
      <c r="M1235" t="s">
        <v>13</v>
      </c>
      <c r="N1235" t="s">
        <v>17</v>
      </c>
      <c r="O1235" s="5"/>
    </row>
    <row r="1236" spans="2:15" x14ac:dyDescent="0.3">
      <c r="B1236" s="4">
        <v>103</v>
      </c>
      <c r="C1236" t="s">
        <v>63</v>
      </c>
      <c r="D1236" t="s">
        <v>64</v>
      </c>
      <c r="E1236" t="s">
        <v>65</v>
      </c>
      <c r="F1236">
        <v>14</v>
      </c>
      <c r="G1236" t="s">
        <v>58</v>
      </c>
      <c r="H1236">
        <v>17</v>
      </c>
      <c r="N1236" t="s">
        <v>13</v>
      </c>
      <c r="O1236" s="5" t="s">
        <v>18</v>
      </c>
    </row>
    <row r="1237" spans="2:15" x14ac:dyDescent="0.3">
      <c r="B1237" s="4">
        <v>810</v>
      </c>
      <c r="C1237" t="s">
        <v>14</v>
      </c>
      <c r="D1237" t="s">
        <v>15</v>
      </c>
      <c r="E1237" t="s">
        <v>11</v>
      </c>
      <c r="F1237">
        <v>8</v>
      </c>
      <c r="G1237" t="s">
        <v>58</v>
      </c>
      <c r="H1237">
        <v>17</v>
      </c>
      <c r="J1237" t="s">
        <v>17</v>
      </c>
      <c r="K1237" t="s">
        <v>18</v>
      </c>
      <c r="L1237" t="s">
        <v>17</v>
      </c>
      <c r="M1237" t="s">
        <v>18</v>
      </c>
      <c r="N1237" t="s">
        <v>18</v>
      </c>
      <c r="O1237" s="5" t="s">
        <v>13</v>
      </c>
    </row>
    <row r="1238" spans="2:15" x14ac:dyDescent="0.3">
      <c r="B1238" s="4">
        <v>85</v>
      </c>
      <c r="C1238" t="s">
        <v>63</v>
      </c>
      <c r="D1238" t="s">
        <v>64</v>
      </c>
      <c r="E1238" t="s">
        <v>65</v>
      </c>
      <c r="F1238">
        <v>14</v>
      </c>
      <c r="G1238" t="s">
        <v>55</v>
      </c>
      <c r="H1238">
        <v>2</v>
      </c>
      <c r="I1238" t="s">
        <v>13</v>
      </c>
      <c r="J1238" t="s">
        <v>13</v>
      </c>
      <c r="O1238" s="5"/>
    </row>
    <row r="1239" spans="2:15" x14ac:dyDescent="0.3">
      <c r="B1239" s="4">
        <v>1081</v>
      </c>
      <c r="C1239" t="s">
        <v>103</v>
      </c>
      <c r="D1239" t="s">
        <v>104</v>
      </c>
      <c r="E1239" t="s">
        <v>105</v>
      </c>
      <c r="F1239">
        <v>2</v>
      </c>
      <c r="G1239" t="s">
        <v>55</v>
      </c>
      <c r="H1239">
        <v>2</v>
      </c>
      <c r="N1239" t="s">
        <v>18</v>
      </c>
      <c r="O1239" s="5" t="s">
        <v>17</v>
      </c>
    </row>
    <row r="1240" spans="2:15" x14ac:dyDescent="0.3">
      <c r="B1240" s="4">
        <v>20</v>
      </c>
      <c r="C1240" t="s">
        <v>14</v>
      </c>
      <c r="D1240" t="s">
        <v>15</v>
      </c>
      <c r="E1240" t="s">
        <v>11</v>
      </c>
      <c r="F1240">
        <v>8</v>
      </c>
      <c r="G1240" t="s">
        <v>66</v>
      </c>
      <c r="H1240">
        <v>5</v>
      </c>
      <c r="I1240" t="s">
        <v>18</v>
      </c>
      <c r="J1240" t="s">
        <v>13</v>
      </c>
      <c r="K1240" t="s">
        <v>13</v>
      </c>
      <c r="L1240" t="s">
        <v>18</v>
      </c>
      <c r="M1240" t="s">
        <v>17</v>
      </c>
      <c r="N1240" t="s">
        <v>17</v>
      </c>
      <c r="O1240" s="5" t="s">
        <v>13</v>
      </c>
    </row>
    <row r="1241" spans="2:15" x14ac:dyDescent="0.3">
      <c r="B1241" s="4">
        <v>127</v>
      </c>
      <c r="C1241" t="s">
        <v>14</v>
      </c>
      <c r="D1241" t="s">
        <v>15</v>
      </c>
      <c r="E1241" t="s">
        <v>11</v>
      </c>
      <c r="F1241">
        <v>8</v>
      </c>
      <c r="G1241" t="s">
        <v>66</v>
      </c>
      <c r="H1241">
        <v>5</v>
      </c>
      <c r="K1241" t="s">
        <v>13</v>
      </c>
      <c r="L1241" t="s">
        <v>13</v>
      </c>
      <c r="M1241" t="s">
        <v>17</v>
      </c>
      <c r="N1241" t="s">
        <v>18</v>
      </c>
      <c r="O1241" s="5" t="s">
        <v>17</v>
      </c>
    </row>
    <row r="1242" spans="2:15" x14ac:dyDescent="0.3">
      <c r="B1242" s="4">
        <v>816</v>
      </c>
      <c r="C1242" t="s">
        <v>43</v>
      </c>
      <c r="D1242" t="s">
        <v>44</v>
      </c>
      <c r="E1242" t="s">
        <v>45</v>
      </c>
      <c r="F1242">
        <v>5</v>
      </c>
      <c r="G1242" t="s">
        <v>89</v>
      </c>
      <c r="H1242">
        <v>11</v>
      </c>
      <c r="L1242" t="s">
        <v>13</v>
      </c>
      <c r="M1242" t="s">
        <v>13</v>
      </c>
      <c r="N1242" t="s">
        <v>13</v>
      </c>
      <c r="O1242" s="5"/>
    </row>
    <row r="1243" spans="2:15" x14ac:dyDescent="0.3">
      <c r="B1243" s="4">
        <v>57</v>
      </c>
      <c r="C1243" t="s">
        <v>27</v>
      </c>
      <c r="D1243" t="s">
        <v>28</v>
      </c>
      <c r="E1243" t="s">
        <v>29</v>
      </c>
      <c r="F1243">
        <v>6</v>
      </c>
      <c r="G1243" t="s">
        <v>89</v>
      </c>
      <c r="H1243">
        <v>11</v>
      </c>
      <c r="I1243" t="s">
        <v>18</v>
      </c>
      <c r="J1243" t="s">
        <v>18</v>
      </c>
      <c r="K1243" t="s">
        <v>18</v>
      </c>
      <c r="L1243" t="s">
        <v>35</v>
      </c>
      <c r="O1243" s="5"/>
    </row>
    <row r="1244" spans="2:15" x14ac:dyDescent="0.3">
      <c r="B1244" s="4">
        <v>388</v>
      </c>
      <c r="C1244" t="s">
        <v>43</v>
      </c>
      <c r="D1244" t="s">
        <v>44</v>
      </c>
      <c r="E1244" t="s">
        <v>45</v>
      </c>
      <c r="F1244">
        <v>5</v>
      </c>
      <c r="G1244" t="s">
        <v>89</v>
      </c>
      <c r="H1244">
        <v>11</v>
      </c>
      <c r="K1244" t="s">
        <v>13</v>
      </c>
      <c r="L1244" t="s">
        <v>13</v>
      </c>
      <c r="M1244" t="s">
        <v>13</v>
      </c>
      <c r="N1244" t="s">
        <v>13</v>
      </c>
      <c r="O1244" s="5" t="s">
        <v>13</v>
      </c>
    </row>
    <row r="1245" spans="2:15" x14ac:dyDescent="0.3">
      <c r="B1245" s="4">
        <v>727</v>
      </c>
      <c r="C1245" t="s">
        <v>61</v>
      </c>
      <c r="D1245" t="s">
        <v>62</v>
      </c>
      <c r="E1245" t="s">
        <v>11</v>
      </c>
      <c r="F1245">
        <v>8</v>
      </c>
      <c r="G1245" t="s">
        <v>22</v>
      </c>
      <c r="H1245">
        <v>1</v>
      </c>
      <c r="I1245" t="s">
        <v>18</v>
      </c>
      <c r="J1245" t="s">
        <v>18</v>
      </c>
      <c r="K1245" t="s">
        <v>13</v>
      </c>
      <c r="O1245" s="5"/>
    </row>
    <row r="1246" spans="2:15" x14ac:dyDescent="0.3">
      <c r="B1246" s="4">
        <v>2481</v>
      </c>
      <c r="C1246" t="s">
        <v>61</v>
      </c>
      <c r="D1246" t="s">
        <v>62</v>
      </c>
      <c r="E1246" t="s">
        <v>11</v>
      </c>
      <c r="F1246">
        <v>8</v>
      </c>
      <c r="G1246" t="s">
        <v>54</v>
      </c>
      <c r="H1246">
        <v>8</v>
      </c>
      <c r="I1246" t="s">
        <v>17</v>
      </c>
      <c r="J1246" t="s">
        <v>17</v>
      </c>
      <c r="K1246" t="s">
        <v>13</v>
      </c>
      <c r="L1246" t="s">
        <v>18</v>
      </c>
      <c r="O1246" s="5"/>
    </row>
    <row r="1247" spans="2:15" x14ac:dyDescent="0.3">
      <c r="B1247" s="4">
        <v>1662</v>
      </c>
      <c r="C1247" t="s">
        <v>31</v>
      </c>
      <c r="D1247" t="s">
        <v>32</v>
      </c>
      <c r="E1247" t="s">
        <v>11</v>
      </c>
      <c r="F1247">
        <v>8</v>
      </c>
      <c r="G1247" t="s">
        <v>16</v>
      </c>
      <c r="H1247">
        <v>6</v>
      </c>
      <c r="M1247" t="s">
        <v>18</v>
      </c>
      <c r="N1247" t="s">
        <v>18</v>
      </c>
      <c r="O1247" s="5" t="s">
        <v>17</v>
      </c>
    </row>
    <row r="1248" spans="2:15" x14ac:dyDescent="0.3">
      <c r="B1248" s="4">
        <v>44</v>
      </c>
      <c r="C1248" t="s">
        <v>14</v>
      </c>
      <c r="D1248" t="s">
        <v>15</v>
      </c>
      <c r="E1248" t="s">
        <v>11</v>
      </c>
      <c r="F1248">
        <v>8</v>
      </c>
      <c r="G1248" t="s">
        <v>40</v>
      </c>
      <c r="H1248">
        <v>3</v>
      </c>
      <c r="N1248" t="s">
        <v>18</v>
      </c>
      <c r="O1248" s="5" t="s">
        <v>18</v>
      </c>
    </row>
    <row r="1249" spans="2:15" x14ac:dyDescent="0.3">
      <c r="B1249" s="4">
        <v>712</v>
      </c>
      <c r="C1249" t="s">
        <v>59</v>
      </c>
      <c r="D1249" t="s">
        <v>60</v>
      </c>
      <c r="E1249" t="s">
        <v>11</v>
      </c>
      <c r="F1249">
        <v>8</v>
      </c>
      <c r="G1249" t="s">
        <v>66</v>
      </c>
      <c r="H1249">
        <v>5</v>
      </c>
      <c r="I1249" t="s">
        <v>19</v>
      </c>
      <c r="J1249" t="s">
        <v>19</v>
      </c>
      <c r="K1249" t="s">
        <v>52</v>
      </c>
      <c r="L1249" t="s">
        <v>52</v>
      </c>
      <c r="O1249" s="5"/>
    </row>
    <row r="1250" spans="2:15" x14ac:dyDescent="0.3">
      <c r="B1250" s="4">
        <v>95</v>
      </c>
      <c r="C1250" t="s">
        <v>41</v>
      </c>
      <c r="D1250" t="s">
        <v>42</v>
      </c>
      <c r="E1250" t="s">
        <v>11</v>
      </c>
      <c r="F1250">
        <v>8</v>
      </c>
      <c r="G1250" t="s">
        <v>16</v>
      </c>
      <c r="H1250">
        <v>6</v>
      </c>
      <c r="I1250" t="s">
        <v>13</v>
      </c>
      <c r="J1250" t="s">
        <v>13</v>
      </c>
      <c r="K1250" t="s">
        <v>13</v>
      </c>
      <c r="L1250" t="s">
        <v>13</v>
      </c>
      <c r="M1250" t="s">
        <v>18</v>
      </c>
      <c r="N1250" t="s">
        <v>13</v>
      </c>
      <c r="O1250" s="5" t="s">
        <v>18</v>
      </c>
    </row>
    <row r="1251" spans="2:15" x14ac:dyDescent="0.3">
      <c r="B1251" s="4">
        <v>1</v>
      </c>
      <c r="C1251" t="s">
        <v>46</v>
      </c>
      <c r="D1251" t="s">
        <v>47</v>
      </c>
      <c r="E1251" t="s">
        <v>11</v>
      </c>
      <c r="F1251">
        <v>8</v>
      </c>
      <c r="G1251" t="s">
        <v>57</v>
      </c>
      <c r="H1251">
        <v>10</v>
      </c>
      <c r="I1251" t="s">
        <v>13</v>
      </c>
      <c r="J1251" t="s">
        <v>13</v>
      </c>
      <c r="K1251" t="s">
        <v>18</v>
      </c>
      <c r="L1251" t="s">
        <v>13</v>
      </c>
      <c r="M1251" t="s">
        <v>18</v>
      </c>
      <c r="N1251" t="s">
        <v>18</v>
      </c>
      <c r="O1251" s="5" t="s">
        <v>17</v>
      </c>
    </row>
    <row r="1252" spans="2:15" x14ac:dyDescent="0.3">
      <c r="B1252" s="4">
        <v>145</v>
      </c>
      <c r="C1252" t="s">
        <v>46</v>
      </c>
      <c r="D1252" t="s">
        <v>47</v>
      </c>
      <c r="E1252" t="s">
        <v>11</v>
      </c>
      <c r="F1252">
        <v>8</v>
      </c>
      <c r="G1252" t="s">
        <v>38</v>
      </c>
      <c r="H1252">
        <v>13</v>
      </c>
      <c r="I1252" t="s">
        <v>17</v>
      </c>
      <c r="J1252" t="s">
        <v>18</v>
      </c>
      <c r="K1252" t="s">
        <v>17</v>
      </c>
      <c r="L1252" t="s">
        <v>13</v>
      </c>
      <c r="M1252" t="s">
        <v>17</v>
      </c>
      <c r="N1252" t="s">
        <v>19</v>
      </c>
      <c r="O1252" s="5" t="s">
        <v>52</v>
      </c>
    </row>
    <row r="1253" spans="2:15" x14ac:dyDescent="0.3">
      <c r="B1253" s="4">
        <v>2</v>
      </c>
      <c r="C1253" t="s">
        <v>46</v>
      </c>
      <c r="D1253" t="s">
        <v>47</v>
      </c>
      <c r="E1253" t="s">
        <v>11</v>
      </c>
      <c r="F1253">
        <v>8</v>
      </c>
      <c r="G1253" t="s">
        <v>26</v>
      </c>
      <c r="H1253">
        <v>4</v>
      </c>
      <c r="I1253" t="s">
        <v>17</v>
      </c>
      <c r="J1253" t="s">
        <v>13</v>
      </c>
      <c r="K1253" t="s">
        <v>13</v>
      </c>
      <c r="L1253" t="s">
        <v>18</v>
      </c>
      <c r="M1253" t="s">
        <v>18</v>
      </c>
      <c r="N1253" t="s">
        <v>17</v>
      </c>
      <c r="O1253" s="5" t="s">
        <v>18</v>
      </c>
    </row>
    <row r="1254" spans="2:15" x14ac:dyDescent="0.3">
      <c r="B1254" s="4">
        <v>839</v>
      </c>
      <c r="C1254" t="s">
        <v>63</v>
      </c>
      <c r="D1254" t="s">
        <v>64</v>
      </c>
      <c r="E1254" t="s">
        <v>65</v>
      </c>
      <c r="F1254">
        <v>14</v>
      </c>
      <c r="G1254" t="s">
        <v>12</v>
      </c>
      <c r="H1254">
        <v>7</v>
      </c>
      <c r="K1254" t="s">
        <v>13</v>
      </c>
      <c r="L1254" t="s">
        <v>13</v>
      </c>
      <c r="M1254" t="s">
        <v>13</v>
      </c>
      <c r="N1254" t="s">
        <v>13</v>
      </c>
      <c r="O1254" s="5" t="s">
        <v>17</v>
      </c>
    </row>
    <row r="1255" spans="2:15" x14ac:dyDescent="0.3">
      <c r="B1255" s="4">
        <v>3</v>
      </c>
      <c r="C1255" t="s">
        <v>108</v>
      </c>
      <c r="D1255" t="s">
        <v>109</v>
      </c>
      <c r="E1255" t="s">
        <v>77</v>
      </c>
      <c r="F1255">
        <v>7</v>
      </c>
      <c r="G1255" t="s">
        <v>22</v>
      </c>
      <c r="H1255">
        <v>1</v>
      </c>
      <c r="M1255" t="s">
        <v>13</v>
      </c>
      <c r="N1255" t="s">
        <v>13</v>
      </c>
      <c r="O1255" s="5" t="s">
        <v>17</v>
      </c>
    </row>
    <row r="1256" spans="2:15" x14ac:dyDescent="0.3">
      <c r="B1256" s="4">
        <v>139</v>
      </c>
      <c r="C1256" t="s">
        <v>46</v>
      </c>
      <c r="D1256" t="s">
        <v>47</v>
      </c>
      <c r="E1256" t="s">
        <v>11</v>
      </c>
      <c r="F1256">
        <v>8</v>
      </c>
      <c r="G1256" t="s">
        <v>58</v>
      </c>
      <c r="H1256">
        <v>17</v>
      </c>
      <c r="I1256" t="s">
        <v>18</v>
      </c>
      <c r="J1256" t="s">
        <v>18</v>
      </c>
      <c r="K1256" t="s">
        <v>18</v>
      </c>
      <c r="O1256" s="5"/>
    </row>
    <row r="1257" spans="2:15" x14ac:dyDescent="0.3">
      <c r="B1257" s="4">
        <v>1125</v>
      </c>
      <c r="C1257" t="s">
        <v>27</v>
      </c>
      <c r="D1257" t="s">
        <v>28</v>
      </c>
      <c r="E1257" t="s">
        <v>29</v>
      </c>
      <c r="F1257">
        <v>6</v>
      </c>
      <c r="G1257" t="s">
        <v>54</v>
      </c>
      <c r="H1257">
        <v>8</v>
      </c>
      <c r="M1257" t="s">
        <v>13</v>
      </c>
      <c r="N1257" t="s">
        <v>13</v>
      </c>
      <c r="O1257" s="5" t="s">
        <v>13</v>
      </c>
    </row>
    <row r="1258" spans="2:15" x14ac:dyDescent="0.3">
      <c r="B1258" s="4">
        <v>157</v>
      </c>
      <c r="C1258" t="s">
        <v>46</v>
      </c>
      <c r="D1258" t="s">
        <v>47</v>
      </c>
      <c r="E1258" t="s">
        <v>11</v>
      </c>
      <c r="F1258">
        <v>8</v>
      </c>
      <c r="G1258" t="s">
        <v>40</v>
      </c>
      <c r="H1258">
        <v>3</v>
      </c>
      <c r="L1258" t="s">
        <v>13</v>
      </c>
      <c r="M1258" t="s">
        <v>13</v>
      </c>
      <c r="N1258" t="s">
        <v>13</v>
      </c>
      <c r="O1258" s="5" t="s">
        <v>13</v>
      </c>
    </row>
    <row r="1259" spans="2:15" x14ac:dyDescent="0.3">
      <c r="B1259" s="4">
        <v>737</v>
      </c>
      <c r="C1259" t="s">
        <v>27</v>
      </c>
      <c r="D1259" t="s">
        <v>28</v>
      </c>
      <c r="E1259" t="s">
        <v>29</v>
      </c>
      <c r="F1259">
        <v>6</v>
      </c>
      <c r="G1259" t="s">
        <v>22</v>
      </c>
      <c r="H1259">
        <v>1</v>
      </c>
      <c r="J1259" t="s">
        <v>17</v>
      </c>
      <c r="K1259" t="s">
        <v>13</v>
      </c>
      <c r="L1259" t="s">
        <v>13</v>
      </c>
      <c r="M1259" t="s">
        <v>13</v>
      </c>
      <c r="O1259" s="5"/>
    </row>
    <row r="1260" spans="2:15" x14ac:dyDescent="0.3">
      <c r="B1260" s="4">
        <v>237</v>
      </c>
      <c r="C1260" t="s">
        <v>46</v>
      </c>
      <c r="D1260" t="s">
        <v>47</v>
      </c>
      <c r="E1260" t="s">
        <v>11</v>
      </c>
      <c r="F1260">
        <v>8</v>
      </c>
      <c r="G1260" t="s">
        <v>22</v>
      </c>
      <c r="H1260">
        <v>1</v>
      </c>
      <c r="M1260" t="s">
        <v>13</v>
      </c>
      <c r="N1260" t="s">
        <v>13</v>
      </c>
      <c r="O1260" s="5"/>
    </row>
    <row r="1261" spans="2:15" x14ac:dyDescent="0.3">
      <c r="B1261" s="4">
        <v>970</v>
      </c>
      <c r="C1261" t="s">
        <v>46</v>
      </c>
      <c r="D1261" t="s">
        <v>47</v>
      </c>
      <c r="E1261" t="s">
        <v>11</v>
      </c>
      <c r="F1261">
        <v>8</v>
      </c>
      <c r="G1261" t="s">
        <v>30</v>
      </c>
      <c r="H1261">
        <v>18</v>
      </c>
      <c r="M1261" t="s">
        <v>17</v>
      </c>
      <c r="N1261" t="s">
        <v>17</v>
      </c>
      <c r="O1261" s="5" t="s">
        <v>19</v>
      </c>
    </row>
    <row r="1262" spans="2:15" x14ac:dyDescent="0.3">
      <c r="B1262" s="4">
        <v>695</v>
      </c>
      <c r="C1262" t="s">
        <v>46</v>
      </c>
      <c r="D1262" t="s">
        <v>47</v>
      </c>
      <c r="E1262" t="s">
        <v>11</v>
      </c>
      <c r="F1262">
        <v>8</v>
      </c>
      <c r="G1262" t="s">
        <v>55</v>
      </c>
      <c r="H1262">
        <v>2</v>
      </c>
      <c r="N1262" t="s">
        <v>18</v>
      </c>
      <c r="O1262" s="5" t="s">
        <v>13</v>
      </c>
    </row>
    <row r="1263" spans="2:15" x14ac:dyDescent="0.3">
      <c r="B1263" s="4">
        <v>51</v>
      </c>
      <c r="C1263" t="s">
        <v>31</v>
      </c>
      <c r="D1263" t="s">
        <v>32</v>
      </c>
      <c r="E1263" t="s">
        <v>11</v>
      </c>
      <c r="F1263">
        <v>8</v>
      </c>
      <c r="G1263" t="s">
        <v>54</v>
      </c>
      <c r="H1263">
        <v>8</v>
      </c>
      <c r="I1263" t="s">
        <v>52</v>
      </c>
      <c r="J1263" t="s">
        <v>19</v>
      </c>
      <c r="K1263" t="s">
        <v>52</v>
      </c>
      <c r="L1263" t="s">
        <v>19</v>
      </c>
      <c r="M1263" t="s">
        <v>19</v>
      </c>
      <c r="N1263" t="s">
        <v>19</v>
      </c>
      <c r="O1263" s="5" t="s">
        <v>13</v>
      </c>
    </row>
    <row r="1264" spans="2:15" x14ac:dyDescent="0.3">
      <c r="B1264" s="4">
        <v>2624</v>
      </c>
      <c r="C1264" t="s">
        <v>70</v>
      </c>
      <c r="D1264" t="s">
        <v>71</v>
      </c>
      <c r="E1264" t="s">
        <v>11</v>
      </c>
      <c r="F1264">
        <v>8</v>
      </c>
      <c r="G1264" t="s">
        <v>16</v>
      </c>
      <c r="H1264">
        <v>6</v>
      </c>
      <c r="M1264" t="s">
        <v>17</v>
      </c>
      <c r="N1264" t="s">
        <v>17</v>
      </c>
      <c r="O1264" s="5"/>
    </row>
    <row r="1265" spans="2:15" x14ac:dyDescent="0.3">
      <c r="B1265" s="4">
        <v>272</v>
      </c>
      <c r="C1265" t="s">
        <v>36</v>
      </c>
      <c r="D1265" t="s">
        <v>37</v>
      </c>
      <c r="E1265" t="s">
        <v>11</v>
      </c>
      <c r="F1265">
        <v>8</v>
      </c>
      <c r="G1265" t="s">
        <v>22</v>
      </c>
      <c r="H1265">
        <v>1</v>
      </c>
      <c r="I1265" t="s">
        <v>17</v>
      </c>
      <c r="J1265" t="s">
        <v>17</v>
      </c>
      <c r="K1265" t="s">
        <v>18</v>
      </c>
      <c r="L1265" t="s">
        <v>13</v>
      </c>
      <c r="M1265" t="s">
        <v>13</v>
      </c>
      <c r="N1265" t="s">
        <v>18</v>
      </c>
      <c r="O1265" s="5" t="s">
        <v>19</v>
      </c>
    </row>
    <row r="1266" spans="2:15" x14ac:dyDescent="0.3">
      <c r="B1266" s="4">
        <v>33</v>
      </c>
      <c r="C1266" t="s">
        <v>46</v>
      </c>
      <c r="D1266" t="s">
        <v>47</v>
      </c>
      <c r="E1266" t="s">
        <v>11</v>
      </c>
      <c r="F1266">
        <v>8</v>
      </c>
      <c r="G1266" t="s">
        <v>30</v>
      </c>
      <c r="H1266">
        <v>18</v>
      </c>
      <c r="J1266" t="s">
        <v>52</v>
      </c>
      <c r="K1266" t="s">
        <v>34</v>
      </c>
      <c r="O1266" s="5"/>
    </row>
    <row r="1267" spans="2:15" x14ac:dyDescent="0.3">
      <c r="B1267" s="4">
        <v>21</v>
      </c>
      <c r="C1267" t="s">
        <v>14</v>
      </c>
      <c r="D1267" t="s">
        <v>15</v>
      </c>
      <c r="E1267" t="s">
        <v>11</v>
      </c>
      <c r="F1267">
        <v>8</v>
      </c>
      <c r="G1267" t="s">
        <v>58</v>
      </c>
      <c r="H1267">
        <v>17</v>
      </c>
      <c r="I1267" t="s">
        <v>13</v>
      </c>
      <c r="J1267" t="s">
        <v>13</v>
      </c>
      <c r="K1267" t="s">
        <v>18</v>
      </c>
      <c r="L1267" t="s">
        <v>13</v>
      </c>
      <c r="M1267" t="s">
        <v>13</v>
      </c>
      <c r="N1267" t="s">
        <v>17</v>
      </c>
      <c r="O1267" s="5" t="s">
        <v>17</v>
      </c>
    </row>
    <row r="1268" spans="2:15" x14ac:dyDescent="0.3">
      <c r="B1268" s="4">
        <v>1723</v>
      </c>
      <c r="C1268" t="s">
        <v>84</v>
      </c>
      <c r="D1268" t="s">
        <v>85</v>
      </c>
      <c r="E1268" t="s">
        <v>86</v>
      </c>
      <c r="F1268">
        <v>12</v>
      </c>
      <c r="G1268" t="s">
        <v>58</v>
      </c>
      <c r="H1268">
        <v>17</v>
      </c>
      <c r="M1268" t="s">
        <v>18</v>
      </c>
      <c r="N1268" t="s">
        <v>17</v>
      </c>
      <c r="O1268" s="5" t="s">
        <v>19</v>
      </c>
    </row>
    <row r="1269" spans="2:15" x14ac:dyDescent="0.3">
      <c r="B1269" s="4">
        <v>1583</v>
      </c>
      <c r="C1269" t="s">
        <v>23</v>
      </c>
      <c r="D1269" t="s">
        <v>24</v>
      </c>
      <c r="E1269" t="s">
        <v>25</v>
      </c>
      <c r="F1269">
        <v>1</v>
      </c>
      <c r="G1269" t="s">
        <v>58</v>
      </c>
      <c r="H1269">
        <v>17</v>
      </c>
      <c r="N1269" t="s">
        <v>13</v>
      </c>
      <c r="O1269" s="5" t="s">
        <v>13</v>
      </c>
    </row>
    <row r="1270" spans="2:15" x14ac:dyDescent="0.3">
      <c r="B1270" s="4">
        <v>426</v>
      </c>
      <c r="C1270" t="s">
        <v>27</v>
      </c>
      <c r="D1270" t="s">
        <v>28</v>
      </c>
      <c r="E1270" t="s">
        <v>29</v>
      </c>
      <c r="F1270">
        <v>6</v>
      </c>
      <c r="G1270" t="s">
        <v>58</v>
      </c>
      <c r="H1270">
        <v>17</v>
      </c>
      <c r="N1270" t="s">
        <v>18</v>
      </c>
      <c r="O1270" s="5" t="s">
        <v>18</v>
      </c>
    </row>
    <row r="1271" spans="2:15" x14ac:dyDescent="0.3">
      <c r="B1271" s="4">
        <v>567</v>
      </c>
      <c r="C1271" t="s">
        <v>20</v>
      </c>
      <c r="D1271" t="s">
        <v>21</v>
      </c>
      <c r="E1271" t="s">
        <v>11</v>
      </c>
      <c r="F1271">
        <v>8</v>
      </c>
      <c r="G1271" t="s">
        <v>55</v>
      </c>
      <c r="H1271">
        <v>2</v>
      </c>
      <c r="K1271" t="s">
        <v>17</v>
      </c>
      <c r="L1271" t="s">
        <v>19</v>
      </c>
      <c r="M1271" t="s">
        <v>18</v>
      </c>
      <c r="N1271" t="s">
        <v>18</v>
      </c>
      <c r="O1271" s="5" t="s">
        <v>18</v>
      </c>
    </row>
    <row r="1272" spans="2:15" x14ac:dyDescent="0.3">
      <c r="B1272" s="4">
        <v>4138</v>
      </c>
      <c r="C1272" t="s">
        <v>92</v>
      </c>
      <c r="D1272" t="s">
        <v>93</v>
      </c>
      <c r="E1272" t="s">
        <v>11</v>
      </c>
      <c r="F1272">
        <v>8</v>
      </c>
      <c r="G1272" t="s">
        <v>55</v>
      </c>
      <c r="H1272">
        <v>2</v>
      </c>
      <c r="N1272" t="s">
        <v>18</v>
      </c>
      <c r="O1272" s="5" t="s">
        <v>13</v>
      </c>
    </row>
    <row r="1273" spans="2:15" x14ac:dyDescent="0.3">
      <c r="B1273" s="4">
        <v>1068</v>
      </c>
      <c r="C1273" t="s">
        <v>75</v>
      </c>
      <c r="D1273" t="s">
        <v>76</v>
      </c>
      <c r="E1273" t="s">
        <v>77</v>
      </c>
      <c r="F1273">
        <v>7</v>
      </c>
      <c r="G1273" t="s">
        <v>66</v>
      </c>
      <c r="H1273">
        <v>5</v>
      </c>
      <c r="M1273" t="s">
        <v>13</v>
      </c>
      <c r="N1273" t="s">
        <v>13</v>
      </c>
      <c r="O1273" s="5" t="s">
        <v>13</v>
      </c>
    </row>
    <row r="1274" spans="2:15" x14ac:dyDescent="0.3">
      <c r="B1274" s="4">
        <v>829</v>
      </c>
      <c r="C1274" t="s">
        <v>67</v>
      </c>
      <c r="D1274" t="s">
        <v>68</v>
      </c>
      <c r="E1274" t="s">
        <v>69</v>
      </c>
      <c r="F1274">
        <v>11</v>
      </c>
      <c r="G1274" t="s">
        <v>66</v>
      </c>
      <c r="H1274">
        <v>5</v>
      </c>
      <c r="M1274" t="s">
        <v>13</v>
      </c>
      <c r="N1274" t="s">
        <v>18</v>
      </c>
      <c r="O1274" s="5" t="s">
        <v>18</v>
      </c>
    </row>
    <row r="1275" spans="2:15" x14ac:dyDescent="0.3">
      <c r="B1275" s="4">
        <v>749</v>
      </c>
      <c r="C1275" t="s">
        <v>75</v>
      </c>
      <c r="D1275" t="s">
        <v>76</v>
      </c>
      <c r="E1275" t="s">
        <v>77</v>
      </c>
      <c r="F1275">
        <v>7</v>
      </c>
      <c r="G1275" t="s">
        <v>89</v>
      </c>
      <c r="H1275">
        <v>11</v>
      </c>
      <c r="J1275" t="s">
        <v>13</v>
      </c>
      <c r="K1275" t="s">
        <v>18</v>
      </c>
      <c r="L1275" t="s">
        <v>13</v>
      </c>
      <c r="M1275" t="s">
        <v>18</v>
      </c>
      <c r="N1275" t="s">
        <v>17</v>
      </c>
      <c r="O1275" s="5"/>
    </row>
    <row r="1276" spans="2:15" x14ac:dyDescent="0.3">
      <c r="B1276" s="4">
        <v>2350</v>
      </c>
      <c r="C1276" t="s">
        <v>106</v>
      </c>
      <c r="D1276" t="s">
        <v>107</v>
      </c>
      <c r="E1276" t="s">
        <v>11</v>
      </c>
      <c r="F1276">
        <v>8</v>
      </c>
      <c r="G1276" t="s">
        <v>89</v>
      </c>
      <c r="H1276">
        <v>11</v>
      </c>
      <c r="M1276" t="s">
        <v>13</v>
      </c>
      <c r="N1276" t="s">
        <v>13</v>
      </c>
      <c r="O1276" s="5"/>
    </row>
    <row r="1277" spans="2:15" x14ac:dyDescent="0.3">
      <c r="B1277" s="4">
        <v>178</v>
      </c>
      <c r="C1277" t="s">
        <v>14</v>
      </c>
      <c r="D1277" t="s">
        <v>15</v>
      </c>
      <c r="E1277" t="s">
        <v>11</v>
      </c>
      <c r="F1277">
        <v>8</v>
      </c>
      <c r="G1277" t="s">
        <v>89</v>
      </c>
      <c r="H1277">
        <v>11</v>
      </c>
      <c r="K1277" t="s">
        <v>17</v>
      </c>
      <c r="L1277" t="s">
        <v>13</v>
      </c>
      <c r="O1277" s="5"/>
    </row>
    <row r="1278" spans="2:15" x14ac:dyDescent="0.3">
      <c r="B1278" s="4">
        <v>3209</v>
      </c>
      <c r="C1278" t="s">
        <v>14</v>
      </c>
      <c r="D1278" t="s">
        <v>15</v>
      </c>
      <c r="E1278" t="s">
        <v>11</v>
      </c>
      <c r="F1278">
        <v>8</v>
      </c>
      <c r="G1278" t="s">
        <v>22</v>
      </c>
      <c r="H1278">
        <v>1</v>
      </c>
      <c r="M1278" t="s">
        <v>18</v>
      </c>
      <c r="N1278" t="s">
        <v>18</v>
      </c>
      <c r="O1278" s="5" t="s">
        <v>17</v>
      </c>
    </row>
    <row r="1279" spans="2:15" x14ac:dyDescent="0.3">
      <c r="B1279" s="4">
        <v>1526</v>
      </c>
      <c r="C1279" t="s">
        <v>23</v>
      </c>
      <c r="D1279" t="s">
        <v>24</v>
      </c>
      <c r="E1279" t="s">
        <v>25</v>
      </c>
      <c r="F1279">
        <v>1</v>
      </c>
      <c r="G1279" t="s">
        <v>54</v>
      </c>
      <c r="H1279">
        <v>8</v>
      </c>
      <c r="I1279" t="s">
        <v>18</v>
      </c>
      <c r="J1279" t="s">
        <v>18</v>
      </c>
      <c r="K1279" t="s">
        <v>13</v>
      </c>
      <c r="L1279" t="s">
        <v>13</v>
      </c>
      <c r="O1279" s="5"/>
    </row>
    <row r="1280" spans="2:15" x14ac:dyDescent="0.3">
      <c r="B1280" s="4">
        <v>141</v>
      </c>
      <c r="C1280" t="s">
        <v>36</v>
      </c>
      <c r="D1280" t="s">
        <v>37</v>
      </c>
      <c r="E1280" t="s">
        <v>11</v>
      </c>
      <c r="F1280">
        <v>8</v>
      </c>
      <c r="G1280" t="s">
        <v>16</v>
      </c>
      <c r="H1280">
        <v>6</v>
      </c>
      <c r="I1280" t="s">
        <v>13</v>
      </c>
      <c r="J1280" t="s">
        <v>13</v>
      </c>
      <c r="K1280" t="s">
        <v>13</v>
      </c>
      <c r="L1280" t="s">
        <v>13</v>
      </c>
      <c r="M1280" t="s">
        <v>13</v>
      </c>
      <c r="N1280" t="s">
        <v>18</v>
      </c>
      <c r="O1280" s="5" t="s">
        <v>13</v>
      </c>
    </row>
    <row r="1281" spans="2:15" x14ac:dyDescent="0.3">
      <c r="B1281" s="4">
        <v>339</v>
      </c>
      <c r="C1281" t="s">
        <v>9</v>
      </c>
      <c r="D1281" t="s">
        <v>10</v>
      </c>
      <c r="E1281" t="s">
        <v>11</v>
      </c>
      <c r="F1281">
        <v>8</v>
      </c>
      <c r="G1281" t="s">
        <v>40</v>
      </c>
      <c r="H1281">
        <v>3</v>
      </c>
      <c r="I1281" t="s">
        <v>13</v>
      </c>
      <c r="J1281" t="s">
        <v>13</v>
      </c>
      <c r="K1281" t="s">
        <v>13</v>
      </c>
      <c r="L1281" t="s">
        <v>13</v>
      </c>
      <c r="M1281" t="s">
        <v>13</v>
      </c>
      <c r="N1281" t="s">
        <v>18</v>
      </c>
      <c r="O1281" s="5" t="s">
        <v>18</v>
      </c>
    </row>
    <row r="1282" spans="2:15" x14ac:dyDescent="0.3">
      <c r="B1282" s="4">
        <v>247</v>
      </c>
      <c r="C1282" t="s">
        <v>46</v>
      </c>
      <c r="D1282" t="s">
        <v>47</v>
      </c>
      <c r="E1282" t="s">
        <v>11</v>
      </c>
      <c r="F1282">
        <v>8</v>
      </c>
      <c r="G1282" t="s">
        <v>66</v>
      </c>
      <c r="H1282">
        <v>5</v>
      </c>
      <c r="J1282" t="s">
        <v>19</v>
      </c>
      <c r="K1282" t="s">
        <v>17</v>
      </c>
      <c r="L1282" t="s">
        <v>19</v>
      </c>
      <c r="M1282" t="s">
        <v>18</v>
      </c>
      <c r="O1282" s="5"/>
    </row>
    <row r="1283" spans="2:15" x14ac:dyDescent="0.3">
      <c r="B1283" s="4">
        <v>4</v>
      </c>
      <c r="C1283" t="s">
        <v>46</v>
      </c>
      <c r="D1283" t="s">
        <v>47</v>
      </c>
      <c r="E1283" t="s">
        <v>11</v>
      </c>
      <c r="F1283">
        <v>8</v>
      </c>
      <c r="G1283" t="s">
        <v>16</v>
      </c>
      <c r="H1283">
        <v>6</v>
      </c>
      <c r="K1283" t="s">
        <v>18</v>
      </c>
      <c r="L1283" t="s">
        <v>18</v>
      </c>
      <c r="O1283" s="5"/>
    </row>
    <row r="1284" spans="2:15" x14ac:dyDescent="0.3">
      <c r="B1284" s="4">
        <v>1</v>
      </c>
      <c r="C1284" t="s">
        <v>46</v>
      </c>
      <c r="D1284" t="s">
        <v>47</v>
      </c>
      <c r="E1284" t="s">
        <v>11</v>
      </c>
      <c r="F1284">
        <v>8</v>
      </c>
      <c r="G1284" t="s">
        <v>48</v>
      </c>
      <c r="H1284">
        <v>16</v>
      </c>
      <c r="I1284" t="s">
        <v>17</v>
      </c>
      <c r="J1284" t="s">
        <v>17</v>
      </c>
      <c r="K1284" t="s">
        <v>19</v>
      </c>
      <c r="L1284" t="s">
        <v>17</v>
      </c>
      <c r="M1284" t="s">
        <v>17</v>
      </c>
      <c r="N1284" t="s">
        <v>17</v>
      </c>
      <c r="O1284" s="5" t="s">
        <v>19</v>
      </c>
    </row>
    <row r="1285" spans="2:15" x14ac:dyDescent="0.3">
      <c r="B1285" s="4">
        <v>1308</v>
      </c>
      <c r="C1285" t="s">
        <v>41</v>
      </c>
      <c r="D1285" t="s">
        <v>42</v>
      </c>
      <c r="E1285" t="s">
        <v>11</v>
      </c>
      <c r="F1285">
        <v>8</v>
      </c>
      <c r="G1285" t="s">
        <v>48</v>
      </c>
      <c r="H1285">
        <v>16</v>
      </c>
      <c r="K1285" t="s">
        <v>17</v>
      </c>
      <c r="L1285" t="s">
        <v>17</v>
      </c>
      <c r="M1285" t="s">
        <v>18</v>
      </c>
      <c r="N1285" t="s">
        <v>18</v>
      </c>
      <c r="O1285" s="5" t="s">
        <v>34</v>
      </c>
    </row>
    <row r="1286" spans="2:15" x14ac:dyDescent="0.3">
      <c r="B1286" s="4">
        <v>74</v>
      </c>
      <c r="C1286" t="s">
        <v>63</v>
      </c>
      <c r="D1286" t="s">
        <v>64</v>
      </c>
      <c r="E1286" t="s">
        <v>65</v>
      </c>
      <c r="F1286">
        <v>14</v>
      </c>
      <c r="G1286" t="s">
        <v>57</v>
      </c>
      <c r="H1286">
        <v>10</v>
      </c>
      <c r="I1286" t="s">
        <v>13</v>
      </c>
      <c r="J1286" t="s">
        <v>17</v>
      </c>
      <c r="K1286" t="s">
        <v>17</v>
      </c>
      <c r="L1286" t="s">
        <v>52</v>
      </c>
      <c r="M1286" t="s">
        <v>19</v>
      </c>
      <c r="N1286" t="s">
        <v>19</v>
      </c>
      <c r="O1286" s="5" t="s">
        <v>19</v>
      </c>
    </row>
    <row r="1287" spans="2:15" x14ac:dyDescent="0.3">
      <c r="B1287" s="4">
        <v>830</v>
      </c>
      <c r="C1287" t="s">
        <v>9</v>
      </c>
      <c r="D1287" t="s">
        <v>10</v>
      </c>
      <c r="E1287" t="s">
        <v>11</v>
      </c>
      <c r="F1287">
        <v>8</v>
      </c>
      <c r="G1287" t="s">
        <v>57</v>
      </c>
      <c r="H1287">
        <v>10</v>
      </c>
      <c r="K1287" t="s">
        <v>19</v>
      </c>
      <c r="L1287" t="s">
        <v>19</v>
      </c>
      <c r="M1287" t="s">
        <v>18</v>
      </c>
      <c r="N1287" t="s">
        <v>13</v>
      </c>
      <c r="O1287" s="5" t="s">
        <v>13</v>
      </c>
    </row>
    <row r="1288" spans="2:15" x14ac:dyDescent="0.3">
      <c r="B1288" s="4">
        <v>415</v>
      </c>
      <c r="C1288" t="s">
        <v>43</v>
      </c>
      <c r="D1288" t="s">
        <v>44</v>
      </c>
      <c r="E1288" t="s">
        <v>45</v>
      </c>
      <c r="F1288">
        <v>5</v>
      </c>
      <c r="G1288" t="s">
        <v>89</v>
      </c>
      <c r="H1288">
        <v>11</v>
      </c>
      <c r="J1288" t="s">
        <v>17</v>
      </c>
      <c r="K1288" t="s">
        <v>34</v>
      </c>
      <c r="O1288" s="5"/>
    </row>
    <row r="1289" spans="2:15" x14ac:dyDescent="0.3">
      <c r="B1289" s="4">
        <v>34</v>
      </c>
      <c r="C1289" t="s">
        <v>90</v>
      </c>
      <c r="D1289" t="s">
        <v>91</v>
      </c>
      <c r="E1289" t="s">
        <v>11</v>
      </c>
      <c r="F1289">
        <v>8</v>
      </c>
      <c r="G1289" t="s">
        <v>48</v>
      </c>
      <c r="H1289">
        <v>16</v>
      </c>
      <c r="K1289" t="s">
        <v>13</v>
      </c>
      <c r="L1289" t="s">
        <v>13</v>
      </c>
      <c r="O1289" s="5"/>
    </row>
    <row r="1290" spans="2:15" x14ac:dyDescent="0.3">
      <c r="B1290" s="4">
        <v>121</v>
      </c>
      <c r="C1290" t="s">
        <v>9</v>
      </c>
      <c r="D1290" t="s">
        <v>10</v>
      </c>
      <c r="E1290" t="s">
        <v>11</v>
      </c>
      <c r="F1290">
        <v>8</v>
      </c>
      <c r="G1290" t="s">
        <v>81</v>
      </c>
      <c r="H1290">
        <v>7</v>
      </c>
      <c r="K1290" t="s">
        <v>13</v>
      </c>
      <c r="L1290" t="s">
        <v>13</v>
      </c>
      <c r="M1290" t="s">
        <v>13</v>
      </c>
      <c r="O1290" s="5"/>
    </row>
    <row r="1291" spans="2:15" x14ac:dyDescent="0.3">
      <c r="B1291" s="4">
        <v>2183</v>
      </c>
      <c r="C1291" t="s">
        <v>59</v>
      </c>
      <c r="D1291" t="s">
        <v>60</v>
      </c>
      <c r="E1291" t="s">
        <v>11</v>
      </c>
      <c r="F1291">
        <v>8</v>
      </c>
      <c r="G1291" t="s">
        <v>54</v>
      </c>
      <c r="H1291">
        <v>8</v>
      </c>
      <c r="K1291" t="s">
        <v>19</v>
      </c>
      <c r="L1291" t="s">
        <v>18</v>
      </c>
      <c r="M1291" t="s">
        <v>19</v>
      </c>
      <c r="N1291" t="s">
        <v>17</v>
      </c>
      <c r="O1291" s="5" t="s">
        <v>19</v>
      </c>
    </row>
    <row r="1292" spans="2:15" x14ac:dyDescent="0.3">
      <c r="B1292" s="4">
        <v>782</v>
      </c>
      <c r="C1292" t="s">
        <v>20</v>
      </c>
      <c r="D1292" t="s">
        <v>21</v>
      </c>
      <c r="E1292" t="s">
        <v>11</v>
      </c>
      <c r="F1292">
        <v>8</v>
      </c>
      <c r="G1292" t="s">
        <v>54</v>
      </c>
      <c r="H1292">
        <v>8</v>
      </c>
      <c r="L1292" t="s">
        <v>18</v>
      </c>
      <c r="M1292" t="s">
        <v>18</v>
      </c>
      <c r="N1292" t="s">
        <v>13</v>
      </c>
      <c r="O1292" s="5"/>
    </row>
    <row r="1293" spans="2:15" x14ac:dyDescent="0.3">
      <c r="B1293" s="4">
        <v>956</v>
      </c>
      <c r="C1293" t="s">
        <v>23</v>
      </c>
      <c r="D1293" t="s">
        <v>24</v>
      </c>
      <c r="E1293" t="s">
        <v>25</v>
      </c>
      <c r="F1293">
        <v>1</v>
      </c>
      <c r="G1293" t="s">
        <v>22</v>
      </c>
      <c r="H1293">
        <v>1</v>
      </c>
      <c r="M1293" t="s">
        <v>13</v>
      </c>
      <c r="N1293" t="s">
        <v>13</v>
      </c>
      <c r="O1293" s="5" t="s">
        <v>18</v>
      </c>
    </row>
    <row r="1294" spans="2:15" x14ac:dyDescent="0.3">
      <c r="B1294" s="4">
        <v>2486</v>
      </c>
      <c r="C1294" t="s">
        <v>14</v>
      </c>
      <c r="D1294" t="s">
        <v>15</v>
      </c>
      <c r="E1294" t="s">
        <v>11</v>
      </c>
      <c r="F1294">
        <v>8</v>
      </c>
      <c r="G1294" t="s">
        <v>22</v>
      </c>
      <c r="H1294">
        <v>1</v>
      </c>
      <c r="K1294" t="s">
        <v>18</v>
      </c>
      <c r="L1294" t="s">
        <v>18</v>
      </c>
      <c r="M1294" t="s">
        <v>18</v>
      </c>
      <c r="N1294" t="s">
        <v>18</v>
      </c>
      <c r="O1294" s="5" t="s">
        <v>18</v>
      </c>
    </row>
    <row r="1295" spans="2:15" x14ac:dyDescent="0.3">
      <c r="B1295" s="4">
        <v>3727</v>
      </c>
      <c r="C1295" t="s">
        <v>14</v>
      </c>
      <c r="D1295" t="s">
        <v>15</v>
      </c>
      <c r="E1295" t="s">
        <v>11</v>
      </c>
      <c r="F1295">
        <v>8</v>
      </c>
      <c r="G1295" t="s">
        <v>22</v>
      </c>
      <c r="H1295">
        <v>1</v>
      </c>
      <c r="M1295" t="s">
        <v>17</v>
      </c>
      <c r="N1295" t="s">
        <v>17</v>
      </c>
      <c r="O1295" s="5" t="s">
        <v>19</v>
      </c>
    </row>
    <row r="1296" spans="2:15" x14ac:dyDescent="0.3">
      <c r="B1296" s="4">
        <v>58</v>
      </c>
      <c r="C1296" t="s">
        <v>14</v>
      </c>
      <c r="D1296" t="s">
        <v>15</v>
      </c>
      <c r="E1296" t="s">
        <v>11</v>
      </c>
      <c r="F1296">
        <v>8</v>
      </c>
      <c r="G1296" t="s">
        <v>55</v>
      </c>
      <c r="H1296">
        <v>2</v>
      </c>
      <c r="I1296" t="s">
        <v>13</v>
      </c>
      <c r="J1296" t="s">
        <v>18</v>
      </c>
      <c r="L1296" t="s">
        <v>13</v>
      </c>
      <c r="M1296" t="s">
        <v>13</v>
      </c>
      <c r="N1296" t="s">
        <v>13</v>
      </c>
      <c r="O1296" s="5" t="s">
        <v>13</v>
      </c>
    </row>
    <row r="1297" spans="2:15" x14ac:dyDescent="0.3">
      <c r="B1297" s="4">
        <v>1488</v>
      </c>
      <c r="C1297" t="s">
        <v>14</v>
      </c>
      <c r="D1297" t="s">
        <v>15</v>
      </c>
      <c r="E1297" t="s">
        <v>11</v>
      </c>
      <c r="F1297">
        <v>8</v>
      </c>
      <c r="G1297" t="s">
        <v>81</v>
      </c>
      <c r="H1297">
        <v>7</v>
      </c>
      <c r="K1297" t="s">
        <v>13</v>
      </c>
      <c r="L1297" t="s">
        <v>13</v>
      </c>
      <c r="O1297" s="5"/>
    </row>
    <row r="1298" spans="2:15" x14ac:dyDescent="0.3">
      <c r="B1298" s="4">
        <v>3533</v>
      </c>
      <c r="C1298" t="s">
        <v>23</v>
      </c>
      <c r="D1298" t="s">
        <v>24</v>
      </c>
      <c r="E1298" t="s">
        <v>25</v>
      </c>
      <c r="F1298">
        <v>1</v>
      </c>
      <c r="G1298" t="s">
        <v>48</v>
      </c>
      <c r="H1298">
        <v>16</v>
      </c>
      <c r="M1298" t="s">
        <v>17</v>
      </c>
      <c r="N1298" t="s">
        <v>18</v>
      </c>
      <c r="O1298" s="5" t="s">
        <v>18</v>
      </c>
    </row>
    <row r="1299" spans="2:15" x14ac:dyDescent="0.3">
      <c r="B1299" s="4">
        <v>1</v>
      </c>
      <c r="C1299" t="s">
        <v>41</v>
      </c>
      <c r="D1299" t="s">
        <v>42</v>
      </c>
      <c r="E1299" t="s">
        <v>11</v>
      </c>
      <c r="F1299">
        <v>8</v>
      </c>
      <c r="G1299" t="s">
        <v>87</v>
      </c>
      <c r="H1299">
        <v>9</v>
      </c>
      <c r="J1299" t="s">
        <v>18</v>
      </c>
      <c r="K1299" t="s">
        <v>18</v>
      </c>
      <c r="L1299" t="s">
        <v>18</v>
      </c>
      <c r="M1299" t="s">
        <v>17</v>
      </c>
      <c r="N1299" t="s">
        <v>18</v>
      </c>
      <c r="O1299" s="5" t="s">
        <v>18</v>
      </c>
    </row>
    <row r="1300" spans="2:15" x14ac:dyDescent="0.3">
      <c r="B1300" s="4">
        <v>1190</v>
      </c>
      <c r="C1300" t="s">
        <v>92</v>
      </c>
      <c r="D1300" t="s">
        <v>93</v>
      </c>
      <c r="E1300" t="s">
        <v>11</v>
      </c>
      <c r="F1300">
        <v>8</v>
      </c>
      <c r="G1300" t="s">
        <v>87</v>
      </c>
      <c r="H1300">
        <v>9</v>
      </c>
      <c r="I1300" t="s">
        <v>19</v>
      </c>
      <c r="J1300" t="s">
        <v>19</v>
      </c>
      <c r="K1300" t="s">
        <v>13</v>
      </c>
      <c r="O1300" s="5"/>
    </row>
    <row r="1301" spans="2:15" x14ac:dyDescent="0.3">
      <c r="B1301" s="4">
        <v>25</v>
      </c>
      <c r="C1301" t="s">
        <v>14</v>
      </c>
      <c r="D1301" t="s">
        <v>15</v>
      </c>
      <c r="E1301" t="s">
        <v>11</v>
      </c>
      <c r="F1301">
        <v>8</v>
      </c>
      <c r="G1301" t="s">
        <v>22</v>
      </c>
      <c r="H1301">
        <v>1</v>
      </c>
      <c r="I1301" t="s">
        <v>13</v>
      </c>
      <c r="J1301" t="s">
        <v>13</v>
      </c>
      <c r="K1301" t="s">
        <v>18</v>
      </c>
      <c r="L1301" t="s">
        <v>13</v>
      </c>
      <c r="M1301" t="s">
        <v>13</v>
      </c>
      <c r="N1301" t="s">
        <v>18</v>
      </c>
      <c r="O1301" s="5" t="s">
        <v>18</v>
      </c>
    </row>
    <row r="1302" spans="2:15" x14ac:dyDescent="0.3">
      <c r="B1302" s="4">
        <v>228</v>
      </c>
      <c r="C1302" t="s">
        <v>43</v>
      </c>
      <c r="D1302" t="s">
        <v>44</v>
      </c>
      <c r="E1302" t="s">
        <v>45</v>
      </c>
      <c r="F1302">
        <v>5</v>
      </c>
      <c r="G1302" t="s">
        <v>16</v>
      </c>
      <c r="H1302">
        <v>6</v>
      </c>
      <c r="I1302" t="s">
        <v>19</v>
      </c>
      <c r="J1302" t="s">
        <v>19</v>
      </c>
      <c r="K1302" t="s">
        <v>34</v>
      </c>
      <c r="L1302" t="s">
        <v>35</v>
      </c>
      <c r="O1302" s="5"/>
    </row>
    <row r="1303" spans="2:15" x14ac:dyDescent="0.3">
      <c r="B1303" s="4">
        <v>469</v>
      </c>
      <c r="C1303" t="s">
        <v>43</v>
      </c>
      <c r="D1303" t="s">
        <v>44</v>
      </c>
      <c r="E1303" t="s">
        <v>45</v>
      </c>
      <c r="F1303">
        <v>5</v>
      </c>
      <c r="G1303" t="s">
        <v>81</v>
      </c>
      <c r="H1303">
        <v>7</v>
      </c>
      <c r="I1303" t="s">
        <v>19</v>
      </c>
      <c r="J1303" t="s">
        <v>19</v>
      </c>
      <c r="K1303" t="s">
        <v>34</v>
      </c>
      <c r="L1303" t="s">
        <v>35</v>
      </c>
      <c r="O1303" s="5"/>
    </row>
    <row r="1304" spans="2:15" x14ac:dyDescent="0.3">
      <c r="B1304" s="4">
        <v>464</v>
      </c>
      <c r="C1304" t="s">
        <v>84</v>
      </c>
      <c r="D1304" t="s">
        <v>85</v>
      </c>
      <c r="E1304" t="s">
        <v>86</v>
      </c>
      <c r="F1304">
        <v>12</v>
      </c>
      <c r="G1304" t="s">
        <v>22</v>
      </c>
      <c r="H1304">
        <v>1</v>
      </c>
      <c r="M1304" t="s">
        <v>18</v>
      </c>
      <c r="N1304" t="s">
        <v>18</v>
      </c>
      <c r="O1304" s="5" t="s">
        <v>17</v>
      </c>
    </row>
    <row r="1305" spans="2:15" x14ac:dyDescent="0.3">
      <c r="B1305" s="4">
        <v>1964</v>
      </c>
      <c r="C1305" t="s">
        <v>14</v>
      </c>
      <c r="D1305" t="s">
        <v>15</v>
      </c>
      <c r="E1305" t="s">
        <v>11</v>
      </c>
      <c r="F1305">
        <v>8</v>
      </c>
      <c r="G1305" t="s">
        <v>66</v>
      </c>
      <c r="H1305">
        <v>5</v>
      </c>
      <c r="I1305" t="s">
        <v>18</v>
      </c>
      <c r="J1305" t="s">
        <v>18</v>
      </c>
      <c r="K1305" t="s">
        <v>13</v>
      </c>
      <c r="L1305" t="s">
        <v>13</v>
      </c>
      <c r="O1305" s="5"/>
    </row>
    <row r="1306" spans="2:15" x14ac:dyDescent="0.3">
      <c r="B1306" s="4">
        <v>3064</v>
      </c>
      <c r="C1306" t="s">
        <v>14</v>
      </c>
      <c r="D1306" t="s">
        <v>15</v>
      </c>
      <c r="E1306" t="s">
        <v>11</v>
      </c>
      <c r="F1306">
        <v>8</v>
      </c>
      <c r="G1306" t="s">
        <v>89</v>
      </c>
      <c r="H1306">
        <v>11</v>
      </c>
      <c r="N1306" t="s">
        <v>18</v>
      </c>
      <c r="O1306" s="5" t="s">
        <v>18</v>
      </c>
    </row>
    <row r="1307" spans="2:15" x14ac:dyDescent="0.3">
      <c r="B1307" s="4">
        <v>1259</v>
      </c>
      <c r="C1307" t="s">
        <v>41</v>
      </c>
      <c r="D1307" t="s">
        <v>42</v>
      </c>
      <c r="E1307" t="s">
        <v>11</v>
      </c>
      <c r="F1307">
        <v>8</v>
      </c>
      <c r="G1307" t="s">
        <v>89</v>
      </c>
      <c r="H1307">
        <v>11</v>
      </c>
      <c r="M1307" t="s">
        <v>52</v>
      </c>
      <c r="N1307" t="s">
        <v>33</v>
      </c>
      <c r="O1307" s="5" t="s">
        <v>35</v>
      </c>
    </row>
    <row r="1308" spans="2:15" x14ac:dyDescent="0.3">
      <c r="B1308" s="4">
        <v>1690</v>
      </c>
      <c r="C1308" t="s">
        <v>14</v>
      </c>
      <c r="D1308" t="s">
        <v>15</v>
      </c>
      <c r="E1308" t="s">
        <v>11</v>
      </c>
      <c r="F1308">
        <v>8</v>
      </c>
      <c r="G1308" t="s">
        <v>89</v>
      </c>
      <c r="H1308">
        <v>11</v>
      </c>
      <c r="M1308" t="s">
        <v>17</v>
      </c>
      <c r="N1308" t="s">
        <v>19</v>
      </c>
      <c r="O1308" s="5" t="s">
        <v>19</v>
      </c>
    </row>
    <row r="1309" spans="2:15" x14ac:dyDescent="0.3">
      <c r="B1309" s="4">
        <v>3383</v>
      </c>
      <c r="C1309" t="s">
        <v>14</v>
      </c>
      <c r="D1309" t="s">
        <v>15</v>
      </c>
      <c r="E1309" t="s">
        <v>11</v>
      </c>
      <c r="F1309">
        <v>8</v>
      </c>
      <c r="G1309" t="s">
        <v>87</v>
      </c>
      <c r="H1309">
        <v>9</v>
      </c>
      <c r="L1309" t="s">
        <v>19</v>
      </c>
      <c r="M1309" t="s">
        <v>19</v>
      </c>
      <c r="N1309" t="s">
        <v>18</v>
      </c>
      <c r="O1309" s="5"/>
    </row>
    <row r="1310" spans="2:15" x14ac:dyDescent="0.3">
      <c r="B1310" s="4">
        <v>137</v>
      </c>
      <c r="C1310" t="s">
        <v>41</v>
      </c>
      <c r="D1310" t="s">
        <v>42</v>
      </c>
      <c r="E1310" t="s">
        <v>11</v>
      </c>
      <c r="F1310">
        <v>8</v>
      </c>
      <c r="G1310" t="s">
        <v>87</v>
      </c>
      <c r="H1310">
        <v>9</v>
      </c>
      <c r="J1310" t="s">
        <v>13</v>
      </c>
      <c r="K1310" t="s">
        <v>13</v>
      </c>
      <c r="L1310" t="s">
        <v>13</v>
      </c>
      <c r="M1310" t="s">
        <v>13</v>
      </c>
      <c r="N1310" t="s">
        <v>13</v>
      </c>
      <c r="O1310" s="5" t="s">
        <v>17</v>
      </c>
    </row>
    <row r="1311" spans="2:15" x14ac:dyDescent="0.3">
      <c r="B1311" s="4">
        <v>576</v>
      </c>
      <c r="C1311" t="s">
        <v>14</v>
      </c>
      <c r="D1311" t="s">
        <v>15</v>
      </c>
      <c r="E1311" t="s">
        <v>11</v>
      </c>
      <c r="F1311">
        <v>8</v>
      </c>
      <c r="G1311" t="s">
        <v>22</v>
      </c>
      <c r="H1311">
        <v>1</v>
      </c>
      <c r="J1311" t="s">
        <v>18</v>
      </c>
      <c r="K1311" t="s">
        <v>13</v>
      </c>
      <c r="L1311" t="s">
        <v>13</v>
      </c>
      <c r="M1311" t="s">
        <v>13</v>
      </c>
      <c r="N1311" t="s">
        <v>13</v>
      </c>
      <c r="O1311" s="5" t="s">
        <v>17</v>
      </c>
    </row>
    <row r="1312" spans="2:15" x14ac:dyDescent="0.3">
      <c r="B1312" s="4">
        <v>115</v>
      </c>
      <c r="C1312" t="s">
        <v>14</v>
      </c>
      <c r="D1312" t="s">
        <v>15</v>
      </c>
      <c r="E1312" t="s">
        <v>11</v>
      </c>
      <c r="F1312">
        <v>8</v>
      </c>
      <c r="G1312" t="s">
        <v>16</v>
      </c>
      <c r="H1312">
        <v>6</v>
      </c>
      <c r="I1312" t="s">
        <v>18</v>
      </c>
      <c r="J1312" t="s">
        <v>17</v>
      </c>
      <c r="K1312" t="s">
        <v>13</v>
      </c>
      <c r="L1312" t="s">
        <v>13</v>
      </c>
      <c r="M1312" t="s">
        <v>13</v>
      </c>
      <c r="N1312" t="s">
        <v>17</v>
      </c>
      <c r="O1312" s="5" t="s">
        <v>17</v>
      </c>
    </row>
    <row r="1313" spans="2:15" x14ac:dyDescent="0.3">
      <c r="B1313" s="4">
        <v>1142</v>
      </c>
      <c r="C1313" t="s">
        <v>75</v>
      </c>
      <c r="D1313" t="s">
        <v>76</v>
      </c>
      <c r="E1313" t="s">
        <v>77</v>
      </c>
      <c r="F1313">
        <v>7</v>
      </c>
      <c r="G1313" t="s">
        <v>81</v>
      </c>
      <c r="H1313">
        <v>7</v>
      </c>
      <c r="M1313" t="s">
        <v>13</v>
      </c>
      <c r="N1313" t="s">
        <v>13</v>
      </c>
      <c r="O1313" s="5" t="s">
        <v>13</v>
      </c>
    </row>
    <row r="1314" spans="2:15" x14ac:dyDescent="0.3">
      <c r="B1314" s="4">
        <v>1450</v>
      </c>
      <c r="C1314" t="s">
        <v>46</v>
      </c>
      <c r="D1314" t="s">
        <v>47</v>
      </c>
      <c r="E1314" t="s">
        <v>11</v>
      </c>
      <c r="F1314">
        <v>8</v>
      </c>
      <c r="G1314" t="s">
        <v>22</v>
      </c>
      <c r="H1314">
        <v>1</v>
      </c>
      <c r="M1314" t="s">
        <v>13</v>
      </c>
      <c r="N1314" t="s">
        <v>13</v>
      </c>
      <c r="O1314" s="5"/>
    </row>
    <row r="1315" spans="2:15" x14ac:dyDescent="0.3">
      <c r="B1315" s="4">
        <v>3564</v>
      </c>
      <c r="C1315" t="s">
        <v>14</v>
      </c>
      <c r="D1315" t="s">
        <v>15</v>
      </c>
      <c r="E1315" t="s">
        <v>11</v>
      </c>
      <c r="F1315">
        <v>8</v>
      </c>
      <c r="G1315" t="s">
        <v>88</v>
      </c>
      <c r="H1315">
        <v>12</v>
      </c>
      <c r="M1315" t="s">
        <v>18</v>
      </c>
      <c r="N1315" t="s">
        <v>18</v>
      </c>
      <c r="O1315" s="5" t="s">
        <v>17</v>
      </c>
    </row>
    <row r="1316" spans="2:15" x14ac:dyDescent="0.3">
      <c r="B1316" s="4">
        <v>1462</v>
      </c>
      <c r="C1316" t="s">
        <v>59</v>
      </c>
      <c r="D1316" t="s">
        <v>60</v>
      </c>
      <c r="E1316" t="s">
        <v>11</v>
      </c>
      <c r="F1316">
        <v>8</v>
      </c>
      <c r="G1316" t="s">
        <v>89</v>
      </c>
      <c r="H1316">
        <v>11</v>
      </c>
      <c r="J1316" t="s">
        <v>18</v>
      </c>
      <c r="K1316" t="s">
        <v>18</v>
      </c>
      <c r="L1316" t="s">
        <v>18</v>
      </c>
      <c r="M1316" t="s">
        <v>17</v>
      </c>
      <c r="N1316" t="s">
        <v>17</v>
      </c>
      <c r="O1316" s="5"/>
    </row>
    <row r="1317" spans="2:15" x14ac:dyDescent="0.3">
      <c r="B1317" s="4">
        <v>585</v>
      </c>
      <c r="C1317" t="s">
        <v>9</v>
      </c>
      <c r="D1317" t="s">
        <v>10</v>
      </c>
      <c r="E1317" t="s">
        <v>11</v>
      </c>
      <c r="F1317">
        <v>8</v>
      </c>
      <c r="G1317" t="s">
        <v>89</v>
      </c>
      <c r="H1317">
        <v>11</v>
      </c>
      <c r="I1317" t="s">
        <v>19</v>
      </c>
      <c r="J1317" t="s">
        <v>17</v>
      </c>
      <c r="K1317" t="s">
        <v>18</v>
      </c>
      <c r="L1317" t="s">
        <v>18</v>
      </c>
      <c r="M1317" t="s">
        <v>18</v>
      </c>
      <c r="N1317" t="s">
        <v>17</v>
      </c>
      <c r="O1317" s="5" t="s">
        <v>19</v>
      </c>
    </row>
    <row r="1318" spans="2:15" x14ac:dyDescent="0.3">
      <c r="B1318" s="4">
        <v>1</v>
      </c>
      <c r="C1318" t="s">
        <v>27</v>
      </c>
      <c r="D1318" t="s">
        <v>28</v>
      </c>
      <c r="E1318" t="s">
        <v>29</v>
      </c>
      <c r="F1318">
        <v>6</v>
      </c>
      <c r="G1318" t="s">
        <v>88</v>
      </c>
      <c r="H1318">
        <v>12</v>
      </c>
      <c r="L1318" t="s">
        <v>13</v>
      </c>
      <c r="M1318" t="s">
        <v>18</v>
      </c>
      <c r="N1318" t="s">
        <v>13</v>
      </c>
      <c r="O1318" s="5" t="s">
        <v>18</v>
      </c>
    </row>
    <row r="1319" spans="2:15" x14ac:dyDescent="0.3">
      <c r="B1319" s="4">
        <v>1551</v>
      </c>
      <c r="C1319" t="s">
        <v>46</v>
      </c>
      <c r="D1319" t="s">
        <v>47</v>
      </c>
      <c r="E1319" t="s">
        <v>11</v>
      </c>
      <c r="F1319">
        <v>8</v>
      </c>
      <c r="G1319" t="s">
        <v>88</v>
      </c>
      <c r="H1319">
        <v>12</v>
      </c>
      <c r="N1319" t="s">
        <v>19</v>
      </c>
      <c r="O1319" s="5" t="s">
        <v>19</v>
      </c>
    </row>
    <row r="1320" spans="2:15" x14ac:dyDescent="0.3">
      <c r="B1320" s="4">
        <v>15</v>
      </c>
      <c r="C1320" t="s">
        <v>9</v>
      </c>
      <c r="D1320" t="s">
        <v>10</v>
      </c>
      <c r="E1320" t="s">
        <v>11</v>
      </c>
      <c r="F1320">
        <v>8</v>
      </c>
      <c r="G1320" t="s">
        <v>55</v>
      </c>
      <c r="H1320">
        <v>2</v>
      </c>
      <c r="M1320" t="s">
        <v>13</v>
      </c>
      <c r="N1320" t="s">
        <v>18</v>
      </c>
      <c r="O1320" s="5" t="s">
        <v>13</v>
      </c>
    </row>
    <row r="1321" spans="2:15" x14ac:dyDescent="0.3">
      <c r="B1321" s="4">
        <v>53</v>
      </c>
      <c r="C1321" t="s">
        <v>67</v>
      </c>
      <c r="D1321" t="s">
        <v>68</v>
      </c>
      <c r="E1321" t="s">
        <v>69</v>
      </c>
      <c r="F1321">
        <v>11</v>
      </c>
      <c r="G1321" t="s">
        <v>22</v>
      </c>
      <c r="H1321">
        <v>1</v>
      </c>
      <c r="I1321" t="s">
        <v>17</v>
      </c>
      <c r="J1321" t="s">
        <v>18</v>
      </c>
      <c r="K1321" t="s">
        <v>17</v>
      </c>
      <c r="L1321" t="s">
        <v>17</v>
      </c>
      <c r="M1321" t="s">
        <v>17</v>
      </c>
      <c r="N1321" t="s">
        <v>17</v>
      </c>
      <c r="O1321" s="5" t="s">
        <v>18</v>
      </c>
    </row>
    <row r="1322" spans="2:15" x14ac:dyDescent="0.3">
      <c r="B1322" s="4">
        <v>359</v>
      </c>
      <c r="C1322" t="s">
        <v>14</v>
      </c>
      <c r="D1322" t="s">
        <v>15</v>
      </c>
      <c r="E1322" t="s">
        <v>11</v>
      </c>
      <c r="F1322">
        <v>8</v>
      </c>
      <c r="G1322" t="s">
        <v>54</v>
      </c>
      <c r="H1322">
        <v>8</v>
      </c>
      <c r="M1322" t="s">
        <v>18</v>
      </c>
      <c r="N1322" t="s">
        <v>19</v>
      </c>
      <c r="O1322" s="5" t="s">
        <v>17</v>
      </c>
    </row>
    <row r="1323" spans="2:15" x14ac:dyDescent="0.3">
      <c r="B1323" s="4">
        <v>70</v>
      </c>
      <c r="C1323" t="s">
        <v>49</v>
      </c>
      <c r="D1323" t="s">
        <v>50</v>
      </c>
      <c r="E1323" t="s">
        <v>51</v>
      </c>
      <c r="F1323">
        <v>3</v>
      </c>
      <c r="G1323" t="s">
        <v>66</v>
      </c>
      <c r="H1323">
        <v>5</v>
      </c>
      <c r="J1323" t="s">
        <v>13</v>
      </c>
      <c r="K1323" t="s">
        <v>17</v>
      </c>
      <c r="O1323" s="5"/>
    </row>
    <row r="1324" spans="2:15" x14ac:dyDescent="0.3">
      <c r="B1324" s="4">
        <v>100</v>
      </c>
      <c r="C1324" t="s">
        <v>97</v>
      </c>
      <c r="D1324" t="s">
        <v>79</v>
      </c>
      <c r="E1324" t="s">
        <v>110</v>
      </c>
      <c r="F1324">
        <v>9</v>
      </c>
      <c r="G1324" t="s">
        <v>16</v>
      </c>
      <c r="H1324">
        <v>6</v>
      </c>
      <c r="M1324" t="s">
        <v>18</v>
      </c>
      <c r="N1324" t="s">
        <v>13</v>
      </c>
      <c r="O1324" s="5"/>
    </row>
    <row r="1325" spans="2:15" x14ac:dyDescent="0.3">
      <c r="B1325" s="4">
        <v>745</v>
      </c>
      <c r="C1325" t="s">
        <v>49</v>
      </c>
      <c r="D1325" t="s">
        <v>50</v>
      </c>
      <c r="E1325" t="s">
        <v>51</v>
      </c>
      <c r="F1325">
        <v>3</v>
      </c>
      <c r="G1325" t="s">
        <v>48</v>
      </c>
      <c r="H1325">
        <v>16</v>
      </c>
      <c r="M1325" t="s">
        <v>13</v>
      </c>
      <c r="N1325" t="s">
        <v>18</v>
      </c>
      <c r="O1325" s="5"/>
    </row>
    <row r="1326" spans="2:15" x14ac:dyDescent="0.3">
      <c r="B1326" s="4">
        <v>2282</v>
      </c>
      <c r="C1326" t="s">
        <v>49</v>
      </c>
      <c r="D1326" t="s">
        <v>50</v>
      </c>
      <c r="E1326" t="s">
        <v>51</v>
      </c>
      <c r="F1326">
        <v>3</v>
      </c>
      <c r="G1326" t="s">
        <v>81</v>
      </c>
      <c r="H1326">
        <v>7</v>
      </c>
      <c r="M1326" t="s">
        <v>18</v>
      </c>
      <c r="N1326" t="s">
        <v>17</v>
      </c>
      <c r="O1326" s="5" t="s">
        <v>17</v>
      </c>
    </row>
    <row r="1327" spans="2:15" x14ac:dyDescent="0.3">
      <c r="B1327" s="4">
        <v>1149</v>
      </c>
      <c r="C1327" t="s">
        <v>49</v>
      </c>
      <c r="D1327" t="s">
        <v>50</v>
      </c>
      <c r="E1327" t="s">
        <v>51</v>
      </c>
      <c r="F1327">
        <v>3</v>
      </c>
      <c r="G1327" t="s">
        <v>54</v>
      </c>
      <c r="H1327">
        <v>8</v>
      </c>
      <c r="N1327" t="s">
        <v>52</v>
      </c>
      <c r="O1327" s="5" t="s">
        <v>13</v>
      </c>
    </row>
    <row r="1328" spans="2:15" x14ac:dyDescent="0.3">
      <c r="B1328" s="4">
        <v>673</v>
      </c>
      <c r="C1328" t="s">
        <v>36</v>
      </c>
      <c r="D1328" t="s">
        <v>37</v>
      </c>
      <c r="E1328" t="s">
        <v>11</v>
      </c>
      <c r="F1328">
        <v>8</v>
      </c>
      <c r="G1328" t="s">
        <v>54</v>
      </c>
      <c r="H1328">
        <v>8</v>
      </c>
      <c r="I1328" t="s">
        <v>17</v>
      </c>
      <c r="J1328" t="s">
        <v>17</v>
      </c>
      <c r="K1328" t="s">
        <v>17</v>
      </c>
      <c r="L1328" t="s">
        <v>33</v>
      </c>
      <c r="M1328" t="s">
        <v>33</v>
      </c>
      <c r="O1328" s="5"/>
    </row>
    <row r="1329" spans="2:15" x14ac:dyDescent="0.3">
      <c r="B1329" s="4">
        <v>169</v>
      </c>
      <c r="C1329" t="s">
        <v>46</v>
      </c>
      <c r="D1329" t="s">
        <v>47</v>
      </c>
      <c r="E1329" t="s">
        <v>11</v>
      </c>
      <c r="F1329">
        <v>8</v>
      </c>
      <c r="G1329" t="s">
        <v>89</v>
      </c>
      <c r="H1329">
        <v>11</v>
      </c>
      <c r="J1329" t="s">
        <v>18</v>
      </c>
      <c r="K1329" t="s">
        <v>13</v>
      </c>
      <c r="L1329" t="s">
        <v>13</v>
      </c>
      <c r="M1329" t="s">
        <v>13</v>
      </c>
      <c r="O1329" s="5"/>
    </row>
    <row r="1330" spans="2:15" x14ac:dyDescent="0.3">
      <c r="B1330" s="4">
        <v>715</v>
      </c>
      <c r="C1330" t="s">
        <v>46</v>
      </c>
      <c r="D1330" t="s">
        <v>47</v>
      </c>
      <c r="E1330" t="s">
        <v>11</v>
      </c>
      <c r="F1330">
        <v>8</v>
      </c>
      <c r="G1330" t="s">
        <v>58</v>
      </c>
      <c r="H1330">
        <v>17</v>
      </c>
      <c r="N1330" t="s">
        <v>18</v>
      </c>
      <c r="O1330" s="5" t="s">
        <v>18</v>
      </c>
    </row>
    <row r="1331" spans="2:15" x14ac:dyDescent="0.3">
      <c r="B1331" s="4">
        <v>451</v>
      </c>
      <c r="C1331" t="s">
        <v>27</v>
      </c>
      <c r="D1331" t="s">
        <v>28</v>
      </c>
      <c r="E1331" t="s">
        <v>29</v>
      </c>
      <c r="F1331">
        <v>6</v>
      </c>
      <c r="G1331" t="s">
        <v>58</v>
      </c>
      <c r="H1331">
        <v>17</v>
      </c>
      <c r="M1331" t="s">
        <v>116</v>
      </c>
      <c r="N1331" t="s">
        <v>13</v>
      </c>
      <c r="O1331" s="5" t="s">
        <v>13</v>
      </c>
    </row>
    <row r="1332" spans="2:15" x14ac:dyDescent="0.3">
      <c r="B1332" s="4">
        <v>11</v>
      </c>
      <c r="C1332" t="s">
        <v>49</v>
      </c>
      <c r="D1332" t="s">
        <v>50</v>
      </c>
      <c r="E1332" t="s">
        <v>51</v>
      </c>
      <c r="F1332">
        <v>3</v>
      </c>
      <c r="G1332" t="s">
        <v>58</v>
      </c>
      <c r="H1332">
        <v>17</v>
      </c>
      <c r="K1332" t="s">
        <v>19</v>
      </c>
      <c r="L1332" t="s">
        <v>52</v>
      </c>
      <c r="O1332" s="5"/>
    </row>
    <row r="1333" spans="2:15" x14ac:dyDescent="0.3">
      <c r="B1333" s="4">
        <v>14</v>
      </c>
      <c r="C1333" t="s">
        <v>14</v>
      </c>
      <c r="D1333" t="s">
        <v>15</v>
      </c>
      <c r="E1333" t="s">
        <v>11</v>
      </c>
      <c r="F1333">
        <v>8</v>
      </c>
      <c r="G1333" t="s">
        <v>58</v>
      </c>
      <c r="H1333">
        <v>17</v>
      </c>
      <c r="I1333" t="s">
        <v>13</v>
      </c>
      <c r="J1333" t="s">
        <v>13</v>
      </c>
      <c r="K1333" t="s">
        <v>13</v>
      </c>
      <c r="L1333" t="s">
        <v>13</v>
      </c>
      <c r="M1333" t="s">
        <v>13</v>
      </c>
      <c r="N1333" t="s">
        <v>13</v>
      </c>
      <c r="O1333" s="5" t="s">
        <v>13</v>
      </c>
    </row>
    <row r="1334" spans="2:15" x14ac:dyDescent="0.3">
      <c r="B1334" s="4">
        <v>128</v>
      </c>
      <c r="C1334" t="s">
        <v>63</v>
      </c>
      <c r="D1334" t="s">
        <v>64</v>
      </c>
      <c r="E1334" t="s">
        <v>65</v>
      </c>
      <c r="F1334">
        <v>14</v>
      </c>
      <c r="G1334" t="s">
        <v>55</v>
      </c>
      <c r="H1334">
        <v>2</v>
      </c>
      <c r="I1334" t="s">
        <v>13</v>
      </c>
      <c r="J1334" t="s">
        <v>18</v>
      </c>
      <c r="K1334" t="s">
        <v>18</v>
      </c>
      <c r="L1334" t="s">
        <v>13</v>
      </c>
      <c r="M1334" t="s">
        <v>17</v>
      </c>
      <c r="N1334" t="s">
        <v>18</v>
      </c>
      <c r="O1334" s="5" t="s">
        <v>17</v>
      </c>
    </row>
    <row r="1335" spans="2:15" x14ac:dyDescent="0.3">
      <c r="B1335" s="4">
        <v>954</v>
      </c>
      <c r="C1335" t="s">
        <v>49</v>
      </c>
      <c r="D1335" t="s">
        <v>50</v>
      </c>
      <c r="E1335" t="s">
        <v>51</v>
      </c>
      <c r="F1335">
        <v>3</v>
      </c>
      <c r="G1335" t="s">
        <v>55</v>
      </c>
      <c r="H1335">
        <v>2</v>
      </c>
      <c r="N1335" t="s">
        <v>13</v>
      </c>
      <c r="O1335" s="5" t="s">
        <v>13</v>
      </c>
    </row>
    <row r="1336" spans="2:15" x14ac:dyDescent="0.3">
      <c r="B1336" s="4">
        <v>3177</v>
      </c>
      <c r="C1336" t="s">
        <v>23</v>
      </c>
      <c r="D1336" t="s">
        <v>24</v>
      </c>
      <c r="E1336" t="s">
        <v>25</v>
      </c>
      <c r="F1336">
        <v>1</v>
      </c>
      <c r="G1336" t="s">
        <v>66</v>
      </c>
      <c r="H1336">
        <v>5</v>
      </c>
      <c r="N1336" t="s">
        <v>17</v>
      </c>
      <c r="O1336" s="5" t="s">
        <v>18</v>
      </c>
    </row>
    <row r="1337" spans="2:15" x14ac:dyDescent="0.3">
      <c r="B1337" s="4">
        <v>3362</v>
      </c>
      <c r="C1337" t="s">
        <v>14</v>
      </c>
      <c r="D1337" t="s">
        <v>15</v>
      </c>
      <c r="E1337" t="s">
        <v>11</v>
      </c>
      <c r="F1337">
        <v>8</v>
      </c>
      <c r="G1337" t="s">
        <v>66</v>
      </c>
      <c r="H1337">
        <v>5</v>
      </c>
      <c r="L1337" t="s">
        <v>13</v>
      </c>
      <c r="M1337" t="s">
        <v>52</v>
      </c>
      <c r="N1337" t="s">
        <v>33</v>
      </c>
      <c r="O1337" s="5" t="s">
        <v>35</v>
      </c>
    </row>
    <row r="1338" spans="2:15" x14ac:dyDescent="0.3">
      <c r="B1338" s="4">
        <v>889</v>
      </c>
      <c r="C1338" t="s">
        <v>46</v>
      </c>
      <c r="D1338" t="s">
        <v>47</v>
      </c>
      <c r="E1338" t="s">
        <v>11</v>
      </c>
      <c r="F1338">
        <v>8</v>
      </c>
      <c r="G1338" t="s">
        <v>89</v>
      </c>
      <c r="H1338">
        <v>11</v>
      </c>
      <c r="M1338" t="s">
        <v>13</v>
      </c>
      <c r="N1338" t="s">
        <v>13</v>
      </c>
      <c r="O1338" s="5" t="s">
        <v>17</v>
      </c>
    </row>
    <row r="1339" spans="2:15" x14ac:dyDescent="0.3">
      <c r="B1339" s="4">
        <v>1458</v>
      </c>
      <c r="C1339" t="s">
        <v>23</v>
      </c>
      <c r="D1339" t="s">
        <v>24</v>
      </c>
      <c r="E1339" t="s">
        <v>25</v>
      </c>
      <c r="F1339">
        <v>1</v>
      </c>
      <c r="G1339" t="s">
        <v>89</v>
      </c>
      <c r="H1339">
        <v>11</v>
      </c>
      <c r="L1339" t="s">
        <v>13</v>
      </c>
      <c r="M1339" t="s">
        <v>13</v>
      </c>
      <c r="N1339" t="s">
        <v>13</v>
      </c>
      <c r="O1339" s="5" t="s">
        <v>18</v>
      </c>
    </row>
    <row r="1340" spans="2:15" x14ac:dyDescent="0.3">
      <c r="B1340" s="4">
        <v>724</v>
      </c>
      <c r="C1340" t="s">
        <v>43</v>
      </c>
      <c r="D1340" t="s">
        <v>44</v>
      </c>
      <c r="E1340" t="s">
        <v>45</v>
      </c>
      <c r="F1340">
        <v>5</v>
      </c>
      <c r="G1340" t="s">
        <v>89</v>
      </c>
      <c r="H1340">
        <v>11</v>
      </c>
      <c r="I1340" t="s">
        <v>18</v>
      </c>
      <c r="J1340" t="s">
        <v>13</v>
      </c>
      <c r="K1340" t="s">
        <v>13</v>
      </c>
      <c r="L1340" t="s">
        <v>18</v>
      </c>
      <c r="M1340" t="s">
        <v>18</v>
      </c>
      <c r="N1340" t="s">
        <v>33</v>
      </c>
      <c r="O1340" s="5" t="s">
        <v>19</v>
      </c>
    </row>
    <row r="1341" spans="2:15" x14ac:dyDescent="0.3">
      <c r="B1341" s="4">
        <v>294</v>
      </c>
      <c r="C1341" t="s">
        <v>14</v>
      </c>
      <c r="D1341" t="s">
        <v>15</v>
      </c>
      <c r="E1341" t="s">
        <v>11</v>
      </c>
      <c r="F1341">
        <v>8</v>
      </c>
      <c r="G1341" t="s">
        <v>22</v>
      </c>
      <c r="H1341">
        <v>1</v>
      </c>
      <c r="M1341" t="s">
        <v>18</v>
      </c>
      <c r="N1341" t="s">
        <v>17</v>
      </c>
      <c r="O1341" s="5" t="s">
        <v>13</v>
      </c>
    </row>
    <row r="1342" spans="2:15" x14ac:dyDescent="0.3">
      <c r="B1342" s="4">
        <v>1746</v>
      </c>
      <c r="C1342" t="s">
        <v>9</v>
      </c>
      <c r="D1342" t="s">
        <v>10</v>
      </c>
      <c r="E1342" t="s">
        <v>11</v>
      </c>
      <c r="F1342">
        <v>8</v>
      </c>
      <c r="G1342" t="s">
        <v>54</v>
      </c>
      <c r="H1342">
        <v>8</v>
      </c>
      <c r="M1342" t="s">
        <v>17</v>
      </c>
      <c r="N1342" t="s">
        <v>17</v>
      </c>
      <c r="O1342" s="5" t="s">
        <v>19</v>
      </c>
    </row>
    <row r="1343" spans="2:15" x14ac:dyDescent="0.3">
      <c r="B1343" s="4">
        <v>19</v>
      </c>
      <c r="C1343" t="s">
        <v>94</v>
      </c>
      <c r="D1343" t="s">
        <v>95</v>
      </c>
      <c r="E1343" t="s">
        <v>96</v>
      </c>
      <c r="F1343">
        <v>13</v>
      </c>
      <c r="G1343" t="s">
        <v>16</v>
      </c>
      <c r="H1343">
        <v>6</v>
      </c>
      <c r="M1343" t="s">
        <v>17</v>
      </c>
      <c r="N1343" t="s">
        <v>19</v>
      </c>
      <c r="O1343" s="5" t="s">
        <v>17</v>
      </c>
    </row>
    <row r="1344" spans="2:15" x14ac:dyDescent="0.3">
      <c r="B1344" s="4">
        <v>25</v>
      </c>
      <c r="C1344" t="s">
        <v>27</v>
      </c>
      <c r="D1344" t="s">
        <v>28</v>
      </c>
      <c r="E1344" t="s">
        <v>29</v>
      </c>
      <c r="F1344">
        <v>6</v>
      </c>
      <c r="G1344" t="s">
        <v>40</v>
      </c>
      <c r="H1344">
        <v>3</v>
      </c>
      <c r="I1344" t="s">
        <v>13</v>
      </c>
      <c r="J1344" t="s">
        <v>13</v>
      </c>
      <c r="K1344" t="s">
        <v>13</v>
      </c>
      <c r="L1344" t="s">
        <v>13</v>
      </c>
      <c r="M1344" t="s">
        <v>13</v>
      </c>
      <c r="N1344" t="s">
        <v>18</v>
      </c>
      <c r="O1344" s="5" t="s">
        <v>13</v>
      </c>
    </row>
    <row r="1345" spans="2:15" x14ac:dyDescent="0.3">
      <c r="B1345" s="4">
        <v>925</v>
      </c>
      <c r="C1345" t="s">
        <v>46</v>
      </c>
      <c r="D1345" t="s">
        <v>47</v>
      </c>
      <c r="E1345" t="s">
        <v>11</v>
      </c>
      <c r="F1345">
        <v>8</v>
      </c>
      <c r="G1345" t="s">
        <v>66</v>
      </c>
      <c r="H1345">
        <v>5</v>
      </c>
      <c r="M1345" t="s">
        <v>13</v>
      </c>
      <c r="N1345" t="s">
        <v>18</v>
      </c>
      <c r="O1345" s="5" t="s">
        <v>13</v>
      </c>
    </row>
    <row r="1346" spans="2:15" x14ac:dyDescent="0.3">
      <c r="B1346" s="4">
        <v>43</v>
      </c>
      <c r="C1346" t="s">
        <v>49</v>
      </c>
      <c r="D1346" t="s">
        <v>50</v>
      </c>
      <c r="E1346" t="s">
        <v>51</v>
      </c>
      <c r="F1346">
        <v>3</v>
      </c>
      <c r="G1346" t="s">
        <v>16</v>
      </c>
      <c r="H1346">
        <v>6</v>
      </c>
      <c r="J1346" t="s">
        <v>13</v>
      </c>
      <c r="K1346" t="s">
        <v>13</v>
      </c>
      <c r="L1346" t="s">
        <v>18</v>
      </c>
      <c r="M1346" t="s">
        <v>13</v>
      </c>
      <c r="N1346" t="s">
        <v>17</v>
      </c>
      <c r="O1346" s="5" t="s">
        <v>17</v>
      </c>
    </row>
    <row r="1347" spans="2:15" x14ac:dyDescent="0.3">
      <c r="B1347" s="4">
        <v>104</v>
      </c>
      <c r="C1347" t="s">
        <v>94</v>
      </c>
      <c r="D1347" t="s">
        <v>95</v>
      </c>
      <c r="E1347" t="s">
        <v>96</v>
      </c>
      <c r="F1347">
        <v>13</v>
      </c>
      <c r="G1347" t="s">
        <v>48</v>
      </c>
      <c r="H1347">
        <v>16</v>
      </c>
      <c r="L1347" t="s">
        <v>13</v>
      </c>
      <c r="M1347" t="s">
        <v>13</v>
      </c>
      <c r="N1347" t="s">
        <v>18</v>
      </c>
      <c r="O1347" s="5" t="s">
        <v>18</v>
      </c>
    </row>
    <row r="1348" spans="2:15" x14ac:dyDescent="0.3">
      <c r="B1348" s="4">
        <v>359</v>
      </c>
      <c r="C1348" t="s">
        <v>84</v>
      </c>
      <c r="D1348" t="s">
        <v>85</v>
      </c>
      <c r="E1348" t="s">
        <v>86</v>
      </c>
      <c r="F1348">
        <v>12</v>
      </c>
      <c r="G1348" t="s">
        <v>81</v>
      </c>
      <c r="H1348">
        <v>7</v>
      </c>
      <c r="J1348" t="s">
        <v>13</v>
      </c>
      <c r="K1348" t="s">
        <v>13</v>
      </c>
      <c r="L1348" t="s">
        <v>13</v>
      </c>
      <c r="M1348" t="s">
        <v>13</v>
      </c>
      <c r="N1348" t="s">
        <v>13</v>
      </c>
      <c r="O1348" s="5"/>
    </row>
    <row r="1349" spans="2:15" x14ac:dyDescent="0.3">
      <c r="B1349" s="4">
        <v>278</v>
      </c>
      <c r="C1349" t="s">
        <v>46</v>
      </c>
      <c r="D1349" t="s">
        <v>47</v>
      </c>
      <c r="E1349" t="s">
        <v>11</v>
      </c>
      <c r="F1349">
        <v>8</v>
      </c>
      <c r="G1349" t="s">
        <v>54</v>
      </c>
      <c r="H1349">
        <v>8</v>
      </c>
      <c r="I1349" t="s">
        <v>17</v>
      </c>
      <c r="J1349" t="s">
        <v>18</v>
      </c>
      <c r="K1349" t="s">
        <v>19</v>
      </c>
      <c r="L1349" t="s">
        <v>19</v>
      </c>
      <c r="O1349" s="5"/>
    </row>
    <row r="1350" spans="2:15" x14ac:dyDescent="0.3">
      <c r="B1350" s="4">
        <v>721</v>
      </c>
      <c r="C1350" t="s">
        <v>41</v>
      </c>
      <c r="D1350" t="s">
        <v>42</v>
      </c>
      <c r="E1350" t="s">
        <v>11</v>
      </c>
      <c r="F1350">
        <v>8</v>
      </c>
      <c r="G1350" t="s">
        <v>54</v>
      </c>
      <c r="H1350">
        <v>8</v>
      </c>
      <c r="J1350" t="s">
        <v>17</v>
      </c>
      <c r="K1350" t="s">
        <v>19</v>
      </c>
      <c r="L1350" t="s">
        <v>18</v>
      </c>
      <c r="M1350" t="s">
        <v>19</v>
      </c>
      <c r="N1350" t="s">
        <v>18</v>
      </c>
      <c r="O1350" s="5" t="s">
        <v>18</v>
      </c>
    </row>
    <row r="1351" spans="2:15" x14ac:dyDescent="0.3">
      <c r="B1351" s="4">
        <v>44</v>
      </c>
      <c r="C1351" t="s">
        <v>9</v>
      </c>
      <c r="D1351" t="s">
        <v>10</v>
      </c>
      <c r="E1351" t="s">
        <v>11</v>
      </c>
      <c r="F1351">
        <v>8</v>
      </c>
      <c r="G1351" t="s">
        <v>22</v>
      </c>
      <c r="H1351">
        <v>1</v>
      </c>
      <c r="J1351" t="s">
        <v>13</v>
      </c>
      <c r="K1351" t="s">
        <v>13</v>
      </c>
      <c r="L1351" t="s">
        <v>13</v>
      </c>
      <c r="M1351" t="s">
        <v>13</v>
      </c>
      <c r="N1351" t="s">
        <v>13</v>
      </c>
      <c r="O1351" s="5" t="s">
        <v>18</v>
      </c>
    </row>
    <row r="1352" spans="2:15" x14ac:dyDescent="0.3">
      <c r="B1352" s="4">
        <v>1400</v>
      </c>
      <c r="C1352" t="s">
        <v>49</v>
      </c>
      <c r="D1352" t="s">
        <v>50</v>
      </c>
      <c r="E1352" t="s">
        <v>51</v>
      </c>
      <c r="F1352">
        <v>3</v>
      </c>
      <c r="G1352" t="s">
        <v>22</v>
      </c>
      <c r="H1352">
        <v>1</v>
      </c>
      <c r="M1352" t="s">
        <v>18</v>
      </c>
      <c r="N1352" t="s">
        <v>18</v>
      </c>
      <c r="O1352" s="5" t="s">
        <v>19</v>
      </c>
    </row>
    <row r="1353" spans="2:15" x14ac:dyDescent="0.3">
      <c r="B1353" s="4">
        <v>2121</v>
      </c>
      <c r="C1353" t="s">
        <v>31</v>
      </c>
      <c r="D1353" t="s">
        <v>32</v>
      </c>
      <c r="E1353" t="s">
        <v>11</v>
      </c>
      <c r="F1353">
        <v>8</v>
      </c>
      <c r="G1353" t="s">
        <v>22</v>
      </c>
      <c r="H1353">
        <v>1</v>
      </c>
      <c r="M1353" t="s">
        <v>18</v>
      </c>
      <c r="N1353" t="s">
        <v>18</v>
      </c>
      <c r="O1353" s="5" t="s">
        <v>19</v>
      </c>
    </row>
    <row r="1354" spans="2:15" x14ac:dyDescent="0.3">
      <c r="B1354" s="4">
        <v>393</v>
      </c>
      <c r="C1354" t="s">
        <v>14</v>
      </c>
      <c r="D1354" t="s">
        <v>15</v>
      </c>
      <c r="E1354" t="s">
        <v>11</v>
      </c>
      <c r="F1354">
        <v>8</v>
      </c>
      <c r="G1354" t="s">
        <v>55</v>
      </c>
      <c r="H1354">
        <v>2</v>
      </c>
      <c r="L1354" t="s">
        <v>13</v>
      </c>
      <c r="M1354" t="s">
        <v>13</v>
      </c>
      <c r="N1354" t="s">
        <v>13</v>
      </c>
      <c r="O1354" s="5" t="s">
        <v>13</v>
      </c>
    </row>
    <row r="1355" spans="2:15" x14ac:dyDescent="0.3">
      <c r="B1355" s="4">
        <v>134</v>
      </c>
      <c r="C1355" t="s">
        <v>41</v>
      </c>
      <c r="D1355" t="s">
        <v>42</v>
      </c>
      <c r="E1355" t="s">
        <v>11</v>
      </c>
      <c r="F1355">
        <v>8</v>
      </c>
      <c r="G1355" t="s">
        <v>81</v>
      </c>
      <c r="H1355">
        <v>7</v>
      </c>
      <c r="I1355" t="s">
        <v>19</v>
      </c>
      <c r="J1355" t="s">
        <v>18</v>
      </c>
      <c r="K1355" t="s">
        <v>17</v>
      </c>
      <c r="L1355" t="s">
        <v>18</v>
      </c>
      <c r="M1355" t="s">
        <v>18</v>
      </c>
      <c r="N1355" t="s">
        <v>13</v>
      </c>
      <c r="O1355" s="5" t="s">
        <v>17</v>
      </c>
    </row>
    <row r="1356" spans="2:15" x14ac:dyDescent="0.3">
      <c r="B1356" s="4">
        <v>1648</v>
      </c>
      <c r="C1356" t="s">
        <v>14</v>
      </c>
      <c r="D1356" t="s">
        <v>15</v>
      </c>
      <c r="E1356" t="s">
        <v>11</v>
      </c>
      <c r="F1356">
        <v>8</v>
      </c>
      <c r="G1356" t="s">
        <v>48</v>
      </c>
      <c r="H1356">
        <v>16</v>
      </c>
      <c r="N1356" t="s">
        <v>17</v>
      </c>
      <c r="O1356" s="5" t="s">
        <v>13</v>
      </c>
    </row>
    <row r="1357" spans="2:15" x14ac:dyDescent="0.3">
      <c r="B1357" s="4">
        <v>283</v>
      </c>
      <c r="C1357" t="s">
        <v>49</v>
      </c>
      <c r="D1357" t="s">
        <v>50</v>
      </c>
      <c r="E1357" t="s">
        <v>51</v>
      </c>
      <c r="F1357">
        <v>3</v>
      </c>
      <c r="G1357" t="s">
        <v>87</v>
      </c>
      <c r="H1357">
        <v>9</v>
      </c>
      <c r="K1357" t="s">
        <v>13</v>
      </c>
      <c r="L1357" t="s">
        <v>13</v>
      </c>
      <c r="M1357" t="s">
        <v>13</v>
      </c>
      <c r="O1357" s="5"/>
    </row>
    <row r="1358" spans="2:15" x14ac:dyDescent="0.3">
      <c r="B1358" s="4">
        <v>19</v>
      </c>
      <c r="C1358" t="s">
        <v>46</v>
      </c>
      <c r="D1358" t="s">
        <v>47</v>
      </c>
      <c r="E1358" t="s">
        <v>11</v>
      </c>
      <c r="F1358">
        <v>8</v>
      </c>
      <c r="G1358" t="s">
        <v>87</v>
      </c>
      <c r="H1358">
        <v>9</v>
      </c>
      <c r="J1358" t="s">
        <v>18</v>
      </c>
      <c r="K1358" t="s">
        <v>13</v>
      </c>
      <c r="L1358" t="s">
        <v>17</v>
      </c>
      <c r="M1358" t="s">
        <v>17</v>
      </c>
      <c r="N1358" t="s">
        <v>18</v>
      </c>
      <c r="O1358" s="5"/>
    </row>
    <row r="1359" spans="2:15" x14ac:dyDescent="0.3">
      <c r="B1359" s="4">
        <v>481</v>
      </c>
      <c r="C1359" t="s">
        <v>14</v>
      </c>
      <c r="D1359" t="s">
        <v>15</v>
      </c>
      <c r="E1359" t="s">
        <v>11</v>
      </c>
      <c r="F1359">
        <v>8</v>
      </c>
      <c r="G1359" t="s">
        <v>22</v>
      </c>
      <c r="H1359">
        <v>1</v>
      </c>
      <c r="K1359" t="s">
        <v>19</v>
      </c>
      <c r="L1359" t="s">
        <v>19</v>
      </c>
      <c r="M1359" t="s">
        <v>17</v>
      </c>
      <c r="N1359" t="s">
        <v>18</v>
      </c>
      <c r="O1359" s="5" t="s">
        <v>19</v>
      </c>
    </row>
    <row r="1360" spans="2:15" x14ac:dyDescent="0.3">
      <c r="B1360" s="4">
        <v>65</v>
      </c>
      <c r="C1360" t="s">
        <v>14</v>
      </c>
      <c r="D1360" t="s">
        <v>15</v>
      </c>
      <c r="E1360" t="s">
        <v>11</v>
      </c>
      <c r="F1360">
        <v>8</v>
      </c>
      <c r="G1360" t="s">
        <v>16</v>
      </c>
      <c r="H1360">
        <v>6</v>
      </c>
      <c r="I1360" t="s">
        <v>17</v>
      </c>
      <c r="J1360" t="s">
        <v>17</v>
      </c>
      <c r="K1360" t="s">
        <v>17</v>
      </c>
      <c r="O1360" s="5"/>
    </row>
    <row r="1361" spans="2:15" x14ac:dyDescent="0.3">
      <c r="B1361" s="4">
        <v>376</v>
      </c>
      <c r="C1361" t="s">
        <v>46</v>
      </c>
      <c r="D1361" t="s">
        <v>47</v>
      </c>
      <c r="E1361" t="s">
        <v>11</v>
      </c>
      <c r="F1361">
        <v>8</v>
      </c>
      <c r="G1361" t="s">
        <v>81</v>
      </c>
      <c r="H1361">
        <v>7</v>
      </c>
      <c r="J1361" t="s">
        <v>13</v>
      </c>
      <c r="K1361" t="s">
        <v>13</v>
      </c>
      <c r="L1361" t="s">
        <v>13</v>
      </c>
      <c r="M1361" t="s">
        <v>13</v>
      </c>
      <c r="N1361" t="s">
        <v>13</v>
      </c>
      <c r="O1361" s="5" t="s">
        <v>13</v>
      </c>
    </row>
    <row r="1362" spans="2:15" x14ac:dyDescent="0.3">
      <c r="B1362" s="4">
        <v>1333</v>
      </c>
      <c r="C1362" t="s">
        <v>14</v>
      </c>
      <c r="D1362" t="s">
        <v>15</v>
      </c>
      <c r="E1362" t="s">
        <v>11</v>
      </c>
      <c r="F1362">
        <v>8</v>
      </c>
      <c r="G1362" t="s">
        <v>22</v>
      </c>
      <c r="H1362">
        <v>1</v>
      </c>
      <c r="J1362" t="s">
        <v>17</v>
      </c>
      <c r="K1362" t="s">
        <v>18</v>
      </c>
      <c r="L1362" t="s">
        <v>18</v>
      </c>
      <c r="M1362" t="s">
        <v>17</v>
      </c>
      <c r="N1362" t="s">
        <v>17</v>
      </c>
      <c r="O1362" s="5" t="s">
        <v>13</v>
      </c>
    </row>
    <row r="1363" spans="2:15" x14ac:dyDescent="0.3">
      <c r="B1363" s="4">
        <v>1334</v>
      </c>
      <c r="C1363" t="s">
        <v>14</v>
      </c>
      <c r="D1363" t="s">
        <v>15</v>
      </c>
      <c r="E1363" t="s">
        <v>11</v>
      </c>
      <c r="F1363">
        <v>8</v>
      </c>
      <c r="G1363" t="s">
        <v>58</v>
      </c>
      <c r="H1363">
        <v>17</v>
      </c>
      <c r="I1363" t="s">
        <v>18</v>
      </c>
      <c r="J1363" t="s">
        <v>17</v>
      </c>
      <c r="O1363" s="5"/>
    </row>
    <row r="1364" spans="2:15" x14ac:dyDescent="0.3">
      <c r="B1364" s="4">
        <v>299</v>
      </c>
      <c r="C1364" t="s">
        <v>49</v>
      </c>
      <c r="D1364" t="s">
        <v>50</v>
      </c>
      <c r="E1364" t="s">
        <v>51</v>
      </c>
      <c r="F1364">
        <v>3</v>
      </c>
      <c r="G1364" t="s">
        <v>58</v>
      </c>
      <c r="H1364">
        <v>17</v>
      </c>
      <c r="M1364" t="s">
        <v>13</v>
      </c>
      <c r="N1364" t="s">
        <v>13</v>
      </c>
      <c r="O1364" s="5"/>
    </row>
    <row r="1365" spans="2:15" x14ac:dyDescent="0.3">
      <c r="B1365" s="4">
        <v>1577</v>
      </c>
      <c r="C1365" t="s">
        <v>59</v>
      </c>
      <c r="D1365" t="s">
        <v>60</v>
      </c>
      <c r="E1365" t="s">
        <v>11</v>
      </c>
      <c r="F1365">
        <v>8</v>
      </c>
      <c r="G1365" t="s">
        <v>58</v>
      </c>
      <c r="H1365">
        <v>17</v>
      </c>
      <c r="J1365" t="s">
        <v>18</v>
      </c>
      <c r="K1365" t="s">
        <v>17</v>
      </c>
      <c r="L1365" t="s">
        <v>17</v>
      </c>
      <c r="M1365" t="s">
        <v>18</v>
      </c>
      <c r="N1365" t="s">
        <v>19</v>
      </c>
      <c r="O1365" s="5" t="s">
        <v>35</v>
      </c>
    </row>
    <row r="1366" spans="2:15" x14ac:dyDescent="0.3">
      <c r="B1366" s="4">
        <v>643</v>
      </c>
      <c r="C1366" t="s">
        <v>49</v>
      </c>
      <c r="D1366" t="s">
        <v>50</v>
      </c>
      <c r="E1366" t="s">
        <v>51</v>
      </c>
      <c r="F1366">
        <v>3</v>
      </c>
      <c r="G1366" t="s">
        <v>55</v>
      </c>
      <c r="H1366">
        <v>2</v>
      </c>
      <c r="M1366" t="s">
        <v>18</v>
      </c>
      <c r="N1366" t="s">
        <v>17</v>
      </c>
      <c r="O1366" s="5" t="s">
        <v>17</v>
      </c>
    </row>
    <row r="1367" spans="2:15" x14ac:dyDescent="0.3">
      <c r="B1367" s="4">
        <v>1861</v>
      </c>
      <c r="C1367" t="s">
        <v>72</v>
      </c>
      <c r="D1367" t="s">
        <v>73</v>
      </c>
      <c r="E1367" t="s">
        <v>11</v>
      </c>
      <c r="F1367">
        <v>8</v>
      </c>
      <c r="G1367" t="s">
        <v>55</v>
      </c>
      <c r="H1367">
        <v>2</v>
      </c>
      <c r="N1367" t="s">
        <v>17</v>
      </c>
      <c r="O1367" s="5" t="s">
        <v>17</v>
      </c>
    </row>
    <row r="1368" spans="2:15" x14ac:dyDescent="0.3">
      <c r="B1368" s="4">
        <v>2196</v>
      </c>
      <c r="C1368" t="s">
        <v>92</v>
      </c>
      <c r="D1368" t="s">
        <v>93</v>
      </c>
      <c r="E1368" t="s">
        <v>11</v>
      </c>
      <c r="F1368">
        <v>8</v>
      </c>
      <c r="G1368" t="s">
        <v>66</v>
      </c>
      <c r="H1368">
        <v>5</v>
      </c>
      <c r="N1368" t="s">
        <v>13</v>
      </c>
      <c r="O1368" s="5" t="s">
        <v>13</v>
      </c>
    </row>
    <row r="1369" spans="2:15" x14ac:dyDescent="0.3">
      <c r="B1369" s="4">
        <v>456</v>
      </c>
      <c r="C1369" t="s">
        <v>92</v>
      </c>
      <c r="D1369" t="s">
        <v>93</v>
      </c>
      <c r="E1369" t="s">
        <v>11</v>
      </c>
      <c r="F1369">
        <v>8</v>
      </c>
      <c r="G1369" t="s">
        <v>66</v>
      </c>
      <c r="H1369">
        <v>5</v>
      </c>
      <c r="J1369" t="s">
        <v>17</v>
      </c>
      <c r="K1369" t="s">
        <v>17</v>
      </c>
      <c r="L1369" t="s">
        <v>13</v>
      </c>
      <c r="M1369" t="s">
        <v>13</v>
      </c>
      <c r="N1369" t="s">
        <v>13</v>
      </c>
      <c r="O1369" s="5" t="s">
        <v>13</v>
      </c>
    </row>
    <row r="1370" spans="2:15" x14ac:dyDescent="0.3">
      <c r="B1370" s="4">
        <v>3499</v>
      </c>
      <c r="C1370" t="s">
        <v>14</v>
      </c>
      <c r="D1370" t="s">
        <v>15</v>
      </c>
      <c r="E1370" t="s">
        <v>11</v>
      </c>
      <c r="F1370">
        <v>8</v>
      </c>
      <c r="G1370" t="s">
        <v>89</v>
      </c>
      <c r="H1370">
        <v>11</v>
      </c>
      <c r="N1370" t="s">
        <v>18</v>
      </c>
      <c r="O1370" s="5" t="s">
        <v>18</v>
      </c>
    </row>
    <row r="1371" spans="2:15" x14ac:dyDescent="0.3">
      <c r="B1371" s="4">
        <v>1316</v>
      </c>
      <c r="C1371" t="s">
        <v>84</v>
      </c>
      <c r="D1371" t="s">
        <v>85</v>
      </c>
      <c r="E1371" t="s">
        <v>86</v>
      </c>
      <c r="F1371">
        <v>12</v>
      </c>
      <c r="G1371" t="s">
        <v>89</v>
      </c>
      <c r="H1371">
        <v>11</v>
      </c>
      <c r="K1371" t="s">
        <v>13</v>
      </c>
      <c r="L1371" t="s">
        <v>13</v>
      </c>
      <c r="M1371" t="s">
        <v>13</v>
      </c>
      <c r="O1371" s="5"/>
    </row>
    <row r="1372" spans="2:15" x14ac:dyDescent="0.3">
      <c r="B1372" s="4">
        <v>49</v>
      </c>
      <c r="C1372" t="s">
        <v>14</v>
      </c>
      <c r="D1372" t="s">
        <v>15</v>
      </c>
      <c r="E1372" t="s">
        <v>11</v>
      </c>
      <c r="F1372">
        <v>8</v>
      </c>
      <c r="G1372" t="s">
        <v>89</v>
      </c>
      <c r="H1372">
        <v>11</v>
      </c>
      <c r="I1372" t="s">
        <v>17</v>
      </c>
      <c r="J1372" t="s">
        <v>17</v>
      </c>
      <c r="K1372" t="s">
        <v>17</v>
      </c>
      <c r="L1372" t="s">
        <v>17</v>
      </c>
      <c r="M1372" t="s">
        <v>17</v>
      </c>
      <c r="N1372" t="s">
        <v>19</v>
      </c>
      <c r="O1372" s="5" t="s">
        <v>13</v>
      </c>
    </row>
    <row r="1373" spans="2:15" x14ac:dyDescent="0.3">
      <c r="B1373" s="4">
        <v>1395</v>
      </c>
      <c r="C1373" t="s">
        <v>78</v>
      </c>
      <c r="D1373" t="s">
        <v>79</v>
      </c>
      <c r="E1373" t="s">
        <v>80</v>
      </c>
      <c r="F1373">
        <v>10</v>
      </c>
      <c r="G1373" t="s">
        <v>22</v>
      </c>
      <c r="H1373">
        <v>1</v>
      </c>
      <c r="L1373" t="s">
        <v>17</v>
      </c>
      <c r="M1373" t="s">
        <v>17</v>
      </c>
      <c r="N1373" t="s">
        <v>17</v>
      </c>
      <c r="O1373" s="5" t="s">
        <v>17</v>
      </c>
    </row>
    <row r="1374" spans="2:15" x14ac:dyDescent="0.3">
      <c r="B1374" s="4">
        <v>6</v>
      </c>
      <c r="C1374" t="s">
        <v>9</v>
      </c>
      <c r="D1374" t="s">
        <v>10</v>
      </c>
      <c r="E1374" t="s">
        <v>11</v>
      </c>
      <c r="F1374">
        <v>8</v>
      </c>
      <c r="G1374" t="s">
        <v>54</v>
      </c>
      <c r="H1374">
        <v>8</v>
      </c>
      <c r="M1374" t="s">
        <v>13</v>
      </c>
      <c r="N1374" t="s">
        <v>13</v>
      </c>
      <c r="O1374" s="5" t="s">
        <v>17</v>
      </c>
    </row>
    <row r="1375" spans="2:15" x14ac:dyDescent="0.3">
      <c r="B1375" s="4">
        <v>114</v>
      </c>
      <c r="C1375" t="s">
        <v>41</v>
      </c>
      <c r="D1375" t="s">
        <v>42</v>
      </c>
      <c r="E1375" t="s">
        <v>11</v>
      </c>
      <c r="F1375">
        <v>8</v>
      </c>
      <c r="G1375" t="s">
        <v>16</v>
      </c>
      <c r="H1375">
        <v>6</v>
      </c>
      <c r="I1375" t="s">
        <v>18</v>
      </c>
      <c r="J1375" t="s">
        <v>13</v>
      </c>
      <c r="K1375" t="s">
        <v>13</v>
      </c>
      <c r="L1375" t="s">
        <v>13</v>
      </c>
      <c r="M1375" t="s">
        <v>18</v>
      </c>
      <c r="N1375" t="s">
        <v>18</v>
      </c>
      <c r="O1375" s="5" t="s">
        <v>17</v>
      </c>
    </row>
    <row r="1376" spans="2:15" x14ac:dyDescent="0.3">
      <c r="B1376" s="4">
        <v>454</v>
      </c>
      <c r="C1376" t="s">
        <v>31</v>
      </c>
      <c r="D1376" t="s">
        <v>32</v>
      </c>
      <c r="E1376" t="s">
        <v>11</v>
      </c>
      <c r="F1376">
        <v>8</v>
      </c>
      <c r="G1376" t="s">
        <v>40</v>
      </c>
      <c r="H1376">
        <v>3</v>
      </c>
      <c r="I1376" t="s">
        <v>17</v>
      </c>
      <c r="J1376" t="s">
        <v>17</v>
      </c>
      <c r="K1376" t="s">
        <v>18</v>
      </c>
      <c r="L1376" t="s">
        <v>18</v>
      </c>
      <c r="M1376" t="s">
        <v>18</v>
      </c>
      <c r="N1376" t="s">
        <v>18</v>
      </c>
      <c r="O1376" s="5" t="s">
        <v>13</v>
      </c>
    </row>
    <row r="1377" spans="2:15" x14ac:dyDescent="0.3">
      <c r="B1377" s="4">
        <v>1157</v>
      </c>
      <c r="C1377" t="s">
        <v>14</v>
      </c>
      <c r="D1377" t="s">
        <v>15</v>
      </c>
      <c r="E1377" t="s">
        <v>11</v>
      </c>
      <c r="F1377">
        <v>8</v>
      </c>
      <c r="G1377" t="s">
        <v>66</v>
      </c>
      <c r="H1377">
        <v>5</v>
      </c>
      <c r="L1377" t="s">
        <v>17</v>
      </c>
      <c r="M1377" t="s">
        <v>17</v>
      </c>
      <c r="N1377" t="s">
        <v>18</v>
      </c>
      <c r="O1377" s="5" t="s">
        <v>18</v>
      </c>
    </row>
    <row r="1378" spans="2:15" x14ac:dyDescent="0.3">
      <c r="B1378" s="4">
        <v>2483</v>
      </c>
      <c r="C1378" t="s">
        <v>59</v>
      </c>
      <c r="D1378" t="s">
        <v>60</v>
      </c>
      <c r="E1378" t="s">
        <v>11</v>
      </c>
      <c r="F1378">
        <v>8</v>
      </c>
      <c r="G1378" t="s">
        <v>16</v>
      </c>
      <c r="H1378">
        <v>6</v>
      </c>
      <c r="K1378" t="s">
        <v>17</v>
      </c>
      <c r="L1378" t="s">
        <v>17</v>
      </c>
      <c r="M1378" t="s">
        <v>17</v>
      </c>
      <c r="N1378" t="s">
        <v>17</v>
      </c>
      <c r="O1378" s="5"/>
    </row>
    <row r="1379" spans="2:15" x14ac:dyDescent="0.3">
      <c r="B1379" s="4">
        <v>677</v>
      </c>
      <c r="C1379" t="s">
        <v>46</v>
      </c>
      <c r="D1379" t="s">
        <v>47</v>
      </c>
      <c r="E1379" t="s">
        <v>11</v>
      </c>
      <c r="F1379">
        <v>8</v>
      </c>
      <c r="G1379" t="s">
        <v>55</v>
      </c>
      <c r="H1379">
        <v>2</v>
      </c>
      <c r="K1379" t="s">
        <v>13</v>
      </c>
      <c r="L1379" t="s">
        <v>13</v>
      </c>
      <c r="M1379" t="s">
        <v>13</v>
      </c>
      <c r="N1379" t="s">
        <v>13</v>
      </c>
      <c r="O1379" s="5"/>
    </row>
    <row r="1380" spans="2:15" x14ac:dyDescent="0.3">
      <c r="B1380" s="4">
        <v>1376</v>
      </c>
      <c r="C1380" t="s">
        <v>14</v>
      </c>
      <c r="D1380" t="s">
        <v>15</v>
      </c>
      <c r="E1380" t="s">
        <v>11</v>
      </c>
      <c r="F1380">
        <v>8</v>
      </c>
      <c r="G1380" t="s">
        <v>48</v>
      </c>
      <c r="H1380">
        <v>16</v>
      </c>
      <c r="I1380" t="s">
        <v>13</v>
      </c>
      <c r="J1380" t="s">
        <v>17</v>
      </c>
      <c r="K1380" t="s">
        <v>18</v>
      </c>
      <c r="L1380" t="s">
        <v>18</v>
      </c>
      <c r="M1380" t="s">
        <v>18</v>
      </c>
      <c r="N1380" t="s">
        <v>17</v>
      </c>
      <c r="O1380" s="5" t="s">
        <v>19</v>
      </c>
    </row>
    <row r="1381" spans="2:15" x14ac:dyDescent="0.3">
      <c r="B1381" s="4">
        <v>2</v>
      </c>
      <c r="C1381" t="s">
        <v>46</v>
      </c>
      <c r="D1381" t="s">
        <v>47</v>
      </c>
      <c r="E1381" t="s">
        <v>11</v>
      </c>
      <c r="F1381">
        <v>8</v>
      </c>
      <c r="G1381" t="s">
        <v>81</v>
      </c>
      <c r="H1381">
        <v>7</v>
      </c>
      <c r="I1381" t="s">
        <v>52</v>
      </c>
      <c r="J1381" t="s">
        <v>19</v>
      </c>
      <c r="K1381" t="s">
        <v>19</v>
      </c>
      <c r="L1381" t="s">
        <v>18</v>
      </c>
      <c r="M1381" t="s">
        <v>17</v>
      </c>
      <c r="N1381" t="s">
        <v>18</v>
      </c>
      <c r="O1381" s="5" t="s">
        <v>18</v>
      </c>
    </row>
    <row r="1382" spans="2:15" x14ac:dyDescent="0.3">
      <c r="B1382" s="4">
        <v>235</v>
      </c>
      <c r="C1382" t="s">
        <v>14</v>
      </c>
      <c r="D1382" t="s">
        <v>15</v>
      </c>
      <c r="E1382" t="s">
        <v>11</v>
      </c>
      <c r="F1382">
        <v>8</v>
      </c>
      <c r="G1382" t="s">
        <v>54</v>
      </c>
      <c r="H1382">
        <v>8</v>
      </c>
      <c r="J1382" t="s">
        <v>13</v>
      </c>
      <c r="K1382" t="s">
        <v>13</v>
      </c>
      <c r="L1382" t="s">
        <v>13</v>
      </c>
      <c r="O1382" s="5"/>
    </row>
    <row r="1383" spans="2:15" x14ac:dyDescent="0.3">
      <c r="B1383" s="4">
        <v>1344</v>
      </c>
      <c r="C1383" t="s">
        <v>112</v>
      </c>
      <c r="D1383" t="s">
        <v>113</v>
      </c>
      <c r="E1383" t="s">
        <v>11</v>
      </c>
      <c r="F1383">
        <v>8</v>
      </c>
      <c r="G1383" t="s">
        <v>54</v>
      </c>
      <c r="H1383">
        <v>8</v>
      </c>
      <c r="M1383" t="s">
        <v>18</v>
      </c>
      <c r="N1383" t="s">
        <v>13</v>
      </c>
      <c r="O1383" s="5" t="s">
        <v>18</v>
      </c>
    </row>
    <row r="1384" spans="2:15" x14ac:dyDescent="0.3">
      <c r="B1384" s="4">
        <v>232</v>
      </c>
      <c r="C1384" t="s">
        <v>84</v>
      </c>
      <c r="D1384" t="s">
        <v>85</v>
      </c>
      <c r="E1384" t="s">
        <v>86</v>
      </c>
      <c r="F1384">
        <v>12</v>
      </c>
      <c r="G1384" t="s">
        <v>22</v>
      </c>
      <c r="H1384">
        <v>1</v>
      </c>
      <c r="J1384" t="s">
        <v>13</v>
      </c>
      <c r="K1384" t="s">
        <v>17</v>
      </c>
      <c r="L1384" t="s">
        <v>17</v>
      </c>
      <c r="M1384" t="s">
        <v>18</v>
      </c>
      <c r="N1384" t="s">
        <v>17</v>
      </c>
      <c r="O1384" s="5"/>
    </row>
    <row r="1385" spans="2:15" x14ac:dyDescent="0.3">
      <c r="B1385" s="4">
        <v>646</v>
      </c>
      <c r="C1385" t="s">
        <v>9</v>
      </c>
      <c r="D1385" t="s">
        <v>10</v>
      </c>
      <c r="E1385" t="s">
        <v>11</v>
      </c>
      <c r="F1385">
        <v>8</v>
      </c>
      <c r="G1385" t="s">
        <v>22</v>
      </c>
      <c r="H1385">
        <v>1</v>
      </c>
      <c r="J1385" t="s">
        <v>13</v>
      </c>
      <c r="K1385" t="s">
        <v>13</v>
      </c>
      <c r="L1385" t="s">
        <v>13</v>
      </c>
      <c r="M1385" t="s">
        <v>13</v>
      </c>
      <c r="N1385" t="s">
        <v>13</v>
      </c>
      <c r="O1385" s="5" t="s">
        <v>13</v>
      </c>
    </row>
    <row r="1386" spans="2:15" x14ac:dyDescent="0.3">
      <c r="B1386" s="4">
        <v>3694</v>
      </c>
      <c r="C1386" t="s">
        <v>14</v>
      </c>
      <c r="D1386" t="s">
        <v>15</v>
      </c>
      <c r="E1386" t="s">
        <v>11</v>
      </c>
      <c r="F1386">
        <v>8</v>
      </c>
      <c r="G1386" t="s">
        <v>22</v>
      </c>
      <c r="H1386">
        <v>1</v>
      </c>
      <c r="L1386" t="s">
        <v>19</v>
      </c>
      <c r="M1386" t="s">
        <v>19</v>
      </c>
      <c r="N1386" t="s">
        <v>17</v>
      </c>
      <c r="O1386" s="5" t="s">
        <v>17</v>
      </c>
    </row>
    <row r="1387" spans="2:15" x14ac:dyDescent="0.3">
      <c r="B1387" s="4">
        <v>546</v>
      </c>
      <c r="C1387" t="s">
        <v>41</v>
      </c>
      <c r="D1387" t="s">
        <v>42</v>
      </c>
      <c r="E1387" t="s">
        <v>11</v>
      </c>
      <c r="F1387">
        <v>8</v>
      </c>
      <c r="G1387" t="s">
        <v>55</v>
      </c>
      <c r="H1387">
        <v>2</v>
      </c>
      <c r="M1387" t="s">
        <v>18</v>
      </c>
      <c r="N1387" t="s">
        <v>13</v>
      </c>
      <c r="O1387" s="5" t="s">
        <v>17</v>
      </c>
    </row>
    <row r="1388" spans="2:15" x14ac:dyDescent="0.3">
      <c r="B1388" s="4">
        <v>729</v>
      </c>
      <c r="C1388" t="s">
        <v>49</v>
      </c>
      <c r="D1388" t="s">
        <v>50</v>
      </c>
      <c r="E1388" t="s">
        <v>51</v>
      </c>
      <c r="F1388">
        <v>3</v>
      </c>
      <c r="G1388" t="s">
        <v>81</v>
      </c>
      <c r="H1388">
        <v>7</v>
      </c>
      <c r="K1388" t="s">
        <v>13</v>
      </c>
      <c r="L1388" t="s">
        <v>13</v>
      </c>
      <c r="M1388" t="s">
        <v>13</v>
      </c>
      <c r="O1388" s="5"/>
    </row>
    <row r="1389" spans="2:15" x14ac:dyDescent="0.3">
      <c r="B1389" s="4">
        <v>2802</v>
      </c>
      <c r="C1389" t="s">
        <v>31</v>
      </c>
      <c r="D1389" t="s">
        <v>32</v>
      </c>
      <c r="E1389" t="s">
        <v>11</v>
      </c>
      <c r="F1389">
        <v>8</v>
      </c>
      <c r="G1389" t="s">
        <v>48</v>
      </c>
      <c r="H1389">
        <v>16</v>
      </c>
      <c r="N1389" t="s">
        <v>17</v>
      </c>
      <c r="O1389" s="5" t="s">
        <v>17</v>
      </c>
    </row>
    <row r="1390" spans="2:15" x14ac:dyDescent="0.3">
      <c r="B1390" s="4">
        <v>1680</v>
      </c>
      <c r="C1390" t="s">
        <v>103</v>
      </c>
      <c r="D1390" t="s">
        <v>104</v>
      </c>
      <c r="E1390" t="s">
        <v>105</v>
      </c>
      <c r="F1390">
        <v>2</v>
      </c>
      <c r="G1390" t="s">
        <v>87</v>
      </c>
      <c r="H1390">
        <v>9</v>
      </c>
      <c r="N1390" t="s">
        <v>18</v>
      </c>
      <c r="O1390" s="5" t="s">
        <v>18</v>
      </c>
    </row>
    <row r="1391" spans="2:15" x14ac:dyDescent="0.3">
      <c r="B1391" s="4">
        <v>3696</v>
      </c>
      <c r="C1391" t="s">
        <v>59</v>
      </c>
      <c r="D1391" t="s">
        <v>60</v>
      </c>
      <c r="E1391" t="s">
        <v>11</v>
      </c>
      <c r="F1391">
        <v>8</v>
      </c>
      <c r="G1391" t="s">
        <v>87</v>
      </c>
      <c r="H1391">
        <v>9</v>
      </c>
      <c r="M1391" t="s">
        <v>18</v>
      </c>
      <c r="N1391" t="s">
        <v>17</v>
      </c>
      <c r="O1391" s="5" t="s">
        <v>17</v>
      </c>
    </row>
    <row r="1392" spans="2:15" x14ac:dyDescent="0.3">
      <c r="B1392" s="4">
        <v>66</v>
      </c>
      <c r="C1392" t="s">
        <v>43</v>
      </c>
      <c r="D1392" t="s">
        <v>44</v>
      </c>
      <c r="E1392" t="s">
        <v>45</v>
      </c>
      <c r="F1392">
        <v>5</v>
      </c>
      <c r="G1392" t="s">
        <v>22</v>
      </c>
      <c r="H1392">
        <v>1</v>
      </c>
      <c r="N1392" t="s">
        <v>13</v>
      </c>
      <c r="O1392" s="5" t="s">
        <v>17</v>
      </c>
    </row>
    <row r="1393" spans="2:15" x14ac:dyDescent="0.3">
      <c r="B1393" s="4">
        <v>1317</v>
      </c>
      <c r="C1393" t="s">
        <v>63</v>
      </c>
      <c r="D1393" t="s">
        <v>64</v>
      </c>
      <c r="E1393" t="s">
        <v>65</v>
      </c>
      <c r="F1393">
        <v>14</v>
      </c>
      <c r="G1393" t="s">
        <v>16</v>
      </c>
      <c r="H1393">
        <v>6</v>
      </c>
      <c r="M1393" t="s">
        <v>17</v>
      </c>
      <c r="N1393" t="s">
        <v>17</v>
      </c>
      <c r="O1393" s="5" t="s">
        <v>17</v>
      </c>
    </row>
    <row r="1394" spans="2:15" x14ac:dyDescent="0.3">
      <c r="B1394" s="4">
        <v>128</v>
      </c>
      <c r="C1394" t="s">
        <v>103</v>
      </c>
      <c r="D1394" t="s">
        <v>104</v>
      </c>
      <c r="E1394" t="s">
        <v>105</v>
      </c>
      <c r="F1394">
        <v>2</v>
      </c>
      <c r="G1394" t="s">
        <v>81</v>
      </c>
      <c r="H1394">
        <v>7</v>
      </c>
      <c r="M1394" t="s">
        <v>13</v>
      </c>
      <c r="N1394" t="s">
        <v>13</v>
      </c>
      <c r="O1394" s="5" t="s">
        <v>13</v>
      </c>
    </row>
    <row r="1395" spans="2:15" x14ac:dyDescent="0.3">
      <c r="B1395" s="4">
        <v>1343</v>
      </c>
      <c r="C1395" t="s">
        <v>112</v>
      </c>
      <c r="D1395" t="s">
        <v>113</v>
      </c>
      <c r="E1395" t="s">
        <v>11</v>
      </c>
      <c r="F1395">
        <v>8</v>
      </c>
      <c r="G1395" t="s">
        <v>22</v>
      </c>
      <c r="H1395">
        <v>1</v>
      </c>
      <c r="M1395" t="s">
        <v>18</v>
      </c>
      <c r="N1395" t="s">
        <v>13</v>
      </c>
      <c r="O1395" s="5" t="s">
        <v>18</v>
      </c>
    </row>
    <row r="1396" spans="2:15" x14ac:dyDescent="0.3">
      <c r="B1396" s="4">
        <v>799</v>
      </c>
      <c r="C1396" t="s">
        <v>59</v>
      </c>
      <c r="D1396" t="s">
        <v>60</v>
      </c>
      <c r="E1396" t="s">
        <v>11</v>
      </c>
      <c r="F1396">
        <v>8</v>
      </c>
      <c r="G1396" t="s">
        <v>88</v>
      </c>
      <c r="H1396">
        <v>12</v>
      </c>
      <c r="I1396" t="s">
        <v>19</v>
      </c>
      <c r="J1396" t="s">
        <v>19</v>
      </c>
      <c r="K1396" t="s">
        <v>35</v>
      </c>
      <c r="L1396" t="s">
        <v>35</v>
      </c>
      <c r="O1396" s="5"/>
    </row>
    <row r="1397" spans="2:15" x14ac:dyDescent="0.3">
      <c r="B1397" s="4">
        <v>1909</v>
      </c>
      <c r="C1397" t="s">
        <v>92</v>
      </c>
      <c r="D1397" t="s">
        <v>93</v>
      </c>
      <c r="E1397" t="s">
        <v>11</v>
      </c>
      <c r="F1397">
        <v>8</v>
      </c>
      <c r="G1397" t="s">
        <v>89</v>
      </c>
      <c r="H1397">
        <v>11</v>
      </c>
      <c r="N1397" t="s">
        <v>13</v>
      </c>
      <c r="O1397" s="5" t="s">
        <v>13</v>
      </c>
    </row>
    <row r="1398" spans="2:15" x14ac:dyDescent="0.3">
      <c r="B1398" s="4">
        <v>91</v>
      </c>
      <c r="C1398" t="s">
        <v>9</v>
      </c>
      <c r="D1398" t="s">
        <v>10</v>
      </c>
      <c r="E1398" t="s">
        <v>11</v>
      </c>
      <c r="F1398">
        <v>8</v>
      </c>
      <c r="G1398" t="s">
        <v>89</v>
      </c>
      <c r="H1398">
        <v>11</v>
      </c>
      <c r="M1398" t="s">
        <v>13</v>
      </c>
      <c r="N1398" t="s">
        <v>13</v>
      </c>
      <c r="O1398" s="5" t="s">
        <v>18</v>
      </c>
    </row>
    <row r="1399" spans="2:15" x14ac:dyDescent="0.3">
      <c r="B1399" s="4">
        <v>515</v>
      </c>
      <c r="C1399" t="s">
        <v>112</v>
      </c>
      <c r="D1399" t="s">
        <v>113</v>
      </c>
      <c r="E1399" t="s">
        <v>11</v>
      </c>
      <c r="F1399">
        <v>8</v>
      </c>
      <c r="G1399" t="s">
        <v>88</v>
      </c>
      <c r="H1399">
        <v>12</v>
      </c>
      <c r="J1399" t="s">
        <v>52</v>
      </c>
      <c r="K1399" t="s">
        <v>52</v>
      </c>
      <c r="L1399" t="s">
        <v>33</v>
      </c>
      <c r="M1399" t="s">
        <v>33</v>
      </c>
      <c r="N1399" t="s">
        <v>52</v>
      </c>
      <c r="O1399" s="5"/>
    </row>
    <row r="1400" spans="2:15" x14ac:dyDescent="0.3">
      <c r="B1400" s="4">
        <v>50</v>
      </c>
      <c r="C1400" t="s">
        <v>103</v>
      </c>
      <c r="D1400" t="s">
        <v>104</v>
      </c>
      <c r="E1400" t="s">
        <v>105</v>
      </c>
      <c r="F1400">
        <v>2</v>
      </c>
      <c r="G1400" t="s">
        <v>88</v>
      </c>
      <c r="H1400">
        <v>12</v>
      </c>
      <c r="M1400" t="s">
        <v>13</v>
      </c>
      <c r="N1400" t="s">
        <v>18</v>
      </c>
      <c r="O1400" s="5"/>
    </row>
    <row r="1401" spans="2:15" x14ac:dyDescent="0.3">
      <c r="B1401" s="4">
        <v>1832</v>
      </c>
      <c r="C1401" t="s">
        <v>59</v>
      </c>
      <c r="D1401" t="s">
        <v>60</v>
      </c>
      <c r="E1401" t="s">
        <v>11</v>
      </c>
      <c r="F1401">
        <v>8</v>
      </c>
      <c r="G1401" t="s">
        <v>55</v>
      </c>
      <c r="H1401">
        <v>2</v>
      </c>
      <c r="N1401" t="s">
        <v>18</v>
      </c>
      <c r="O1401" s="5" t="s">
        <v>18</v>
      </c>
    </row>
    <row r="1402" spans="2:15" x14ac:dyDescent="0.3">
      <c r="B1402" s="4">
        <v>1089</v>
      </c>
      <c r="C1402" t="s">
        <v>41</v>
      </c>
      <c r="D1402" t="s">
        <v>42</v>
      </c>
      <c r="E1402" t="s">
        <v>11</v>
      </c>
      <c r="F1402">
        <v>8</v>
      </c>
      <c r="G1402" t="s">
        <v>22</v>
      </c>
      <c r="H1402">
        <v>1</v>
      </c>
      <c r="L1402" t="s">
        <v>19</v>
      </c>
      <c r="M1402" t="s">
        <v>19</v>
      </c>
      <c r="N1402" t="s">
        <v>17</v>
      </c>
      <c r="O1402" s="5" t="s">
        <v>13</v>
      </c>
    </row>
    <row r="1403" spans="2:15" x14ac:dyDescent="0.3">
      <c r="B1403" s="4">
        <v>4</v>
      </c>
      <c r="C1403" t="s">
        <v>90</v>
      </c>
      <c r="D1403" t="s">
        <v>91</v>
      </c>
      <c r="E1403" t="s">
        <v>11</v>
      </c>
      <c r="F1403">
        <v>8</v>
      </c>
      <c r="G1403" t="s">
        <v>54</v>
      </c>
      <c r="H1403">
        <v>8</v>
      </c>
      <c r="I1403" t="s">
        <v>17</v>
      </c>
      <c r="J1403" t="s">
        <v>17</v>
      </c>
      <c r="K1403" t="s">
        <v>18</v>
      </c>
      <c r="L1403" t="s">
        <v>13</v>
      </c>
      <c r="M1403" t="s">
        <v>18</v>
      </c>
      <c r="N1403" t="s">
        <v>18</v>
      </c>
      <c r="O1403" s="5" t="s">
        <v>19</v>
      </c>
    </row>
    <row r="1404" spans="2:15" x14ac:dyDescent="0.3">
      <c r="B1404" s="4">
        <v>16</v>
      </c>
      <c r="C1404" t="s">
        <v>90</v>
      </c>
      <c r="D1404" t="s">
        <v>91</v>
      </c>
      <c r="E1404" t="s">
        <v>11</v>
      </c>
      <c r="F1404">
        <v>8</v>
      </c>
      <c r="G1404" t="s">
        <v>16</v>
      </c>
      <c r="H1404">
        <v>6</v>
      </c>
      <c r="L1404" t="s">
        <v>17</v>
      </c>
      <c r="M1404" t="s">
        <v>18</v>
      </c>
      <c r="N1404" t="s">
        <v>17</v>
      </c>
      <c r="O1404" s="5" t="s">
        <v>19</v>
      </c>
    </row>
    <row r="1405" spans="2:15" x14ac:dyDescent="0.3">
      <c r="B1405" s="4">
        <v>1162</v>
      </c>
      <c r="C1405" t="s">
        <v>75</v>
      </c>
      <c r="D1405" t="s">
        <v>76</v>
      </c>
      <c r="E1405" t="s">
        <v>77</v>
      </c>
      <c r="F1405">
        <v>7</v>
      </c>
      <c r="G1405" t="s">
        <v>40</v>
      </c>
      <c r="H1405">
        <v>3</v>
      </c>
      <c r="L1405" t="s">
        <v>18</v>
      </c>
      <c r="M1405" t="s">
        <v>13</v>
      </c>
      <c r="O1405" s="5"/>
    </row>
    <row r="1406" spans="2:15" x14ac:dyDescent="0.3">
      <c r="B1406" s="4">
        <v>3639</v>
      </c>
      <c r="C1406" t="s">
        <v>14</v>
      </c>
      <c r="D1406" t="s">
        <v>15</v>
      </c>
      <c r="E1406" t="s">
        <v>11</v>
      </c>
      <c r="F1406">
        <v>8</v>
      </c>
      <c r="G1406" t="s">
        <v>66</v>
      </c>
      <c r="H1406">
        <v>5</v>
      </c>
      <c r="M1406" t="s">
        <v>18</v>
      </c>
      <c r="N1406" t="s">
        <v>17</v>
      </c>
      <c r="O1406" s="5" t="s">
        <v>19</v>
      </c>
    </row>
    <row r="1407" spans="2:15" x14ac:dyDescent="0.3">
      <c r="B1407" s="4">
        <v>2170</v>
      </c>
      <c r="C1407" t="s">
        <v>14</v>
      </c>
      <c r="D1407" t="s">
        <v>15</v>
      </c>
      <c r="E1407" t="s">
        <v>11</v>
      </c>
      <c r="F1407">
        <v>8</v>
      </c>
      <c r="G1407" t="s">
        <v>16</v>
      </c>
      <c r="H1407">
        <v>6</v>
      </c>
      <c r="I1407" t="s">
        <v>18</v>
      </c>
      <c r="J1407" t="s">
        <v>13</v>
      </c>
      <c r="K1407" t="s">
        <v>13</v>
      </c>
      <c r="L1407" t="s">
        <v>13</v>
      </c>
      <c r="M1407" t="s">
        <v>17</v>
      </c>
      <c r="N1407" t="s">
        <v>19</v>
      </c>
      <c r="O1407" s="5" t="s">
        <v>19</v>
      </c>
    </row>
    <row r="1408" spans="2:15" x14ac:dyDescent="0.3">
      <c r="B1408" s="4">
        <v>3235</v>
      </c>
      <c r="C1408" t="s">
        <v>14</v>
      </c>
      <c r="D1408" t="s">
        <v>15</v>
      </c>
      <c r="E1408" t="s">
        <v>11</v>
      </c>
      <c r="F1408">
        <v>8</v>
      </c>
      <c r="G1408" t="s">
        <v>57</v>
      </c>
      <c r="H1408">
        <v>10</v>
      </c>
      <c r="L1408" t="s">
        <v>17</v>
      </c>
      <c r="M1408" t="s">
        <v>19</v>
      </c>
      <c r="N1408" t="s">
        <v>33</v>
      </c>
      <c r="O1408" s="5" t="s">
        <v>35</v>
      </c>
    </row>
    <row r="1409" spans="2:15" x14ac:dyDescent="0.3">
      <c r="B1409" s="4">
        <v>1180</v>
      </c>
      <c r="C1409" t="s">
        <v>75</v>
      </c>
      <c r="D1409" t="s">
        <v>76</v>
      </c>
      <c r="E1409" t="s">
        <v>77</v>
      </c>
      <c r="F1409">
        <v>7</v>
      </c>
      <c r="G1409" t="s">
        <v>38</v>
      </c>
      <c r="H1409">
        <v>13</v>
      </c>
      <c r="L1409" t="s">
        <v>18</v>
      </c>
      <c r="M1409" t="s">
        <v>18</v>
      </c>
      <c r="O1409" s="5"/>
    </row>
    <row r="1410" spans="2:15" x14ac:dyDescent="0.3">
      <c r="B1410" s="4">
        <v>44</v>
      </c>
      <c r="C1410" t="s">
        <v>14</v>
      </c>
      <c r="D1410" t="s">
        <v>15</v>
      </c>
      <c r="E1410" t="s">
        <v>11</v>
      </c>
      <c r="F1410">
        <v>8</v>
      </c>
      <c r="G1410" t="s">
        <v>26</v>
      </c>
      <c r="H1410">
        <v>4</v>
      </c>
      <c r="J1410" t="s">
        <v>52</v>
      </c>
      <c r="K1410" t="s">
        <v>52</v>
      </c>
      <c r="L1410" t="s">
        <v>52</v>
      </c>
      <c r="M1410" t="s">
        <v>17</v>
      </c>
      <c r="N1410" t="s">
        <v>17</v>
      </c>
      <c r="O1410" s="5" t="s">
        <v>52</v>
      </c>
    </row>
    <row r="1411" spans="2:15" x14ac:dyDescent="0.3">
      <c r="B1411" s="4">
        <v>236</v>
      </c>
      <c r="C1411" t="s">
        <v>46</v>
      </c>
      <c r="D1411" t="s">
        <v>47</v>
      </c>
      <c r="E1411" t="s">
        <v>11</v>
      </c>
      <c r="F1411">
        <v>8</v>
      </c>
      <c r="G1411" t="s">
        <v>12</v>
      </c>
      <c r="H1411">
        <v>7</v>
      </c>
      <c r="I1411" t="s">
        <v>17</v>
      </c>
      <c r="J1411" t="s">
        <v>17</v>
      </c>
      <c r="K1411" t="s">
        <v>13</v>
      </c>
      <c r="L1411" t="s">
        <v>13</v>
      </c>
      <c r="M1411" t="s">
        <v>13</v>
      </c>
      <c r="N1411" t="s">
        <v>18</v>
      </c>
      <c r="O1411" s="5" t="s">
        <v>18</v>
      </c>
    </row>
    <row r="1412" spans="2:15" x14ac:dyDescent="0.3">
      <c r="B1412" s="4">
        <v>446</v>
      </c>
      <c r="C1412" t="s">
        <v>90</v>
      </c>
      <c r="D1412" t="s">
        <v>91</v>
      </c>
      <c r="E1412" t="s">
        <v>11</v>
      </c>
      <c r="F1412">
        <v>8</v>
      </c>
      <c r="G1412" t="s">
        <v>22</v>
      </c>
      <c r="H1412">
        <v>1</v>
      </c>
      <c r="K1412" t="s">
        <v>18</v>
      </c>
      <c r="L1412" t="s">
        <v>18</v>
      </c>
      <c r="M1412" t="s">
        <v>18</v>
      </c>
      <c r="N1412" t="s">
        <v>13</v>
      </c>
      <c r="O1412" s="5" t="s">
        <v>13</v>
      </c>
    </row>
    <row r="1413" spans="2:15" x14ac:dyDescent="0.3">
      <c r="B1413" s="4">
        <v>1334</v>
      </c>
      <c r="C1413" t="s">
        <v>59</v>
      </c>
      <c r="D1413" t="s">
        <v>60</v>
      </c>
      <c r="E1413" t="s">
        <v>11</v>
      </c>
      <c r="F1413">
        <v>8</v>
      </c>
      <c r="G1413" t="s">
        <v>58</v>
      </c>
      <c r="H1413">
        <v>17</v>
      </c>
      <c r="M1413" t="s">
        <v>18</v>
      </c>
      <c r="N1413" t="s">
        <v>18</v>
      </c>
      <c r="O1413" s="5" t="s">
        <v>18</v>
      </c>
    </row>
    <row r="1414" spans="2:15" x14ac:dyDescent="0.3">
      <c r="B1414" s="4">
        <v>1198</v>
      </c>
      <c r="C1414" t="s">
        <v>84</v>
      </c>
      <c r="D1414" t="s">
        <v>85</v>
      </c>
      <c r="E1414" t="s">
        <v>86</v>
      </c>
      <c r="F1414">
        <v>12</v>
      </c>
      <c r="G1414" t="s">
        <v>54</v>
      </c>
      <c r="H1414">
        <v>8</v>
      </c>
      <c r="M1414" t="s">
        <v>13</v>
      </c>
      <c r="N1414" t="s">
        <v>18</v>
      </c>
      <c r="O1414" s="5"/>
    </row>
    <row r="1415" spans="2:15" x14ac:dyDescent="0.3">
      <c r="B1415" s="4">
        <v>3032</v>
      </c>
      <c r="C1415" t="s">
        <v>82</v>
      </c>
      <c r="D1415" t="s">
        <v>83</v>
      </c>
      <c r="E1415" t="s">
        <v>11</v>
      </c>
      <c r="F1415">
        <v>8</v>
      </c>
      <c r="G1415" t="s">
        <v>40</v>
      </c>
      <c r="H1415">
        <v>3</v>
      </c>
      <c r="N1415" t="s">
        <v>18</v>
      </c>
      <c r="O1415" s="5" t="s">
        <v>18</v>
      </c>
    </row>
    <row r="1416" spans="2:15" x14ac:dyDescent="0.3">
      <c r="B1416" s="4">
        <v>1729</v>
      </c>
      <c r="C1416" t="s">
        <v>84</v>
      </c>
      <c r="D1416" t="s">
        <v>85</v>
      </c>
      <c r="E1416" t="s">
        <v>86</v>
      </c>
      <c r="F1416">
        <v>12</v>
      </c>
      <c r="G1416" t="s">
        <v>22</v>
      </c>
      <c r="H1416">
        <v>1</v>
      </c>
      <c r="N1416" t="s">
        <v>13</v>
      </c>
      <c r="O1416" s="5" t="s">
        <v>13</v>
      </c>
    </row>
    <row r="1417" spans="2:15" x14ac:dyDescent="0.3">
      <c r="B1417" s="4">
        <v>1124</v>
      </c>
      <c r="C1417" t="s">
        <v>72</v>
      </c>
      <c r="D1417" t="s">
        <v>73</v>
      </c>
      <c r="E1417" t="s">
        <v>11</v>
      </c>
      <c r="F1417">
        <v>8</v>
      </c>
      <c r="G1417" t="s">
        <v>22</v>
      </c>
      <c r="H1417">
        <v>1</v>
      </c>
      <c r="K1417" t="s">
        <v>13</v>
      </c>
      <c r="L1417" t="s">
        <v>13</v>
      </c>
      <c r="M1417" t="s">
        <v>13</v>
      </c>
      <c r="N1417" t="s">
        <v>13</v>
      </c>
      <c r="O1417" s="5" t="s">
        <v>13</v>
      </c>
    </row>
    <row r="1418" spans="2:15" x14ac:dyDescent="0.3">
      <c r="B1418" s="4">
        <v>3</v>
      </c>
      <c r="C1418" t="s">
        <v>46</v>
      </c>
      <c r="D1418" t="s">
        <v>47</v>
      </c>
      <c r="E1418" t="s">
        <v>11</v>
      </c>
      <c r="F1418">
        <v>8</v>
      </c>
      <c r="G1418" t="s">
        <v>30</v>
      </c>
      <c r="H1418">
        <v>18</v>
      </c>
      <c r="I1418" t="s">
        <v>13</v>
      </c>
      <c r="J1418" t="s">
        <v>13</v>
      </c>
      <c r="K1418" t="s">
        <v>18</v>
      </c>
      <c r="L1418" t="s">
        <v>13</v>
      </c>
      <c r="M1418" t="s">
        <v>13</v>
      </c>
      <c r="O1418" s="5"/>
    </row>
    <row r="1419" spans="2:15" x14ac:dyDescent="0.3">
      <c r="B1419" s="4">
        <v>2132</v>
      </c>
      <c r="C1419" t="s">
        <v>14</v>
      </c>
      <c r="D1419" t="s">
        <v>15</v>
      </c>
      <c r="E1419" t="s">
        <v>11</v>
      </c>
      <c r="F1419">
        <v>8</v>
      </c>
      <c r="G1419" t="s">
        <v>55</v>
      </c>
      <c r="H1419">
        <v>2</v>
      </c>
      <c r="M1419" t="s">
        <v>18</v>
      </c>
      <c r="N1419" t="s">
        <v>52</v>
      </c>
      <c r="O1419" s="5"/>
    </row>
    <row r="1420" spans="2:15" x14ac:dyDescent="0.3">
      <c r="B1420" s="4">
        <v>393</v>
      </c>
      <c r="C1420" t="s">
        <v>23</v>
      </c>
      <c r="D1420" t="s">
        <v>24</v>
      </c>
      <c r="E1420" t="s">
        <v>25</v>
      </c>
      <c r="F1420">
        <v>1</v>
      </c>
      <c r="G1420" t="s">
        <v>54</v>
      </c>
      <c r="H1420">
        <v>8</v>
      </c>
      <c r="M1420" t="s">
        <v>18</v>
      </c>
      <c r="N1420" t="s">
        <v>17</v>
      </c>
      <c r="O1420" s="5" t="s">
        <v>18</v>
      </c>
    </row>
    <row r="1421" spans="2:15" x14ac:dyDescent="0.3">
      <c r="B1421" s="4">
        <v>2025</v>
      </c>
      <c r="C1421" t="s">
        <v>14</v>
      </c>
      <c r="D1421" t="s">
        <v>15</v>
      </c>
      <c r="E1421" t="s">
        <v>11</v>
      </c>
      <c r="F1421">
        <v>8</v>
      </c>
      <c r="G1421" t="s">
        <v>16</v>
      </c>
      <c r="H1421">
        <v>6</v>
      </c>
      <c r="M1421" t="s">
        <v>18</v>
      </c>
      <c r="N1421" t="s">
        <v>18</v>
      </c>
      <c r="O1421" s="5" t="s">
        <v>13</v>
      </c>
    </row>
    <row r="1422" spans="2:15" x14ac:dyDescent="0.3">
      <c r="B1422" s="4">
        <v>532</v>
      </c>
      <c r="C1422" t="s">
        <v>43</v>
      </c>
      <c r="D1422" t="s">
        <v>44</v>
      </c>
      <c r="E1422" t="s">
        <v>45</v>
      </c>
      <c r="F1422">
        <v>5</v>
      </c>
      <c r="G1422" t="s">
        <v>22</v>
      </c>
      <c r="H1422">
        <v>1</v>
      </c>
      <c r="M1422" t="s">
        <v>13</v>
      </c>
      <c r="N1422" t="s">
        <v>13</v>
      </c>
      <c r="O1422" s="5" t="s">
        <v>13</v>
      </c>
    </row>
    <row r="1423" spans="2:15" x14ac:dyDescent="0.3">
      <c r="B1423" s="4">
        <v>3150</v>
      </c>
      <c r="C1423" t="s">
        <v>14</v>
      </c>
      <c r="D1423" t="s">
        <v>15</v>
      </c>
      <c r="E1423" t="s">
        <v>11</v>
      </c>
      <c r="F1423">
        <v>8</v>
      </c>
      <c r="G1423" t="s">
        <v>30</v>
      </c>
      <c r="H1423">
        <v>18</v>
      </c>
      <c r="N1423" t="s">
        <v>18</v>
      </c>
      <c r="O1423" s="5" t="s">
        <v>13</v>
      </c>
    </row>
    <row r="1424" spans="2:15" x14ac:dyDescent="0.3">
      <c r="B1424" s="4">
        <v>1153</v>
      </c>
      <c r="C1424" t="s">
        <v>23</v>
      </c>
      <c r="D1424" t="s">
        <v>24</v>
      </c>
      <c r="E1424" t="s">
        <v>25</v>
      </c>
      <c r="F1424">
        <v>1</v>
      </c>
      <c r="G1424" t="s">
        <v>74</v>
      </c>
      <c r="H1424">
        <v>15</v>
      </c>
      <c r="K1424" t="s">
        <v>18</v>
      </c>
      <c r="L1424" t="s">
        <v>18</v>
      </c>
      <c r="M1424" t="s">
        <v>17</v>
      </c>
      <c r="N1424" t="s">
        <v>52</v>
      </c>
      <c r="O1424" s="5" t="s">
        <v>52</v>
      </c>
    </row>
    <row r="1425" spans="2:15" x14ac:dyDescent="0.3">
      <c r="B1425" s="4">
        <v>461</v>
      </c>
      <c r="C1425" t="s">
        <v>46</v>
      </c>
      <c r="D1425" t="s">
        <v>47</v>
      </c>
      <c r="E1425" t="s">
        <v>11</v>
      </c>
      <c r="F1425">
        <v>8</v>
      </c>
      <c r="G1425" t="s">
        <v>54</v>
      </c>
      <c r="H1425">
        <v>8</v>
      </c>
      <c r="J1425" t="s">
        <v>13</v>
      </c>
      <c r="K1425" t="s">
        <v>13</v>
      </c>
      <c r="L1425" t="s">
        <v>13</v>
      </c>
      <c r="M1425" t="s">
        <v>18</v>
      </c>
      <c r="N1425" t="s">
        <v>13</v>
      </c>
      <c r="O1425" s="5" t="s">
        <v>13</v>
      </c>
    </row>
    <row r="1426" spans="2:15" x14ac:dyDescent="0.3">
      <c r="B1426" s="4">
        <v>60</v>
      </c>
      <c r="C1426" t="s">
        <v>14</v>
      </c>
      <c r="D1426" t="s">
        <v>15</v>
      </c>
      <c r="E1426" t="s">
        <v>11</v>
      </c>
      <c r="F1426">
        <v>8</v>
      </c>
      <c r="G1426" t="s">
        <v>54</v>
      </c>
      <c r="H1426">
        <v>8</v>
      </c>
      <c r="N1426" t="s">
        <v>17</v>
      </c>
      <c r="O1426" s="5" t="s">
        <v>18</v>
      </c>
    </row>
    <row r="1427" spans="2:15" x14ac:dyDescent="0.3">
      <c r="B1427" s="4">
        <v>1285</v>
      </c>
      <c r="C1427" t="s">
        <v>14</v>
      </c>
      <c r="D1427" t="s">
        <v>15</v>
      </c>
      <c r="E1427" t="s">
        <v>11</v>
      </c>
      <c r="F1427">
        <v>8</v>
      </c>
      <c r="G1427" t="s">
        <v>30</v>
      </c>
      <c r="H1427">
        <v>18</v>
      </c>
      <c r="K1427" t="s">
        <v>18</v>
      </c>
      <c r="L1427" t="s">
        <v>13</v>
      </c>
      <c r="M1427" t="s">
        <v>19</v>
      </c>
      <c r="N1427" t="s">
        <v>52</v>
      </c>
      <c r="O1427" s="5" t="s">
        <v>52</v>
      </c>
    </row>
    <row r="1428" spans="2:15" x14ac:dyDescent="0.3">
      <c r="B1428" s="4">
        <v>73</v>
      </c>
      <c r="C1428" t="s">
        <v>63</v>
      </c>
      <c r="D1428" t="s">
        <v>64</v>
      </c>
      <c r="E1428" t="s">
        <v>65</v>
      </c>
      <c r="F1428">
        <v>14</v>
      </c>
      <c r="G1428" t="s">
        <v>30</v>
      </c>
      <c r="H1428">
        <v>18</v>
      </c>
      <c r="I1428" t="s">
        <v>17</v>
      </c>
      <c r="J1428" t="s">
        <v>17</v>
      </c>
      <c r="K1428" t="s">
        <v>52</v>
      </c>
      <c r="L1428" t="s">
        <v>19</v>
      </c>
      <c r="M1428" t="s">
        <v>35</v>
      </c>
      <c r="N1428" t="s">
        <v>35</v>
      </c>
      <c r="O1428" s="5"/>
    </row>
    <row r="1429" spans="2:15" x14ac:dyDescent="0.3">
      <c r="B1429" s="4">
        <v>381</v>
      </c>
      <c r="C1429" t="s">
        <v>14</v>
      </c>
      <c r="D1429" t="s">
        <v>15</v>
      </c>
      <c r="E1429" t="s">
        <v>11</v>
      </c>
      <c r="F1429">
        <v>8</v>
      </c>
      <c r="G1429" t="s">
        <v>40</v>
      </c>
      <c r="H1429">
        <v>3</v>
      </c>
      <c r="N1429" t="s">
        <v>17</v>
      </c>
      <c r="O1429" s="5" t="s">
        <v>18</v>
      </c>
    </row>
    <row r="1430" spans="2:15" x14ac:dyDescent="0.3">
      <c r="B1430" s="4">
        <v>12</v>
      </c>
      <c r="C1430" t="s">
        <v>46</v>
      </c>
      <c r="D1430" t="s">
        <v>47</v>
      </c>
      <c r="E1430" t="s">
        <v>11</v>
      </c>
      <c r="F1430">
        <v>8</v>
      </c>
      <c r="G1430" t="s">
        <v>30</v>
      </c>
      <c r="H1430">
        <v>18</v>
      </c>
      <c r="I1430" t="s">
        <v>18</v>
      </c>
      <c r="J1430" t="s">
        <v>13</v>
      </c>
      <c r="K1430" t="s">
        <v>13</v>
      </c>
      <c r="L1430" t="s">
        <v>13</v>
      </c>
      <c r="M1430" t="s">
        <v>18</v>
      </c>
      <c r="N1430" t="s">
        <v>13</v>
      </c>
      <c r="O1430" s="5" t="s">
        <v>18</v>
      </c>
    </row>
    <row r="1431" spans="2:15" x14ac:dyDescent="0.3">
      <c r="B1431" s="4">
        <v>319</v>
      </c>
      <c r="C1431" t="s">
        <v>49</v>
      </c>
      <c r="D1431" t="s">
        <v>50</v>
      </c>
      <c r="E1431" t="s">
        <v>51</v>
      </c>
      <c r="F1431">
        <v>3</v>
      </c>
      <c r="G1431" t="s">
        <v>57</v>
      </c>
      <c r="H1431">
        <v>10</v>
      </c>
      <c r="I1431" t="s">
        <v>13</v>
      </c>
      <c r="J1431" t="s">
        <v>17</v>
      </c>
      <c r="L1431" t="s">
        <v>17</v>
      </c>
      <c r="M1431" t="s">
        <v>13</v>
      </c>
      <c r="N1431" t="s">
        <v>13</v>
      </c>
      <c r="O1431" s="5" t="s">
        <v>13</v>
      </c>
    </row>
    <row r="1432" spans="2:15" x14ac:dyDescent="0.3">
      <c r="B1432" s="4">
        <v>2011</v>
      </c>
      <c r="C1432" t="s">
        <v>84</v>
      </c>
      <c r="D1432" t="s">
        <v>85</v>
      </c>
      <c r="E1432" t="s">
        <v>86</v>
      </c>
      <c r="F1432">
        <v>12</v>
      </c>
      <c r="G1432" t="s">
        <v>57</v>
      </c>
      <c r="H1432">
        <v>10</v>
      </c>
      <c r="N1432" t="s">
        <v>19</v>
      </c>
      <c r="O1432" s="5" t="s">
        <v>17</v>
      </c>
    </row>
    <row r="1433" spans="2:15" x14ac:dyDescent="0.3">
      <c r="B1433" s="4">
        <v>60</v>
      </c>
      <c r="C1433" t="s">
        <v>14</v>
      </c>
      <c r="D1433" t="s">
        <v>15</v>
      </c>
      <c r="E1433" t="s">
        <v>11</v>
      </c>
      <c r="F1433">
        <v>8</v>
      </c>
      <c r="G1433" t="s">
        <v>88</v>
      </c>
      <c r="H1433">
        <v>12</v>
      </c>
      <c r="M1433" t="s">
        <v>13</v>
      </c>
      <c r="N1433" t="s">
        <v>18</v>
      </c>
      <c r="O1433" s="5" t="s">
        <v>18</v>
      </c>
    </row>
    <row r="1434" spans="2:15" x14ac:dyDescent="0.3">
      <c r="B1434" s="4">
        <v>422</v>
      </c>
      <c r="C1434" t="s">
        <v>14</v>
      </c>
      <c r="D1434" t="s">
        <v>15</v>
      </c>
      <c r="E1434" t="s">
        <v>11</v>
      </c>
      <c r="F1434">
        <v>8</v>
      </c>
      <c r="G1434" t="s">
        <v>88</v>
      </c>
      <c r="H1434">
        <v>12</v>
      </c>
      <c r="M1434" t="s">
        <v>13</v>
      </c>
      <c r="N1434" t="s">
        <v>13</v>
      </c>
      <c r="O1434" s="5" t="s">
        <v>13</v>
      </c>
    </row>
    <row r="1435" spans="2:15" x14ac:dyDescent="0.3">
      <c r="B1435" s="4">
        <v>1648</v>
      </c>
      <c r="C1435" t="s">
        <v>46</v>
      </c>
      <c r="D1435" t="s">
        <v>47</v>
      </c>
      <c r="E1435" t="s">
        <v>11</v>
      </c>
      <c r="F1435">
        <v>8</v>
      </c>
      <c r="G1435" t="s">
        <v>16</v>
      </c>
      <c r="H1435">
        <v>6</v>
      </c>
      <c r="N1435" t="s">
        <v>13</v>
      </c>
      <c r="O1435" s="5" t="s">
        <v>13</v>
      </c>
    </row>
    <row r="1436" spans="2:15" x14ac:dyDescent="0.3">
      <c r="B1436" s="4">
        <v>1393</v>
      </c>
      <c r="C1436" t="s">
        <v>9</v>
      </c>
      <c r="D1436" t="s">
        <v>10</v>
      </c>
      <c r="E1436" t="s">
        <v>11</v>
      </c>
      <c r="F1436">
        <v>8</v>
      </c>
      <c r="G1436" t="s">
        <v>16</v>
      </c>
      <c r="H1436">
        <v>6</v>
      </c>
      <c r="L1436" t="s">
        <v>18</v>
      </c>
      <c r="M1436" t="s">
        <v>18</v>
      </c>
      <c r="N1436" t="s">
        <v>13</v>
      </c>
      <c r="O1436" s="5" t="s">
        <v>13</v>
      </c>
    </row>
    <row r="1437" spans="2:15" x14ac:dyDescent="0.3">
      <c r="B1437" s="4">
        <v>792</v>
      </c>
      <c r="C1437" t="s">
        <v>49</v>
      </c>
      <c r="D1437" t="s">
        <v>50</v>
      </c>
      <c r="E1437" t="s">
        <v>51</v>
      </c>
      <c r="F1437">
        <v>3</v>
      </c>
      <c r="G1437" t="s">
        <v>40</v>
      </c>
      <c r="H1437">
        <v>3</v>
      </c>
      <c r="N1437" t="s">
        <v>13</v>
      </c>
      <c r="O1437" s="5" t="s">
        <v>13</v>
      </c>
    </row>
    <row r="1438" spans="2:15" x14ac:dyDescent="0.3">
      <c r="B1438" s="4">
        <v>982</v>
      </c>
      <c r="C1438" t="s">
        <v>14</v>
      </c>
      <c r="D1438" t="s">
        <v>15</v>
      </c>
      <c r="E1438" t="s">
        <v>11</v>
      </c>
      <c r="F1438">
        <v>8</v>
      </c>
      <c r="G1438" t="s">
        <v>87</v>
      </c>
      <c r="H1438">
        <v>9</v>
      </c>
      <c r="L1438" t="s">
        <v>18</v>
      </c>
      <c r="M1438" t="s">
        <v>18</v>
      </c>
      <c r="N1438" t="s">
        <v>18</v>
      </c>
      <c r="O1438" s="5" t="s">
        <v>52</v>
      </c>
    </row>
    <row r="1439" spans="2:15" x14ac:dyDescent="0.3">
      <c r="B1439" s="4">
        <v>2519</v>
      </c>
      <c r="C1439" t="s">
        <v>14</v>
      </c>
      <c r="D1439" t="s">
        <v>15</v>
      </c>
      <c r="E1439" t="s">
        <v>11</v>
      </c>
      <c r="F1439">
        <v>8</v>
      </c>
      <c r="G1439" t="s">
        <v>87</v>
      </c>
      <c r="H1439">
        <v>9</v>
      </c>
      <c r="K1439" t="s">
        <v>17</v>
      </c>
      <c r="L1439" t="s">
        <v>13</v>
      </c>
      <c r="M1439" t="s">
        <v>18</v>
      </c>
      <c r="N1439" t="s">
        <v>18</v>
      </c>
      <c r="O1439" s="5"/>
    </row>
    <row r="1440" spans="2:15" x14ac:dyDescent="0.3">
      <c r="B1440" s="4">
        <v>838</v>
      </c>
      <c r="C1440" t="s">
        <v>49</v>
      </c>
      <c r="D1440" t="s">
        <v>50</v>
      </c>
      <c r="E1440" t="s">
        <v>51</v>
      </c>
      <c r="F1440">
        <v>3</v>
      </c>
      <c r="G1440" t="s">
        <v>26</v>
      </c>
      <c r="H1440">
        <v>4</v>
      </c>
      <c r="N1440" t="s">
        <v>17</v>
      </c>
      <c r="O1440" s="5" t="s">
        <v>17</v>
      </c>
    </row>
    <row r="1441" spans="2:15" x14ac:dyDescent="0.3">
      <c r="B1441" s="4">
        <v>14</v>
      </c>
      <c r="C1441" t="s">
        <v>49</v>
      </c>
      <c r="D1441" t="s">
        <v>50</v>
      </c>
      <c r="E1441" t="s">
        <v>51</v>
      </c>
      <c r="F1441">
        <v>3</v>
      </c>
      <c r="G1441" t="s">
        <v>26</v>
      </c>
      <c r="H1441">
        <v>4</v>
      </c>
      <c r="K1441" t="s">
        <v>18</v>
      </c>
      <c r="L1441" t="s">
        <v>17</v>
      </c>
      <c r="M1441" t="s">
        <v>17</v>
      </c>
      <c r="N1441" t="s">
        <v>18</v>
      </c>
      <c r="O1441" s="5" t="s">
        <v>13</v>
      </c>
    </row>
    <row r="1442" spans="2:15" x14ac:dyDescent="0.3">
      <c r="B1442" s="4">
        <v>312</v>
      </c>
      <c r="C1442" t="s">
        <v>78</v>
      </c>
      <c r="D1442" t="s">
        <v>79</v>
      </c>
      <c r="E1442" t="s">
        <v>80</v>
      </c>
      <c r="F1442">
        <v>10</v>
      </c>
      <c r="G1442" t="s">
        <v>12</v>
      </c>
      <c r="H1442">
        <v>7</v>
      </c>
      <c r="I1442" t="s">
        <v>18</v>
      </c>
      <c r="J1442" t="s">
        <v>18</v>
      </c>
      <c r="O1442" s="5"/>
    </row>
    <row r="1443" spans="2:15" x14ac:dyDescent="0.3">
      <c r="B1443" s="4">
        <v>3514</v>
      </c>
      <c r="C1443" t="s">
        <v>92</v>
      </c>
      <c r="D1443" t="s">
        <v>93</v>
      </c>
      <c r="E1443" t="s">
        <v>11</v>
      </c>
      <c r="F1443">
        <v>8</v>
      </c>
      <c r="G1443" t="s">
        <v>30</v>
      </c>
      <c r="H1443">
        <v>18</v>
      </c>
      <c r="M1443" t="s">
        <v>18</v>
      </c>
      <c r="N1443" t="s">
        <v>17</v>
      </c>
      <c r="O1443" s="5" t="s">
        <v>13</v>
      </c>
    </row>
    <row r="1444" spans="2:15" x14ac:dyDescent="0.3">
      <c r="B1444" s="4">
        <v>1373</v>
      </c>
      <c r="C1444" t="s">
        <v>23</v>
      </c>
      <c r="D1444" t="s">
        <v>24</v>
      </c>
      <c r="E1444" t="s">
        <v>25</v>
      </c>
      <c r="F1444">
        <v>1</v>
      </c>
      <c r="G1444" t="s">
        <v>30</v>
      </c>
      <c r="H1444">
        <v>18</v>
      </c>
      <c r="K1444" t="s">
        <v>13</v>
      </c>
      <c r="L1444" t="s">
        <v>13</v>
      </c>
      <c r="M1444" t="s">
        <v>13</v>
      </c>
      <c r="N1444" t="s">
        <v>13</v>
      </c>
      <c r="O1444" s="5" t="s">
        <v>17</v>
      </c>
    </row>
    <row r="1445" spans="2:15" x14ac:dyDescent="0.3">
      <c r="B1445" s="4">
        <v>3</v>
      </c>
      <c r="C1445" t="s">
        <v>14</v>
      </c>
      <c r="D1445" t="s">
        <v>15</v>
      </c>
      <c r="E1445" t="s">
        <v>11</v>
      </c>
      <c r="F1445">
        <v>8</v>
      </c>
      <c r="G1445" t="s">
        <v>30</v>
      </c>
      <c r="H1445">
        <v>18</v>
      </c>
      <c r="M1445" t="s">
        <v>17</v>
      </c>
      <c r="N1445" t="s">
        <v>19</v>
      </c>
      <c r="O1445" s="5" t="s">
        <v>17</v>
      </c>
    </row>
    <row r="1446" spans="2:15" x14ac:dyDescent="0.3">
      <c r="B1446" s="4">
        <v>1117</v>
      </c>
      <c r="C1446" t="s">
        <v>41</v>
      </c>
      <c r="D1446" t="s">
        <v>42</v>
      </c>
      <c r="E1446" t="s">
        <v>11</v>
      </c>
      <c r="F1446">
        <v>8</v>
      </c>
      <c r="G1446" t="s">
        <v>54</v>
      </c>
      <c r="H1446">
        <v>8</v>
      </c>
      <c r="L1446" t="s">
        <v>18</v>
      </c>
      <c r="M1446" t="s">
        <v>18</v>
      </c>
      <c r="N1446" t="s">
        <v>19</v>
      </c>
      <c r="O1446" s="5"/>
    </row>
    <row r="1447" spans="2:15" x14ac:dyDescent="0.3">
      <c r="B1447" s="4">
        <v>531</v>
      </c>
      <c r="C1447" t="s">
        <v>46</v>
      </c>
      <c r="D1447" t="s">
        <v>47</v>
      </c>
      <c r="E1447" t="s">
        <v>11</v>
      </c>
      <c r="F1447">
        <v>8</v>
      </c>
      <c r="G1447" t="s">
        <v>55</v>
      </c>
      <c r="H1447">
        <v>2</v>
      </c>
      <c r="L1447" t="s">
        <v>13</v>
      </c>
      <c r="M1447" t="s">
        <v>13</v>
      </c>
      <c r="N1447" t="s">
        <v>17</v>
      </c>
      <c r="O1447" s="5" t="s">
        <v>18</v>
      </c>
    </row>
    <row r="1448" spans="2:15" x14ac:dyDescent="0.3">
      <c r="B1448" s="4">
        <v>132</v>
      </c>
      <c r="C1448" t="s">
        <v>46</v>
      </c>
      <c r="D1448" t="s">
        <v>47</v>
      </c>
      <c r="E1448" t="s">
        <v>11</v>
      </c>
      <c r="F1448">
        <v>8</v>
      </c>
      <c r="G1448" t="s">
        <v>55</v>
      </c>
      <c r="H1448">
        <v>2</v>
      </c>
      <c r="L1448" t="s">
        <v>17</v>
      </c>
      <c r="M1448" t="s">
        <v>19</v>
      </c>
      <c r="O1448" s="5"/>
    </row>
    <row r="1449" spans="2:15" x14ac:dyDescent="0.3">
      <c r="B1449" s="4">
        <v>1720</v>
      </c>
      <c r="C1449" t="s">
        <v>14</v>
      </c>
      <c r="D1449" t="s">
        <v>15</v>
      </c>
      <c r="E1449" t="s">
        <v>11</v>
      </c>
      <c r="F1449">
        <v>8</v>
      </c>
      <c r="G1449" t="s">
        <v>58</v>
      </c>
      <c r="H1449">
        <v>17</v>
      </c>
      <c r="L1449" t="s">
        <v>17</v>
      </c>
      <c r="M1449" t="s">
        <v>17</v>
      </c>
      <c r="O1449" s="5"/>
    </row>
    <row r="1450" spans="2:15" x14ac:dyDescent="0.3">
      <c r="B1450" s="4">
        <v>1503</v>
      </c>
      <c r="C1450" t="s">
        <v>14</v>
      </c>
      <c r="D1450" t="s">
        <v>15</v>
      </c>
      <c r="E1450" t="s">
        <v>11</v>
      </c>
      <c r="F1450">
        <v>8</v>
      </c>
      <c r="G1450" t="s">
        <v>58</v>
      </c>
      <c r="H1450">
        <v>17</v>
      </c>
      <c r="L1450" t="s">
        <v>13</v>
      </c>
      <c r="M1450" t="s">
        <v>18</v>
      </c>
      <c r="N1450" t="s">
        <v>13</v>
      </c>
      <c r="O1450" s="5"/>
    </row>
    <row r="1451" spans="2:15" x14ac:dyDescent="0.3">
      <c r="B1451" s="4">
        <v>1646</v>
      </c>
      <c r="C1451" t="s">
        <v>106</v>
      </c>
      <c r="D1451" t="s">
        <v>107</v>
      </c>
      <c r="E1451" t="s">
        <v>11</v>
      </c>
      <c r="F1451">
        <v>8</v>
      </c>
      <c r="G1451" t="s">
        <v>58</v>
      </c>
      <c r="H1451">
        <v>17</v>
      </c>
      <c r="K1451" t="s">
        <v>18</v>
      </c>
      <c r="L1451" t="s">
        <v>17</v>
      </c>
      <c r="M1451" t="s">
        <v>13</v>
      </c>
      <c r="O1451" s="5"/>
    </row>
    <row r="1452" spans="2:15" x14ac:dyDescent="0.3">
      <c r="B1452" s="4">
        <v>1</v>
      </c>
      <c r="C1452" t="s">
        <v>9</v>
      </c>
      <c r="D1452" t="s">
        <v>10</v>
      </c>
      <c r="E1452" t="s">
        <v>11</v>
      </c>
      <c r="F1452">
        <v>8</v>
      </c>
      <c r="G1452" t="s">
        <v>58</v>
      </c>
      <c r="H1452">
        <v>17</v>
      </c>
      <c r="I1452" t="s">
        <v>19</v>
      </c>
      <c r="J1452" t="s">
        <v>18</v>
      </c>
      <c r="K1452" t="s">
        <v>34</v>
      </c>
      <c r="O1452" s="5"/>
    </row>
    <row r="1453" spans="2:15" x14ac:dyDescent="0.3">
      <c r="B1453" s="4">
        <v>217</v>
      </c>
      <c r="C1453" t="s">
        <v>14</v>
      </c>
      <c r="D1453" t="s">
        <v>15</v>
      </c>
      <c r="E1453" t="s">
        <v>11</v>
      </c>
      <c r="F1453">
        <v>8</v>
      </c>
      <c r="G1453" t="s">
        <v>55</v>
      </c>
      <c r="H1453">
        <v>2</v>
      </c>
      <c r="K1453" t="s">
        <v>13</v>
      </c>
      <c r="L1453" t="s">
        <v>17</v>
      </c>
      <c r="M1453" t="s">
        <v>18</v>
      </c>
      <c r="N1453" t="s">
        <v>18</v>
      </c>
      <c r="O1453" s="5" t="s">
        <v>18</v>
      </c>
    </row>
    <row r="1454" spans="2:15" x14ac:dyDescent="0.3">
      <c r="B1454" s="4">
        <v>3</v>
      </c>
      <c r="C1454" t="s">
        <v>46</v>
      </c>
      <c r="D1454" t="s">
        <v>47</v>
      </c>
      <c r="E1454" t="s">
        <v>11</v>
      </c>
      <c r="F1454">
        <v>8</v>
      </c>
      <c r="G1454" t="s">
        <v>55</v>
      </c>
      <c r="H1454">
        <v>2</v>
      </c>
      <c r="I1454" t="s">
        <v>19</v>
      </c>
      <c r="J1454" t="s">
        <v>19</v>
      </c>
      <c r="K1454" t="s">
        <v>19</v>
      </c>
      <c r="L1454" t="s">
        <v>17</v>
      </c>
      <c r="M1454" t="s">
        <v>17</v>
      </c>
      <c r="N1454" t="s">
        <v>13</v>
      </c>
      <c r="O1454" s="5" t="s">
        <v>13</v>
      </c>
    </row>
    <row r="1455" spans="2:15" x14ac:dyDescent="0.3">
      <c r="B1455" s="4">
        <v>136</v>
      </c>
      <c r="C1455" t="s">
        <v>63</v>
      </c>
      <c r="D1455" t="s">
        <v>64</v>
      </c>
      <c r="E1455" t="s">
        <v>65</v>
      </c>
      <c r="F1455">
        <v>14</v>
      </c>
      <c r="G1455" t="s">
        <v>66</v>
      </c>
      <c r="H1455">
        <v>5</v>
      </c>
      <c r="M1455" t="s">
        <v>52</v>
      </c>
      <c r="N1455" t="s">
        <v>52</v>
      </c>
      <c r="O1455" s="5"/>
    </row>
    <row r="1456" spans="2:15" x14ac:dyDescent="0.3">
      <c r="B1456" s="4">
        <v>1301</v>
      </c>
      <c r="C1456" t="s">
        <v>23</v>
      </c>
      <c r="D1456" t="s">
        <v>24</v>
      </c>
      <c r="E1456" t="s">
        <v>25</v>
      </c>
      <c r="F1456">
        <v>1</v>
      </c>
      <c r="G1456" t="s">
        <v>66</v>
      </c>
      <c r="H1456">
        <v>5</v>
      </c>
      <c r="M1456" t="s">
        <v>18</v>
      </c>
      <c r="N1456" t="s">
        <v>13</v>
      </c>
      <c r="O1456" s="5" t="s">
        <v>18</v>
      </c>
    </row>
    <row r="1457" spans="2:15" x14ac:dyDescent="0.3">
      <c r="B1457" s="4">
        <v>339</v>
      </c>
      <c r="C1457" t="s">
        <v>27</v>
      </c>
      <c r="D1457" t="s">
        <v>28</v>
      </c>
      <c r="E1457" t="s">
        <v>29</v>
      </c>
      <c r="F1457">
        <v>6</v>
      </c>
      <c r="G1457" t="s">
        <v>89</v>
      </c>
      <c r="H1457">
        <v>11</v>
      </c>
      <c r="L1457" t="s">
        <v>18</v>
      </c>
      <c r="M1457" t="s">
        <v>18</v>
      </c>
      <c r="O1457" s="5"/>
    </row>
    <row r="1458" spans="2:15" x14ac:dyDescent="0.3">
      <c r="B1458" s="4">
        <v>935</v>
      </c>
      <c r="C1458" t="s">
        <v>46</v>
      </c>
      <c r="D1458" t="s">
        <v>47</v>
      </c>
      <c r="E1458" t="s">
        <v>11</v>
      </c>
      <c r="F1458">
        <v>8</v>
      </c>
      <c r="G1458" t="s">
        <v>89</v>
      </c>
      <c r="H1458">
        <v>11</v>
      </c>
      <c r="K1458" t="s">
        <v>19</v>
      </c>
      <c r="L1458" t="s">
        <v>19</v>
      </c>
      <c r="M1458" t="s">
        <v>17</v>
      </c>
      <c r="N1458" t="s">
        <v>17</v>
      </c>
      <c r="O1458" s="5"/>
    </row>
    <row r="1459" spans="2:15" x14ac:dyDescent="0.3">
      <c r="B1459" s="4">
        <v>694</v>
      </c>
      <c r="C1459" t="s">
        <v>84</v>
      </c>
      <c r="D1459" t="s">
        <v>85</v>
      </c>
      <c r="E1459" t="s">
        <v>86</v>
      </c>
      <c r="F1459">
        <v>12</v>
      </c>
      <c r="G1459" t="s">
        <v>89</v>
      </c>
      <c r="H1459">
        <v>11</v>
      </c>
      <c r="K1459" t="s">
        <v>13</v>
      </c>
      <c r="L1459" t="s">
        <v>17</v>
      </c>
      <c r="M1459" t="s">
        <v>18</v>
      </c>
      <c r="N1459" t="s">
        <v>18</v>
      </c>
      <c r="O1459" s="5" t="s">
        <v>18</v>
      </c>
    </row>
    <row r="1460" spans="2:15" x14ac:dyDescent="0.3">
      <c r="B1460" s="4">
        <v>167</v>
      </c>
      <c r="C1460" t="s">
        <v>63</v>
      </c>
      <c r="D1460" t="s">
        <v>64</v>
      </c>
      <c r="E1460" t="s">
        <v>65</v>
      </c>
      <c r="F1460">
        <v>14</v>
      </c>
      <c r="G1460" t="s">
        <v>40</v>
      </c>
      <c r="H1460">
        <v>3</v>
      </c>
      <c r="M1460" t="s">
        <v>13</v>
      </c>
      <c r="N1460" t="s">
        <v>13</v>
      </c>
      <c r="O1460" s="5" t="s">
        <v>19</v>
      </c>
    </row>
    <row r="1461" spans="2:15" x14ac:dyDescent="0.3">
      <c r="B1461" s="4">
        <v>776</v>
      </c>
      <c r="C1461" t="s">
        <v>84</v>
      </c>
      <c r="D1461" t="s">
        <v>85</v>
      </c>
      <c r="E1461" t="s">
        <v>86</v>
      </c>
      <c r="F1461">
        <v>12</v>
      </c>
      <c r="G1461" t="s">
        <v>87</v>
      </c>
      <c r="H1461">
        <v>9</v>
      </c>
      <c r="M1461" t="s">
        <v>13</v>
      </c>
      <c r="N1461" t="s">
        <v>13</v>
      </c>
      <c r="O1461" s="5"/>
    </row>
    <row r="1462" spans="2:15" x14ac:dyDescent="0.3">
      <c r="B1462" s="4">
        <v>674</v>
      </c>
      <c r="C1462" t="s">
        <v>84</v>
      </c>
      <c r="D1462" t="s">
        <v>85</v>
      </c>
      <c r="E1462" t="s">
        <v>86</v>
      </c>
      <c r="F1462">
        <v>12</v>
      </c>
      <c r="G1462" t="s">
        <v>12</v>
      </c>
      <c r="H1462">
        <v>7</v>
      </c>
      <c r="K1462" t="s">
        <v>18</v>
      </c>
      <c r="L1462" t="s">
        <v>13</v>
      </c>
      <c r="M1462" t="s">
        <v>18</v>
      </c>
      <c r="N1462" t="s">
        <v>18</v>
      </c>
      <c r="O1462" s="5" t="s">
        <v>19</v>
      </c>
    </row>
    <row r="1463" spans="2:15" x14ac:dyDescent="0.3">
      <c r="B1463" s="4">
        <v>123</v>
      </c>
      <c r="C1463" t="s">
        <v>63</v>
      </c>
      <c r="D1463" t="s">
        <v>64</v>
      </c>
      <c r="E1463" t="s">
        <v>65</v>
      </c>
      <c r="F1463">
        <v>14</v>
      </c>
      <c r="G1463" t="s">
        <v>26</v>
      </c>
      <c r="H1463">
        <v>4</v>
      </c>
      <c r="I1463" t="s">
        <v>13</v>
      </c>
      <c r="J1463" t="s">
        <v>18</v>
      </c>
      <c r="K1463" t="s">
        <v>18</v>
      </c>
      <c r="L1463" t="s">
        <v>13</v>
      </c>
      <c r="M1463" t="s">
        <v>13</v>
      </c>
      <c r="O1463" s="5"/>
    </row>
    <row r="1464" spans="2:15" x14ac:dyDescent="0.3">
      <c r="B1464" s="4">
        <v>607</v>
      </c>
      <c r="C1464" t="s">
        <v>63</v>
      </c>
      <c r="D1464" t="s">
        <v>64</v>
      </c>
      <c r="E1464" t="s">
        <v>65</v>
      </c>
      <c r="F1464">
        <v>14</v>
      </c>
      <c r="G1464" t="s">
        <v>26</v>
      </c>
      <c r="H1464">
        <v>4</v>
      </c>
      <c r="N1464" t="s">
        <v>18</v>
      </c>
      <c r="O1464" s="5" t="s">
        <v>17</v>
      </c>
    </row>
    <row r="1465" spans="2:15" x14ac:dyDescent="0.3">
      <c r="B1465" s="4">
        <v>45</v>
      </c>
      <c r="C1465" t="s">
        <v>27</v>
      </c>
      <c r="D1465" t="s">
        <v>28</v>
      </c>
      <c r="E1465" t="s">
        <v>29</v>
      </c>
      <c r="F1465">
        <v>6</v>
      </c>
      <c r="G1465" t="s">
        <v>22</v>
      </c>
      <c r="H1465">
        <v>1</v>
      </c>
      <c r="N1465" t="s">
        <v>18</v>
      </c>
      <c r="O1465" s="5" t="s">
        <v>18</v>
      </c>
    </row>
    <row r="1466" spans="2:15" x14ac:dyDescent="0.3">
      <c r="B1466" s="4">
        <v>1188</v>
      </c>
      <c r="C1466" t="s">
        <v>23</v>
      </c>
      <c r="D1466" t="s">
        <v>24</v>
      </c>
      <c r="E1466" t="s">
        <v>25</v>
      </c>
      <c r="F1466">
        <v>1</v>
      </c>
      <c r="G1466" t="s">
        <v>55</v>
      </c>
      <c r="H1466">
        <v>2</v>
      </c>
      <c r="L1466" t="s">
        <v>13</v>
      </c>
      <c r="M1466" t="s">
        <v>18</v>
      </c>
      <c r="N1466" t="s">
        <v>18</v>
      </c>
      <c r="O1466" s="5"/>
    </row>
    <row r="1467" spans="2:15" x14ac:dyDescent="0.3">
      <c r="B1467" s="4">
        <v>555</v>
      </c>
      <c r="C1467" t="s">
        <v>27</v>
      </c>
      <c r="D1467" t="s">
        <v>28</v>
      </c>
      <c r="E1467" t="s">
        <v>29</v>
      </c>
      <c r="F1467">
        <v>6</v>
      </c>
      <c r="G1467" t="s">
        <v>16</v>
      </c>
      <c r="H1467">
        <v>6</v>
      </c>
      <c r="K1467" t="s">
        <v>13</v>
      </c>
      <c r="L1467" t="s">
        <v>13</v>
      </c>
      <c r="M1467" t="s">
        <v>13</v>
      </c>
      <c r="N1467" t="s">
        <v>13</v>
      </c>
      <c r="O1467" s="5" t="s">
        <v>13</v>
      </c>
    </row>
    <row r="1468" spans="2:15" x14ac:dyDescent="0.3">
      <c r="B1468" s="4">
        <v>880</v>
      </c>
      <c r="C1468" t="s">
        <v>27</v>
      </c>
      <c r="D1468" t="s">
        <v>28</v>
      </c>
      <c r="E1468" t="s">
        <v>29</v>
      </c>
      <c r="F1468">
        <v>6</v>
      </c>
      <c r="G1468" t="s">
        <v>16</v>
      </c>
      <c r="H1468">
        <v>6</v>
      </c>
      <c r="L1468" t="s">
        <v>13</v>
      </c>
      <c r="M1468" t="s">
        <v>13</v>
      </c>
      <c r="N1468" t="s">
        <v>13</v>
      </c>
      <c r="O1468" s="5" t="s">
        <v>17</v>
      </c>
    </row>
    <row r="1469" spans="2:15" x14ac:dyDescent="0.3">
      <c r="B1469" s="4">
        <v>327</v>
      </c>
      <c r="C1469" t="s">
        <v>9</v>
      </c>
      <c r="D1469" t="s">
        <v>10</v>
      </c>
      <c r="E1469" t="s">
        <v>11</v>
      </c>
      <c r="F1469">
        <v>8</v>
      </c>
      <c r="G1469" t="s">
        <v>22</v>
      </c>
      <c r="H1469">
        <v>1</v>
      </c>
      <c r="J1469" t="s">
        <v>18</v>
      </c>
      <c r="K1469" t="s">
        <v>13</v>
      </c>
      <c r="L1469" t="s">
        <v>17</v>
      </c>
      <c r="M1469" t="s">
        <v>19</v>
      </c>
      <c r="N1469" t="s">
        <v>52</v>
      </c>
      <c r="O1469" s="5" t="s">
        <v>33</v>
      </c>
    </row>
    <row r="1470" spans="2:15" x14ac:dyDescent="0.3">
      <c r="B1470" s="4">
        <v>31</v>
      </c>
      <c r="C1470" t="s">
        <v>103</v>
      </c>
      <c r="D1470" t="s">
        <v>104</v>
      </c>
      <c r="E1470" t="s">
        <v>105</v>
      </c>
      <c r="F1470">
        <v>2</v>
      </c>
      <c r="G1470" t="s">
        <v>48</v>
      </c>
      <c r="H1470">
        <v>16</v>
      </c>
      <c r="K1470" t="s">
        <v>17</v>
      </c>
      <c r="L1470" t="s">
        <v>18</v>
      </c>
      <c r="O1470" s="5"/>
    </row>
    <row r="1471" spans="2:15" x14ac:dyDescent="0.3">
      <c r="B1471" s="4">
        <v>27</v>
      </c>
      <c r="C1471" t="s">
        <v>23</v>
      </c>
      <c r="D1471" t="s">
        <v>24</v>
      </c>
      <c r="E1471" t="s">
        <v>25</v>
      </c>
      <c r="F1471">
        <v>1</v>
      </c>
      <c r="G1471" t="s">
        <v>48</v>
      </c>
      <c r="H1471">
        <v>16</v>
      </c>
      <c r="L1471" t="s">
        <v>17</v>
      </c>
      <c r="M1471" t="s">
        <v>17</v>
      </c>
      <c r="N1471" t="s">
        <v>33</v>
      </c>
      <c r="O1471" s="5" t="s">
        <v>35</v>
      </c>
    </row>
    <row r="1472" spans="2:15" x14ac:dyDescent="0.3">
      <c r="B1472" s="4">
        <v>334</v>
      </c>
      <c r="C1472" t="s">
        <v>63</v>
      </c>
      <c r="D1472" t="s">
        <v>64</v>
      </c>
      <c r="E1472" t="s">
        <v>65</v>
      </c>
      <c r="F1472">
        <v>14</v>
      </c>
      <c r="G1472" t="s">
        <v>26</v>
      </c>
      <c r="H1472">
        <v>4</v>
      </c>
      <c r="N1472" t="s">
        <v>18</v>
      </c>
      <c r="O1472" s="5" t="s">
        <v>13</v>
      </c>
    </row>
    <row r="1473" spans="2:15" x14ac:dyDescent="0.3">
      <c r="B1473" s="4">
        <v>610</v>
      </c>
      <c r="C1473" t="s">
        <v>23</v>
      </c>
      <c r="D1473" t="s">
        <v>24</v>
      </c>
      <c r="E1473" t="s">
        <v>25</v>
      </c>
      <c r="F1473">
        <v>1</v>
      </c>
      <c r="G1473" t="s">
        <v>111</v>
      </c>
      <c r="H1473">
        <v>14</v>
      </c>
      <c r="N1473" t="s">
        <v>18</v>
      </c>
      <c r="O1473" s="5" t="s">
        <v>13</v>
      </c>
    </row>
    <row r="1474" spans="2:15" x14ac:dyDescent="0.3">
      <c r="B1474" s="4">
        <v>2342</v>
      </c>
      <c r="C1474" t="s">
        <v>92</v>
      </c>
      <c r="D1474" t="s">
        <v>93</v>
      </c>
      <c r="E1474" t="s">
        <v>11</v>
      </c>
      <c r="F1474">
        <v>8</v>
      </c>
      <c r="G1474" t="s">
        <v>111</v>
      </c>
      <c r="H1474">
        <v>14</v>
      </c>
      <c r="K1474" t="s">
        <v>13</v>
      </c>
      <c r="L1474" t="s">
        <v>18</v>
      </c>
      <c r="M1474" t="s">
        <v>18</v>
      </c>
      <c r="N1474" t="s">
        <v>18</v>
      </c>
      <c r="O1474" s="5" t="s">
        <v>18</v>
      </c>
    </row>
    <row r="1475" spans="2:15" x14ac:dyDescent="0.3">
      <c r="B1475" s="4">
        <v>413</v>
      </c>
      <c r="C1475" t="s">
        <v>23</v>
      </c>
      <c r="D1475" t="s">
        <v>24</v>
      </c>
      <c r="E1475" t="s">
        <v>25</v>
      </c>
      <c r="F1475">
        <v>1</v>
      </c>
      <c r="G1475" t="s">
        <v>26</v>
      </c>
      <c r="H1475">
        <v>4</v>
      </c>
      <c r="K1475" t="s">
        <v>13</v>
      </c>
      <c r="L1475" t="s">
        <v>18</v>
      </c>
      <c r="M1475" t="s">
        <v>13</v>
      </c>
      <c r="N1475" t="s">
        <v>13</v>
      </c>
      <c r="O1475" s="5" t="s">
        <v>18</v>
      </c>
    </row>
    <row r="1476" spans="2:15" x14ac:dyDescent="0.3">
      <c r="B1476" s="4">
        <v>4511</v>
      </c>
      <c r="C1476" t="s">
        <v>23</v>
      </c>
      <c r="D1476" t="s">
        <v>24</v>
      </c>
      <c r="E1476" t="s">
        <v>25</v>
      </c>
      <c r="F1476">
        <v>1</v>
      </c>
      <c r="G1476" t="s">
        <v>111</v>
      </c>
      <c r="H1476">
        <v>14</v>
      </c>
      <c r="M1476" t="s">
        <v>13</v>
      </c>
      <c r="N1476" t="s">
        <v>18</v>
      </c>
      <c r="O1476" s="5" t="s">
        <v>18</v>
      </c>
    </row>
    <row r="1477" spans="2:15" x14ac:dyDescent="0.3">
      <c r="B1477" s="4">
        <v>259</v>
      </c>
      <c r="C1477" t="s">
        <v>41</v>
      </c>
      <c r="D1477" t="s">
        <v>42</v>
      </c>
      <c r="E1477" t="s">
        <v>11</v>
      </c>
      <c r="F1477">
        <v>8</v>
      </c>
      <c r="G1477" t="s">
        <v>16</v>
      </c>
      <c r="H1477">
        <v>6</v>
      </c>
      <c r="I1477" t="s">
        <v>19</v>
      </c>
      <c r="J1477" t="s">
        <v>19</v>
      </c>
      <c r="K1477" t="s">
        <v>19</v>
      </c>
      <c r="L1477" t="s">
        <v>19</v>
      </c>
      <c r="M1477" t="s">
        <v>19</v>
      </c>
      <c r="N1477" t="s">
        <v>35</v>
      </c>
      <c r="O1477" s="5"/>
    </row>
    <row r="1478" spans="2:15" x14ac:dyDescent="0.3">
      <c r="B1478" s="4">
        <v>75</v>
      </c>
      <c r="C1478" t="s">
        <v>27</v>
      </c>
      <c r="D1478" t="s">
        <v>28</v>
      </c>
      <c r="E1478" t="s">
        <v>29</v>
      </c>
      <c r="F1478">
        <v>6</v>
      </c>
      <c r="G1478" t="s">
        <v>87</v>
      </c>
      <c r="H1478">
        <v>9</v>
      </c>
      <c r="K1478" t="s">
        <v>18</v>
      </c>
      <c r="L1478" t="s">
        <v>13</v>
      </c>
      <c r="M1478" t="s">
        <v>17</v>
      </c>
      <c r="N1478" t="s">
        <v>17</v>
      </c>
      <c r="O1478" s="5" t="s">
        <v>13</v>
      </c>
    </row>
    <row r="1479" spans="2:15" x14ac:dyDescent="0.3">
      <c r="B1479" s="4">
        <v>878</v>
      </c>
      <c r="C1479" t="s">
        <v>46</v>
      </c>
      <c r="D1479" t="s">
        <v>47</v>
      </c>
      <c r="E1479" t="s">
        <v>11</v>
      </c>
      <c r="F1479">
        <v>8</v>
      </c>
      <c r="G1479" t="s">
        <v>87</v>
      </c>
      <c r="H1479">
        <v>9</v>
      </c>
      <c r="I1479" t="s">
        <v>17</v>
      </c>
      <c r="J1479" t="s">
        <v>13</v>
      </c>
      <c r="K1479" t="s">
        <v>13</v>
      </c>
      <c r="L1479" t="s">
        <v>13</v>
      </c>
      <c r="M1479" t="s">
        <v>17</v>
      </c>
      <c r="N1479" t="s">
        <v>19</v>
      </c>
      <c r="O1479" s="5"/>
    </row>
    <row r="1480" spans="2:15" x14ac:dyDescent="0.3">
      <c r="B1480" s="4">
        <v>3054</v>
      </c>
      <c r="C1480" t="s">
        <v>23</v>
      </c>
      <c r="D1480" t="s">
        <v>24</v>
      </c>
      <c r="E1480" t="s">
        <v>25</v>
      </c>
      <c r="F1480">
        <v>1</v>
      </c>
      <c r="G1480" t="s">
        <v>111</v>
      </c>
      <c r="H1480">
        <v>14</v>
      </c>
      <c r="M1480" t="s">
        <v>19</v>
      </c>
      <c r="N1480" t="s">
        <v>19</v>
      </c>
      <c r="O1480" s="5" t="s">
        <v>35</v>
      </c>
    </row>
    <row r="1481" spans="2:15" x14ac:dyDescent="0.3">
      <c r="B1481" s="4">
        <v>5</v>
      </c>
      <c r="C1481" t="s">
        <v>49</v>
      </c>
      <c r="D1481" t="s">
        <v>50</v>
      </c>
      <c r="E1481" t="s">
        <v>51</v>
      </c>
      <c r="F1481">
        <v>3</v>
      </c>
      <c r="G1481" t="s">
        <v>38</v>
      </c>
      <c r="H1481">
        <v>13</v>
      </c>
      <c r="M1481" t="s">
        <v>13</v>
      </c>
      <c r="N1481" t="s">
        <v>13</v>
      </c>
      <c r="O1481" s="5" t="s">
        <v>13</v>
      </c>
    </row>
    <row r="1482" spans="2:15" x14ac:dyDescent="0.3">
      <c r="B1482" s="4">
        <v>171</v>
      </c>
      <c r="C1482" t="s">
        <v>46</v>
      </c>
      <c r="D1482" t="s">
        <v>47</v>
      </c>
      <c r="E1482" t="s">
        <v>11</v>
      </c>
      <c r="F1482">
        <v>8</v>
      </c>
      <c r="G1482" t="s">
        <v>40</v>
      </c>
      <c r="H1482">
        <v>3</v>
      </c>
      <c r="K1482" t="s">
        <v>13</v>
      </c>
      <c r="L1482" t="s">
        <v>13</v>
      </c>
      <c r="O1482" s="5"/>
    </row>
    <row r="1483" spans="2:15" x14ac:dyDescent="0.3">
      <c r="B1483" s="4">
        <v>108</v>
      </c>
      <c r="C1483" t="s">
        <v>14</v>
      </c>
      <c r="D1483" t="s">
        <v>15</v>
      </c>
      <c r="E1483" t="s">
        <v>11</v>
      </c>
      <c r="F1483">
        <v>8</v>
      </c>
      <c r="G1483" t="s">
        <v>40</v>
      </c>
      <c r="H1483">
        <v>3</v>
      </c>
      <c r="I1483" t="s">
        <v>13</v>
      </c>
      <c r="J1483" t="s">
        <v>13</v>
      </c>
      <c r="L1483" t="s">
        <v>18</v>
      </c>
      <c r="M1483" t="s">
        <v>18</v>
      </c>
      <c r="N1483" t="s">
        <v>13</v>
      </c>
      <c r="O1483" s="5" t="s">
        <v>13</v>
      </c>
    </row>
    <row r="1484" spans="2:15" x14ac:dyDescent="0.3">
      <c r="B1484" s="4">
        <v>452</v>
      </c>
      <c r="C1484" t="s">
        <v>46</v>
      </c>
      <c r="D1484" t="s">
        <v>47</v>
      </c>
      <c r="E1484" t="s">
        <v>11</v>
      </c>
      <c r="F1484">
        <v>8</v>
      </c>
      <c r="G1484" t="s">
        <v>26</v>
      </c>
      <c r="H1484">
        <v>4</v>
      </c>
      <c r="L1484" t="s">
        <v>13</v>
      </c>
      <c r="M1484" t="s">
        <v>13</v>
      </c>
      <c r="N1484" t="s">
        <v>18</v>
      </c>
      <c r="O1484" s="5" t="s">
        <v>18</v>
      </c>
    </row>
    <row r="1485" spans="2:15" x14ac:dyDescent="0.3">
      <c r="B1485" s="4">
        <v>28</v>
      </c>
      <c r="C1485" t="s">
        <v>14</v>
      </c>
      <c r="D1485" t="s">
        <v>15</v>
      </c>
      <c r="E1485" t="s">
        <v>11</v>
      </c>
      <c r="F1485">
        <v>8</v>
      </c>
      <c r="G1485" t="s">
        <v>58</v>
      </c>
      <c r="H1485">
        <v>17</v>
      </c>
      <c r="I1485" t="s">
        <v>13</v>
      </c>
      <c r="J1485" t="s">
        <v>13</v>
      </c>
      <c r="K1485" t="s">
        <v>18</v>
      </c>
      <c r="L1485" t="s">
        <v>13</v>
      </c>
      <c r="M1485" t="s">
        <v>18</v>
      </c>
      <c r="N1485" t="s">
        <v>13</v>
      </c>
      <c r="O1485" s="5"/>
    </row>
    <row r="1486" spans="2:15" x14ac:dyDescent="0.3">
      <c r="B1486" s="4">
        <v>261</v>
      </c>
      <c r="C1486" t="s">
        <v>14</v>
      </c>
      <c r="D1486" t="s">
        <v>15</v>
      </c>
      <c r="E1486" t="s">
        <v>11</v>
      </c>
      <c r="F1486">
        <v>8</v>
      </c>
      <c r="G1486" t="s">
        <v>58</v>
      </c>
      <c r="H1486">
        <v>17</v>
      </c>
      <c r="L1486" t="s">
        <v>13</v>
      </c>
      <c r="M1486" t="s">
        <v>18</v>
      </c>
      <c r="N1486" t="s">
        <v>13</v>
      </c>
      <c r="O1486" s="5" t="s">
        <v>18</v>
      </c>
    </row>
    <row r="1487" spans="2:15" x14ac:dyDescent="0.3">
      <c r="B1487" s="4">
        <v>3</v>
      </c>
      <c r="C1487" t="s">
        <v>46</v>
      </c>
      <c r="D1487" t="s">
        <v>47</v>
      </c>
      <c r="E1487" t="s">
        <v>11</v>
      </c>
      <c r="F1487">
        <v>8</v>
      </c>
      <c r="G1487" t="s">
        <v>58</v>
      </c>
      <c r="H1487">
        <v>17</v>
      </c>
      <c r="I1487" t="s">
        <v>19</v>
      </c>
      <c r="J1487" t="s">
        <v>18</v>
      </c>
      <c r="K1487" t="s">
        <v>17</v>
      </c>
      <c r="L1487" t="s">
        <v>17</v>
      </c>
      <c r="M1487" t="s">
        <v>17</v>
      </c>
      <c r="N1487" t="s">
        <v>18</v>
      </c>
      <c r="O1487" s="5" t="s">
        <v>17</v>
      </c>
    </row>
    <row r="1488" spans="2:15" x14ac:dyDescent="0.3">
      <c r="B1488" s="4">
        <v>3</v>
      </c>
      <c r="C1488" t="s">
        <v>36</v>
      </c>
      <c r="D1488" t="s">
        <v>37</v>
      </c>
      <c r="E1488" t="s">
        <v>11</v>
      </c>
      <c r="F1488">
        <v>8</v>
      </c>
      <c r="G1488" t="s">
        <v>55</v>
      </c>
      <c r="H1488">
        <v>2</v>
      </c>
      <c r="K1488" t="s">
        <v>13</v>
      </c>
      <c r="L1488" t="s">
        <v>19</v>
      </c>
      <c r="M1488" t="s">
        <v>52</v>
      </c>
      <c r="N1488" t="s">
        <v>52</v>
      </c>
      <c r="O1488" s="5" t="s">
        <v>35</v>
      </c>
    </row>
    <row r="1489" spans="2:15" x14ac:dyDescent="0.3">
      <c r="B1489" s="4">
        <v>1</v>
      </c>
      <c r="C1489" t="s">
        <v>49</v>
      </c>
      <c r="D1489" t="s">
        <v>50</v>
      </c>
      <c r="E1489" t="s">
        <v>51</v>
      </c>
      <c r="F1489">
        <v>3</v>
      </c>
      <c r="G1489" t="s">
        <v>16</v>
      </c>
      <c r="H1489">
        <v>6</v>
      </c>
      <c r="I1489" t="s">
        <v>13</v>
      </c>
      <c r="J1489" t="s">
        <v>13</v>
      </c>
      <c r="K1489" t="s">
        <v>13</v>
      </c>
      <c r="L1489" t="s">
        <v>13</v>
      </c>
      <c r="M1489" t="s">
        <v>18</v>
      </c>
      <c r="N1489" t="s">
        <v>18</v>
      </c>
      <c r="O1489" s="5" t="s">
        <v>18</v>
      </c>
    </row>
    <row r="1490" spans="2:15" x14ac:dyDescent="0.3">
      <c r="B1490" s="4">
        <v>253</v>
      </c>
      <c r="C1490" t="s">
        <v>46</v>
      </c>
      <c r="D1490" t="s">
        <v>47</v>
      </c>
      <c r="E1490" t="s">
        <v>11</v>
      </c>
      <c r="F1490">
        <v>8</v>
      </c>
      <c r="G1490" t="s">
        <v>12</v>
      </c>
      <c r="H1490">
        <v>7</v>
      </c>
      <c r="I1490" t="s">
        <v>17</v>
      </c>
      <c r="J1490" t="s">
        <v>17</v>
      </c>
      <c r="K1490" t="s">
        <v>18</v>
      </c>
      <c r="L1490" t="s">
        <v>18</v>
      </c>
      <c r="M1490" t="s">
        <v>17</v>
      </c>
      <c r="O1490" s="5"/>
    </row>
    <row r="1491" spans="2:15" x14ac:dyDescent="0.3">
      <c r="B1491" s="4">
        <v>1126</v>
      </c>
      <c r="C1491" t="s">
        <v>41</v>
      </c>
      <c r="D1491" t="s">
        <v>42</v>
      </c>
      <c r="E1491" t="s">
        <v>11</v>
      </c>
      <c r="F1491">
        <v>8</v>
      </c>
      <c r="G1491" t="s">
        <v>74</v>
      </c>
      <c r="H1491">
        <v>15</v>
      </c>
      <c r="L1491" t="s">
        <v>18</v>
      </c>
      <c r="M1491" t="s">
        <v>18</v>
      </c>
      <c r="N1491" t="s">
        <v>18</v>
      </c>
      <c r="O1491" s="5" t="s">
        <v>18</v>
      </c>
    </row>
    <row r="1492" spans="2:15" x14ac:dyDescent="0.3">
      <c r="B1492" s="4">
        <v>1671</v>
      </c>
      <c r="C1492" t="s">
        <v>84</v>
      </c>
      <c r="D1492" t="s">
        <v>85</v>
      </c>
      <c r="E1492" t="s">
        <v>86</v>
      </c>
      <c r="F1492">
        <v>12</v>
      </c>
      <c r="G1492" t="s">
        <v>66</v>
      </c>
      <c r="H1492">
        <v>5</v>
      </c>
      <c r="L1492" t="s">
        <v>18</v>
      </c>
      <c r="M1492" t="s">
        <v>13</v>
      </c>
      <c r="O1492" s="5"/>
    </row>
    <row r="1493" spans="2:15" x14ac:dyDescent="0.3">
      <c r="B1493" s="4">
        <v>824</v>
      </c>
      <c r="C1493" t="s">
        <v>46</v>
      </c>
      <c r="D1493" t="s">
        <v>47</v>
      </c>
      <c r="E1493" t="s">
        <v>11</v>
      </c>
      <c r="F1493">
        <v>8</v>
      </c>
      <c r="G1493" t="s">
        <v>26</v>
      </c>
      <c r="H1493">
        <v>4</v>
      </c>
      <c r="J1493" t="s">
        <v>19</v>
      </c>
      <c r="K1493" t="s">
        <v>33</v>
      </c>
      <c r="L1493" t="s">
        <v>19</v>
      </c>
      <c r="M1493" t="s">
        <v>17</v>
      </c>
      <c r="N1493" t="s">
        <v>19</v>
      </c>
      <c r="O1493" s="5" t="s">
        <v>19</v>
      </c>
    </row>
    <row r="1494" spans="2:15" x14ac:dyDescent="0.3">
      <c r="B1494" s="4">
        <v>60</v>
      </c>
      <c r="C1494" t="s">
        <v>14</v>
      </c>
      <c r="D1494" t="s">
        <v>15</v>
      </c>
      <c r="E1494" t="s">
        <v>11</v>
      </c>
      <c r="F1494">
        <v>8</v>
      </c>
      <c r="G1494" t="s">
        <v>26</v>
      </c>
      <c r="H1494">
        <v>4</v>
      </c>
      <c r="M1494" t="s">
        <v>18</v>
      </c>
      <c r="N1494" t="s">
        <v>18</v>
      </c>
      <c r="O1494" s="5" t="s">
        <v>18</v>
      </c>
    </row>
    <row r="1495" spans="2:15" x14ac:dyDescent="0.3">
      <c r="B1495" s="4">
        <v>24</v>
      </c>
      <c r="C1495" t="s">
        <v>14</v>
      </c>
      <c r="D1495" t="s">
        <v>15</v>
      </c>
      <c r="E1495" t="s">
        <v>11</v>
      </c>
      <c r="F1495">
        <v>8</v>
      </c>
      <c r="G1495" t="s">
        <v>30</v>
      </c>
      <c r="H1495">
        <v>18</v>
      </c>
      <c r="I1495" t="s">
        <v>13</v>
      </c>
      <c r="J1495" t="s">
        <v>13</v>
      </c>
      <c r="K1495" t="s">
        <v>13</v>
      </c>
      <c r="L1495" t="s">
        <v>18</v>
      </c>
      <c r="M1495" t="s">
        <v>18</v>
      </c>
      <c r="N1495" t="s">
        <v>18</v>
      </c>
      <c r="O1495" s="5" t="s">
        <v>18</v>
      </c>
    </row>
    <row r="1496" spans="2:15" x14ac:dyDescent="0.3">
      <c r="B1496" s="4">
        <v>551</v>
      </c>
      <c r="C1496" t="s">
        <v>70</v>
      </c>
      <c r="D1496" t="s">
        <v>71</v>
      </c>
      <c r="E1496" t="s">
        <v>11</v>
      </c>
      <c r="F1496">
        <v>8</v>
      </c>
      <c r="G1496" t="s">
        <v>12</v>
      </c>
      <c r="H1496">
        <v>7</v>
      </c>
      <c r="I1496" t="s">
        <v>19</v>
      </c>
      <c r="J1496" t="s">
        <v>19</v>
      </c>
      <c r="K1496" t="s">
        <v>19</v>
      </c>
      <c r="L1496" t="s">
        <v>13</v>
      </c>
      <c r="O1496" s="5"/>
    </row>
    <row r="1497" spans="2:15" x14ac:dyDescent="0.3">
      <c r="B1497" s="4">
        <v>571</v>
      </c>
      <c r="C1497" t="s">
        <v>46</v>
      </c>
      <c r="D1497" t="s">
        <v>47</v>
      </c>
      <c r="E1497" t="s">
        <v>11</v>
      </c>
      <c r="F1497">
        <v>8</v>
      </c>
      <c r="G1497" t="s">
        <v>48</v>
      </c>
      <c r="H1497">
        <v>16</v>
      </c>
      <c r="M1497" t="s">
        <v>19</v>
      </c>
      <c r="N1497" t="s">
        <v>19</v>
      </c>
      <c r="O1497" s="5"/>
    </row>
    <row r="1498" spans="2:15" x14ac:dyDescent="0.3">
      <c r="B1498" s="4">
        <v>125</v>
      </c>
      <c r="C1498" t="s">
        <v>31</v>
      </c>
      <c r="D1498" t="s">
        <v>32</v>
      </c>
      <c r="E1498" t="s">
        <v>11</v>
      </c>
      <c r="F1498">
        <v>8</v>
      </c>
      <c r="G1498" t="s">
        <v>48</v>
      </c>
      <c r="H1498">
        <v>16</v>
      </c>
      <c r="M1498" t="s">
        <v>18</v>
      </c>
      <c r="N1498" t="s">
        <v>18</v>
      </c>
      <c r="O1498" s="5" t="s">
        <v>18</v>
      </c>
    </row>
    <row r="1499" spans="2:15" x14ac:dyDescent="0.3">
      <c r="B1499" s="4">
        <v>120</v>
      </c>
      <c r="C1499" t="s">
        <v>41</v>
      </c>
      <c r="D1499" t="s">
        <v>42</v>
      </c>
      <c r="E1499" t="s">
        <v>11</v>
      </c>
      <c r="F1499">
        <v>8</v>
      </c>
      <c r="G1499" t="s">
        <v>48</v>
      </c>
      <c r="H1499">
        <v>16</v>
      </c>
      <c r="I1499" t="s">
        <v>19</v>
      </c>
      <c r="J1499" t="s">
        <v>19</v>
      </c>
      <c r="K1499" t="s">
        <v>33</v>
      </c>
      <c r="L1499" t="s">
        <v>19</v>
      </c>
      <c r="M1499" t="s">
        <v>52</v>
      </c>
      <c r="N1499" t="s">
        <v>52</v>
      </c>
      <c r="O1499" s="5" t="s">
        <v>34</v>
      </c>
    </row>
    <row r="1500" spans="2:15" x14ac:dyDescent="0.3">
      <c r="B1500" s="4">
        <v>9</v>
      </c>
      <c r="C1500" t="s">
        <v>27</v>
      </c>
      <c r="D1500" t="s">
        <v>28</v>
      </c>
      <c r="E1500" t="s">
        <v>29</v>
      </c>
      <c r="F1500">
        <v>6</v>
      </c>
      <c r="G1500" t="s">
        <v>22</v>
      </c>
      <c r="H1500">
        <v>1</v>
      </c>
      <c r="N1500" t="s">
        <v>13</v>
      </c>
      <c r="O1500" s="5" t="s">
        <v>13</v>
      </c>
    </row>
    <row r="1501" spans="2:15" x14ac:dyDescent="0.3">
      <c r="B1501" s="4">
        <v>121</v>
      </c>
      <c r="C1501" t="s">
        <v>46</v>
      </c>
      <c r="D1501" t="s">
        <v>47</v>
      </c>
      <c r="E1501" t="s">
        <v>11</v>
      </c>
      <c r="F1501">
        <v>8</v>
      </c>
      <c r="G1501" t="s">
        <v>40</v>
      </c>
      <c r="H1501">
        <v>3</v>
      </c>
      <c r="K1501" t="s">
        <v>13</v>
      </c>
      <c r="L1501" t="s">
        <v>13</v>
      </c>
      <c r="M1501" t="s">
        <v>13</v>
      </c>
      <c r="N1501" t="s">
        <v>18</v>
      </c>
      <c r="O1501" s="5" t="s">
        <v>18</v>
      </c>
    </row>
    <row r="1502" spans="2:15" x14ac:dyDescent="0.3">
      <c r="B1502" s="4">
        <v>395</v>
      </c>
      <c r="C1502" t="s">
        <v>36</v>
      </c>
      <c r="D1502" t="s">
        <v>37</v>
      </c>
      <c r="E1502" t="s">
        <v>11</v>
      </c>
      <c r="F1502">
        <v>8</v>
      </c>
      <c r="G1502" t="s">
        <v>40</v>
      </c>
      <c r="H1502">
        <v>3</v>
      </c>
      <c r="K1502" t="s">
        <v>13</v>
      </c>
      <c r="L1502" t="s">
        <v>13</v>
      </c>
      <c r="M1502" t="s">
        <v>17</v>
      </c>
      <c r="N1502" t="s">
        <v>52</v>
      </c>
      <c r="O1502" s="5" t="s">
        <v>35</v>
      </c>
    </row>
    <row r="1503" spans="2:15" x14ac:dyDescent="0.3">
      <c r="B1503" s="4">
        <v>437</v>
      </c>
      <c r="C1503" t="s">
        <v>14</v>
      </c>
      <c r="D1503" t="s">
        <v>15</v>
      </c>
      <c r="E1503" t="s">
        <v>11</v>
      </c>
      <c r="F1503">
        <v>8</v>
      </c>
      <c r="G1503" t="s">
        <v>38</v>
      </c>
      <c r="H1503">
        <v>13</v>
      </c>
      <c r="M1503" t="s">
        <v>13</v>
      </c>
      <c r="N1503" t="s">
        <v>17</v>
      </c>
      <c r="O1503" s="5" t="s">
        <v>18</v>
      </c>
    </row>
    <row r="1504" spans="2:15" x14ac:dyDescent="0.3">
      <c r="B1504" s="4">
        <v>70</v>
      </c>
      <c r="C1504" t="s">
        <v>43</v>
      </c>
      <c r="D1504" t="s">
        <v>44</v>
      </c>
      <c r="E1504" t="s">
        <v>45</v>
      </c>
      <c r="F1504">
        <v>5</v>
      </c>
      <c r="G1504" t="s">
        <v>66</v>
      </c>
      <c r="H1504">
        <v>5</v>
      </c>
      <c r="J1504" t="s">
        <v>17</v>
      </c>
      <c r="K1504" t="s">
        <v>34</v>
      </c>
      <c r="L1504" t="s">
        <v>35</v>
      </c>
      <c r="O1504" s="5"/>
    </row>
    <row r="1505" spans="2:15" x14ac:dyDescent="0.3">
      <c r="B1505" s="4">
        <v>65</v>
      </c>
      <c r="C1505" t="s">
        <v>14</v>
      </c>
      <c r="D1505" t="s">
        <v>15</v>
      </c>
      <c r="E1505" t="s">
        <v>11</v>
      </c>
      <c r="F1505">
        <v>8</v>
      </c>
      <c r="G1505" t="s">
        <v>26</v>
      </c>
      <c r="H1505">
        <v>4</v>
      </c>
      <c r="M1505" t="s">
        <v>13</v>
      </c>
      <c r="N1505" t="s">
        <v>13</v>
      </c>
      <c r="O1505" s="5"/>
    </row>
    <row r="1506" spans="2:15" x14ac:dyDescent="0.3">
      <c r="B1506" s="4">
        <v>1507</v>
      </c>
      <c r="C1506" t="s">
        <v>41</v>
      </c>
      <c r="D1506" t="s">
        <v>42</v>
      </c>
      <c r="E1506" t="s">
        <v>11</v>
      </c>
      <c r="F1506">
        <v>8</v>
      </c>
      <c r="G1506" t="s">
        <v>26</v>
      </c>
      <c r="H1506">
        <v>4</v>
      </c>
      <c r="N1506" t="s">
        <v>52</v>
      </c>
      <c r="O1506" s="5" t="s">
        <v>34</v>
      </c>
    </row>
    <row r="1507" spans="2:15" x14ac:dyDescent="0.3">
      <c r="B1507" s="4">
        <v>1696</v>
      </c>
      <c r="C1507" t="s">
        <v>23</v>
      </c>
      <c r="D1507" t="s">
        <v>24</v>
      </c>
      <c r="E1507" t="s">
        <v>25</v>
      </c>
      <c r="F1507">
        <v>1</v>
      </c>
      <c r="G1507" t="s">
        <v>30</v>
      </c>
      <c r="H1507">
        <v>18</v>
      </c>
      <c r="N1507" t="s">
        <v>13</v>
      </c>
      <c r="O1507" s="5" t="s">
        <v>13</v>
      </c>
    </row>
    <row r="1508" spans="2:15" x14ac:dyDescent="0.3">
      <c r="B1508" s="4">
        <v>103</v>
      </c>
      <c r="C1508" t="s">
        <v>41</v>
      </c>
      <c r="D1508" t="s">
        <v>42</v>
      </c>
      <c r="E1508" t="s">
        <v>11</v>
      </c>
      <c r="F1508">
        <v>8</v>
      </c>
      <c r="G1508" t="s">
        <v>12</v>
      </c>
      <c r="H1508">
        <v>7</v>
      </c>
      <c r="L1508" t="s">
        <v>13</v>
      </c>
      <c r="M1508" t="s">
        <v>13</v>
      </c>
      <c r="N1508" t="s">
        <v>17</v>
      </c>
      <c r="O1508" s="5" t="s">
        <v>17</v>
      </c>
    </row>
    <row r="1509" spans="2:15" x14ac:dyDescent="0.3">
      <c r="B1509" s="4">
        <v>2052</v>
      </c>
      <c r="C1509" t="s">
        <v>20</v>
      </c>
      <c r="D1509" t="s">
        <v>21</v>
      </c>
      <c r="E1509" t="s">
        <v>11</v>
      </c>
      <c r="F1509">
        <v>8</v>
      </c>
      <c r="G1509" t="s">
        <v>48</v>
      </c>
      <c r="H1509">
        <v>16</v>
      </c>
      <c r="N1509" t="s">
        <v>13</v>
      </c>
      <c r="O1509" s="5" t="s">
        <v>17</v>
      </c>
    </row>
    <row r="1510" spans="2:15" x14ac:dyDescent="0.3">
      <c r="B1510" s="4">
        <v>273</v>
      </c>
      <c r="C1510" t="s">
        <v>14</v>
      </c>
      <c r="D1510" t="s">
        <v>15</v>
      </c>
      <c r="E1510" t="s">
        <v>11</v>
      </c>
      <c r="F1510">
        <v>8</v>
      </c>
      <c r="G1510" t="s">
        <v>48</v>
      </c>
      <c r="H1510">
        <v>16</v>
      </c>
      <c r="I1510" t="s">
        <v>17</v>
      </c>
      <c r="J1510" t="s">
        <v>19</v>
      </c>
      <c r="K1510" t="s">
        <v>17</v>
      </c>
      <c r="L1510" t="s">
        <v>13</v>
      </c>
      <c r="M1510" t="s">
        <v>13</v>
      </c>
      <c r="N1510" t="s">
        <v>13</v>
      </c>
      <c r="O1510" s="5" t="s">
        <v>18</v>
      </c>
    </row>
    <row r="1511" spans="2:15" x14ac:dyDescent="0.3">
      <c r="B1511" s="4">
        <v>290</v>
      </c>
      <c r="C1511" t="s">
        <v>46</v>
      </c>
      <c r="D1511" t="s">
        <v>47</v>
      </c>
      <c r="E1511" t="s">
        <v>11</v>
      </c>
      <c r="F1511">
        <v>8</v>
      </c>
      <c r="G1511" t="s">
        <v>48</v>
      </c>
      <c r="H1511">
        <v>16</v>
      </c>
      <c r="J1511" t="s">
        <v>18</v>
      </c>
      <c r="K1511" t="s">
        <v>18</v>
      </c>
      <c r="L1511" t="s">
        <v>18</v>
      </c>
      <c r="M1511" t="s">
        <v>18</v>
      </c>
      <c r="N1511" t="s">
        <v>13</v>
      </c>
      <c r="O1511" s="5" t="s">
        <v>13</v>
      </c>
    </row>
    <row r="1512" spans="2:15" x14ac:dyDescent="0.3">
      <c r="B1512" s="4">
        <v>298</v>
      </c>
      <c r="C1512" t="s">
        <v>46</v>
      </c>
      <c r="D1512" t="s">
        <v>47</v>
      </c>
      <c r="E1512" t="s">
        <v>11</v>
      </c>
      <c r="F1512">
        <v>8</v>
      </c>
      <c r="G1512" t="s">
        <v>22</v>
      </c>
      <c r="H1512">
        <v>1</v>
      </c>
      <c r="I1512" t="s">
        <v>18</v>
      </c>
      <c r="J1512" t="s">
        <v>18</v>
      </c>
      <c r="K1512" t="s">
        <v>17</v>
      </c>
      <c r="L1512" t="s">
        <v>17</v>
      </c>
      <c r="M1512" t="s">
        <v>18</v>
      </c>
      <c r="N1512" t="s">
        <v>13</v>
      </c>
      <c r="O1512" s="5" t="s">
        <v>13</v>
      </c>
    </row>
    <row r="1513" spans="2:15" x14ac:dyDescent="0.3">
      <c r="B1513" s="4">
        <v>874</v>
      </c>
      <c r="C1513" t="s">
        <v>23</v>
      </c>
      <c r="D1513" t="s">
        <v>24</v>
      </c>
      <c r="E1513" t="s">
        <v>25</v>
      </c>
      <c r="F1513">
        <v>1</v>
      </c>
      <c r="G1513" t="s">
        <v>40</v>
      </c>
      <c r="H1513">
        <v>3</v>
      </c>
      <c r="M1513" t="s">
        <v>18</v>
      </c>
      <c r="N1513" t="s">
        <v>18</v>
      </c>
      <c r="O1513" s="5" t="s">
        <v>13</v>
      </c>
    </row>
    <row r="1514" spans="2:15" x14ac:dyDescent="0.3">
      <c r="B1514" s="4">
        <v>2404</v>
      </c>
      <c r="C1514" t="s">
        <v>9</v>
      </c>
      <c r="D1514" t="s">
        <v>10</v>
      </c>
      <c r="E1514" t="s">
        <v>11</v>
      </c>
      <c r="F1514">
        <v>8</v>
      </c>
      <c r="G1514" t="s">
        <v>40</v>
      </c>
      <c r="H1514">
        <v>3</v>
      </c>
      <c r="N1514" t="s">
        <v>18</v>
      </c>
      <c r="O1514" s="5" t="s">
        <v>18</v>
      </c>
    </row>
    <row r="1515" spans="2:15" x14ac:dyDescent="0.3">
      <c r="B1515" s="4">
        <v>106</v>
      </c>
      <c r="C1515" t="s">
        <v>46</v>
      </c>
      <c r="D1515" t="s">
        <v>47</v>
      </c>
      <c r="E1515" t="s">
        <v>11</v>
      </c>
      <c r="F1515">
        <v>8</v>
      </c>
      <c r="G1515" t="s">
        <v>30</v>
      </c>
      <c r="H1515">
        <v>18</v>
      </c>
      <c r="N1515" t="s">
        <v>13</v>
      </c>
      <c r="O1515" s="5" t="s">
        <v>18</v>
      </c>
    </row>
    <row r="1516" spans="2:15" x14ac:dyDescent="0.3">
      <c r="B1516" s="4">
        <v>2176</v>
      </c>
      <c r="C1516" t="s">
        <v>9</v>
      </c>
      <c r="D1516" t="s">
        <v>10</v>
      </c>
      <c r="E1516" t="s">
        <v>11</v>
      </c>
      <c r="F1516">
        <v>8</v>
      </c>
      <c r="G1516" t="s">
        <v>30</v>
      </c>
      <c r="H1516">
        <v>18</v>
      </c>
      <c r="N1516" t="s">
        <v>17</v>
      </c>
      <c r="O1516" s="5" t="s">
        <v>18</v>
      </c>
    </row>
    <row r="1517" spans="2:15" x14ac:dyDescent="0.3">
      <c r="B1517" s="4">
        <v>18</v>
      </c>
      <c r="C1517" t="s">
        <v>46</v>
      </c>
      <c r="D1517" t="s">
        <v>47</v>
      </c>
      <c r="E1517" t="s">
        <v>11</v>
      </c>
      <c r="F1517">
        <v>8</v>
      </c>
      <c r="G1517" t="s">
        <v>16</v>
      </c>
      <c r="H1517">
        <v>6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  <c r="O1517" s="5" t="s">
        <v>19</v>
      </c>
    </row>
    <row r="1518" spans="2:15" x14ac:dyDescent="0.3">
      <c r="B1518" s="4">
        <v>994</v>
      </c>
      <c r="C1518" t="s">
        <v>84</v>
      </c>
      <c r="D1518" t="s">
        <v>85</v>
      </c>
      <c r="E1518" t="s">
        <v>86</v>
      </c>
      <c r="F1518">
        <v>12</v>
      </c>
      <c r="G1518" t="s">
        <v>16</v>
      </c>
      <c r="H1518">
        <v>6</v>
      </c>
      <c r="J1518" t="s">
        <v>18</v>
      </c>
      <c r="K1518" t="s">
        <v>18</v>
      </c>
      <c r="L1518" t="s">
        <v>18</v>
      </c>
      <c r="M1518" t="s">
        <v>18</v>
      </c>
      <c r="N1518" t="s">
        <v>19</v>
      </c>
      <c r="O1518" s="5" t="s">
        <v>13</v>
      </c>
    </row>
    <row r="1519" spans="2:15" x14ac:dyDescent="0.3">
      <c r="B1519" s="4">
        <v>876</v>
      </c>
      <c r="C1519" t="s">
        <v>49</v>
      </c>
      <c r="D1519" t="s">
        <v>50</v>
      </c>
      <c r="E1519" t="s">
        <v>51</v>
      </c>
      <c r="F1519">
        <v>3</v>
      </c>
      <c r="G1519" t="s">
        <v>22</v>
      </c>
      <c r="H1519">
        <v>1</v>
      </c>
      <c r="N1519" t="s">
        <v>13</v>
      </c>
      <c r="O1519" s="5" t="s">
        <v>13</v>
      </c>
    </row>
    <row r="1520" spans="2:15" x14ac:dyDescent="0.3">
      <c r="B1520" s="4">
        <v>127</v>
      </c>
      <c r="C1520" t="s">
        <v>14</v>
      </c>
      <c r="D1520" t="s">
        <v>15</v>
      </c>
      <c r="E1520" t="s">
        <v>11</v>
      </c>
      <c r="F1520">
        <v>8</v>
      </c>
      <c r="G1520" t="s">
        <v>40</v>
      </c>
      <c r="H1520">
        <v>3</v>
      </c>
      <c r="I1520" t="s">
        <v>18</v>
      </c>
      <c r="J1520" t="s">
        <v>18</v>
      </c>
      <c r="K1520" t="s">
        <v>17</v>
      </c>
      <c r="L1520" t="s">
        <v>19</v>
      </c>
      <c r="M1520" t="s">
        <v>17</v>
      </c>
      <c r="N1520" t="s">
        <v>19</v>
      </c>
      <c r="O1520" s="5" t="s">
        <v>18</v>
      </c>
    </row>
    <row r="1521" spans="2:15" x14ac:dyDescent="0.3">
      <c r="B1521" s="4">
        <v>5</v>
      </c>
      <c r="C1521" t="s">
        <v>49</v>
      </c>
      <c r="D1521" t="s">
        <v>50</v>
      </c>
      <c r="E1521" t="s">
        <v>51</v>
      </c>
      <c r="F1521">
        <v>3</v>
      </c>
      <c r="G1521" t="s">
        <v>40</v>
      </c>
      <c r="H1521">
        <v>3</v>
      </c>
      <c r="M1521" t="s">
        <v>13</v>
      </c>
      <c r="N1521" t="s">
        <v>13</v>
      </c>
      <c r="O1521" s="5" t="s">
        <v>18</v>
      </c>
    </row>
    <row r="1522" spans="2:15" x14ac:dyDescent="0.3">
      <c r="B1522" s="4">
        <v>840</v>
      </c>
      <c r="C1522" t="s">
        <v>43</v>
      </c>
      <c r="D1522" t="s">
        <v>44</v>
      </c>
      <c r="E1522" t="s">
        <v>45</v>
      </c>
      <c r="F1522">
        <v>5</v>
      </c>
      <c r="G1522" t="s">
        <v>30</v>
      </c>
      <c r="H1522">
        <v>18</v>
      </c>
      <c r="N1522" t="s">
        <v>19</v>
      </c>
      <c r="O1522" s="5" t="s">
        <v>19</v>
      </c>
    </row>
    <row r="1523" spans="2:15" x14ac:dyDescent="0.3">
      <c r="B1523" s="4">
        <v>4</v>
      </c>
      <c r="C1523" t="s">
        <v>46</v>
      </c>
      <c r="D1523" t="s">
        <v>47</v>
      </c>
      <c r="E1523" t="s">
        <v>11</v>
      </c>
      <c r="F1523">
        <v>8</v>
      </c>
      <c r="G1523" t="s">
        <v>40</v>
      </c>
      <c r="H1523">
        <v>3</v>
      </c>
      <c r="K1523" t="s">
        <v>13</v>
      </c>
      <c r="L1523" t="s">
        <v>13</v>
      </c>
      <c r="M1523" t="s">
        <v>13</v>
      </c>
      <c r="O1523" s="5"/>
    </row>
    <row r="1524" spans="2:15" x14ac:dyDescent="0.3">
      <c r="B1524" s="4">
        <v>849</v>
      </c>
      <c r="C1524" t="s">
        <v>67</v>
      </c>
      <c r="D1524" t="s">
        <v>68</v>
      </c>
      <c r="E1524" t="s">
        <v>69</v>
      </c>
      <c r="F1524">
        <v>11</v>
      </c>
      <c r="G1524" t="s">
        <v>12</v>
      </c>
      <c r="H1524">
        <v>7</v>
      </c>
      <c r="M1524" t="s">
        <v>17</v>
      </c>
      <c r="N1524" t="s">
        <v>17</v>
      </c>
      <c r="O1524" s="5" t="s">
        <v>18</v>
      </c>
    </row>
    <row r="1525" spans="2:15" x14ac:dyDescent="0.3">
      <c r="B1525" s="4">
        <v>625</v>
      </c>
      <c r="C1525" t="s">
        <v>14</v>
      </c>
      <c r="D1525" t="s">
        <v>15</v>
      </c>
      <c r="E1525" t="s">
        <v>11</v>
      </c>
      <c r="F1525">
        <v>8</v>
      </c>
      <c r="G1525" t="s">
        <v>89</v>
      </c>
      <c r="H1525">
        <v>11</v>
      </c>
      <c r="N1525" t="s">
        <v>13</v>
      </c>
      <c r="O1525" s="5" t="s">
        <v>17</v>
      </c>
    </row>
    <row r="1526" spans="2:15" x14ac:dyDescent="0.3">
      <c r="B1526" s="4">
        <v>2832</v>
      </c>
      <c r="C1526" t="s">
        <v>14</v>
      </c>
      <c r="D1526" t="s">
        <v>15</v>
      </c>
      <c r="E1526" t="s">
        <v>11</v>
      </c>
      <c r="F1526">
        <v>8</v>
      </c>
      <c r="G1526" t="s">
        <v>89</v>
      </c>
      <c r="H1526">
        <v>11</v>
      </c>
      <c r="K1526" t="s">
        <v>13</v>
      </c>
      <c r="L1526" t="s">
        <v>13</v>
      </c>
      <c r="M1526" t="s">
        <v>18</v>
      </c>
      <c r="N1526" t="s">
        <v>13</v>
      </c>
      <c r="O1526" s="5"/>
    </row>
    <row r="1527" spans="2:15" x14ac:dyDescent="0.3">
      <c r="B1527" s="4">
        <v>466</v>
      </c>
      <c r="C1527" t="s">
        <v>90</v>
      </c>
      <c r="D1527" t="s">
        <v>91</v>
      </c>
      <c r="E1527" t="s">
        <v>11</v>
      </c>
      <c r="F1527">
        <v>8</v>
      </c>
      <c r="G1527" t="s">
        <v>87</v>
      </c>
      <c r="H1527">
        <v>9</v>
      </c>
      <c r="N1527" t="s">
        <v>18</v>
      </c>
      <c r="O1527" s="5" t="s">
        <v>17</v>
      </c>
    </row>
    <row r="1528" spans="2:15" x14ac:dyDescent="0.3">
      <c r="B1528" s="4">
        <v>214</v>
      </c>
      <c r="C1528" t="s">
        <v>14</v>
      </c>
      <c r="D1528" t="s">
        <v>15</v>
      </c>
      <c r="E1528" t="s">
        <v>11</v>
      </c>
      <c r="F1528">
        <v>8</v>
      </c>
      <c r="G1528" t="s">
        <v>87</v>
      </c>
      <c r="H1528">
        <v>9</v>
      </c>
      <c r="L1528" t="s">
        <v>13</v>
      </c>
      <c r="M1528" t="s">
        <v>13</v>
      </c>
      <c r="N1528" t="s">
        <v>13</v>
      </c>
      <c r="O1528" s="5" t="s">
        <v>13</v>
      </c>
    </row>
    <row r="1529" spans="2:15" x14ac:dyDescent="0.3">
      <c r="B1529" s="4">
        <v>144</v>
      </c>
      <c r="C1529" t="s">
        <v>14</v>
      </c>
      <c r="D1529" t="s">
        <v>15</v>
      </c>
      <c r="E1529" t="s">
        <v>11</v>
      </c>
      <c r="F1529">
        <v>8</v>
      </c>
      <c r="G1529" t="s">
        <v>48</v>
      </c>
      <c r="H1529">
        <v>16</v>
      </c>
      <c r="I1529" t="s">
        <v>17</v>
      </c>
      <c r="J1529" t="s">
        <v>17</v>
      </c>
      <c r="L1529" t="s">
        <v>13</v>
      </c>
      <c r="M1529" t="s">
        <v>13</v>
      </c>
      <c r="N1529" t="s">
        <v>18</v>
      </c>
      <c r="O1529" s="5" t="s">
        <v>19</v>
      </c>
    </row>
    <row r="1530" spans="2:15" x14ac:dyDescent="0.3">
      <c r="B1530" s="4">
        <v>1678</v>
      </c>
      <c r="C1530" t="s">
        <v>14</v>
      </c>
      <c r="D1530" t="s">
        <v>15</v>
      </c>
      <c r="E1530" t="s">
        <v>11</v>
      </c>
      <c r="F1530">
        <v>8</v>
      </c>
      <c r="G1530" t="s">
        <v>12</v>
      </c>
      <c r="H1530">
        <v>7</v>
      </c>
      <c r="M1530" t="s">
        <v>19</v>
      </c>
      <c r="N1530" t="s">
        <v>19</v>
      </c>
      <c r="O1530" s="5" t="s">
        <v>52</v>
      </c>
    </row>
    <row r="1531" spans="2:15" x14ac:dyDescent="0.3">
      <c r="B1531" s="4">
        <v>1613</v>
      </c>
      <c r="C1531" t="s">
        <v>23</v>
      </c>
      <c r="D1531" t="s">
        <v>24</v>
      </c>
      <c r="E1531" t="s">
        <v>25</v>
      </c>
      <c r="F1531">
        <v>1</v>
      </c>
      <c r="G1531" t="s">
        <v>87</v>
      </c>
      <c r="H1531">
        <v>9</v>
      </c>
      <c r="M1531" t="s">
        <v>19</v>
      </c>
      <c r="N1531" t="s">
        <v>19</v>
      </c>
      <c r="O1531" s="5" t="s">
        <v>17</v>
      </c>
    </row>
    <row r="1532" spans="2:15" x14ac:dyDescent="0.3">
      <c r="B1532" s="4">
        <v>226</v>
      </c>
      <c r="C1532" t="s">
        <v>59</v>
      </c>
      <c r="D1532" t="s">
        <v>60</v>
      </c>
      <c r="E1532" t="s">
        <v>11</v>
      </c>
      <c r="F1532">
        <v>8</v>
      </c>
      <c r="G1532" t="s">
        <v>111</v>
      </c>
      <c r="H1532">
        <v>14</v>
      </c>
      <c r="I1532" t="s">
        <v>18</v>
      </c>
      <c r="J1532" t="s">
        <v>18</v>
      </c>
      <c r="K1532" t="s">
        <v>18</v>
      </c>
      <c r="L1532" t="s">
        <v>19</v>
      </c>
      <c r="M1532" t="s">
        <v>52</v>
      </c>
      <c r="N1532" t="s">
        <v>33</v>
      </c>
      <c r="O1532" s="5" t="s">
        <v>33</v>
      </c>
    </row>
    <row r="1533" spans="2:15" x14ac:dyDescent="0.3">
      <c r="B1533" s="4">
        <v>609</v>
      </c>
      <c r="C1533" t="s">
        <v>75</v>
      </c>
      <c r="D1533" t="s">
        <v>76</v>
      </c>
      <c r="E1533" t="s">
        <v>77</v>
      </c>
      <c r="F1533">
        <v>7</v>
      </c>
      <c r="G1533" t="s">
        <v>40</v>
      </c>
      <c r="H1533">
        <v>3</v>
      </c>
      <c r="I1533" t="s">
        <v>17</v>
      </c>
      <c r="J1533" t="s">
        <v>35</v>
      </c>
      <c r="O1533" s="5"/>
    </row>
    <row r="1534" spans="2:15" x14ac:dyDescent="0.3">
      <c r="B1534" s="4">
        <v>826</v>
      </c>
      <c r="C1534" t="s">
        <v>59</v>
      </c>
      <c r="D1534" t="s">
        <v>60</v>
      </c>
      <c r="E1534" t="s">
        <v>11</v>
      </c>
      <c r="F1534">
        <v>8</v>
      </c>
      <c r="G1534" t="s">
        <v>40</v>
      </c>
      <c r="H1534">
        <v>3</v>
      </c>
      <c r="K1534" t="s">
        <v>13</v>
      </c>
      <c r="L1534" t="s">
        <v>17</v>
      </c>
      <c r="M1534" t="s">
        <v>13</v>
      </c>
      <c r="N1534" t="s">
        <v>13</v>
      </c>
      <c r="O1534" s="5"/>
    </row>
    <row r="1535" spans="2:15" x14ac:dyDescent="0.3">
      <c r="B1535" s="4">
        <v>235</v>
      </c>
      <c r="C1535" t="s">
        <v>78</v>
      </c>
      <c r="D1535" t="s">
        <v>79</v>
      </c>
      <c r="E1535" t="s">
        <v>80</v>
      </c>
      <c r="F1535">
        <v>10</v>
      </c>
      <c r="G1535" t="s">
        <v>26</v>
      </c>
      <c r="H1535">
        <v>4</v>
      </c>
      <c r="J1535" t="s">
        <v>18</v>
      </c>
      <c r="K1535" t="s">
        <v>17</v>
      </c>
      <c r="L1535" t="s">
        <v>17</v>
      </c>
      <c r="M1535" t="s">
        <v>17</v>
      </c>
      <c r="O1535" s="5"/>
    </row>
    <row r="1536" spans="2:15" x14ac:dyDescent="0.3">
      <c r="B1536" s="4">
        <v>602</v>
      </c>
      <c r="C1536" t="s">
        <v>14</v>
      </c>
      <c r="D1536" t="s">
        <v>15</v>
      </c>
      <c r="E1536" t="s">
        <v>11</v>
      </c>
      <c r="F1536">
        <v>8</v>
      </c>
      <c r="G1536" t="s">
        <v>58</v>
      </c>
      <c r="H1536">
        <v>17</v>
      </c>
      <c r="L1536" t="s">
        <v>18</v>
      </c>
      <c r="M1536" t="s">
        <v>17</v>
      </c>
      <c r="N1536" t="s">
        <v>17</v>
      </c>
      <c r="O1536" s="5" t="s">
        <v>17</v>
      </c>
    </row>
    <row r="1537" spans="2:15" x14ac:dyDescent="0.3">
      <c r="B1537" s="4">
        <v>2</v>
      </c>
      <c r="C1537" t="s">
        <v>14</v>
      </c>
      <c r="D1537" t="s">
        <v>15</v>
      </c>
      <c r="E1537" t="s">
        <v>11</v>
      </c>
      <c r="F1537">
        <v>8</v>
      </c>
      <c r="G1537" t="s">
        <v>58</v>
      </c>
      <c r="H1537">
        <v>17</v>
      </c>
      <c r="N1537" t="s">
        <v>17</v>
      </c>
      <c r="O1537" s="5" t="s">
        <v>17</v>
      </c>
    </row>
    <row r="1538" spans="2:15" x14ac:dyDescent="0.3">
      <c r="B1538" s="4">
        <v>1061</v>
      </c>
      <c r="C1538" t="s">
        <v>41</v>
      </c>
      <c r="D1538" t="s">
        <v>42</v>
      </c>
      <c r="E1538" t="s">
        <v>11</v>
      </c>
      <c r="F1538">
        <v>8</v>
      </c>
      <c r="G1538" t="s">
        <v>58</v>
      </c>
      <c r="H1538">
        <v>17</v>
      </c>
      <c r="J1538" t="s">
        <v>19</v>
      </c>
      <c r="K1538" t="s">
        <v>19</v>
      </c>
      <c r="L1538" t="s">
        <v>17</v>
      </c>
      <c r="M1538" t="s">
        <v>18</v>
      </c>
      <c r="N1538" t="s">
        <v>13</v>
      </c>
      <c r="O1538" s="5" t="s">
        <v>18</v>
      </c>
    </row>
    <row r="1539" spans="2:15" x14ac:dyDescent="0.3">
      <c r="B1539" s="4">
        <v>592</v>
      </c>
      <c r="C1539" t="s">
        <v>14</v>
      </c>
      <c r="D1539" t="s">
        <v>15</v>
      </c>
      <c r="E1539" t="s">
        <v>11</v>
      </c>
      <c r="F1539">
        <v>8</v>
      </c>
      <c r="G1539" t="s">
        <v>55</v>
      </c>
      <c r="H1539">
        <v>2</v>
      </c>
      <c r="N1539" t="s">
        <v>13</v>
      </c>
      <c r="O1539" s="5" t="s">
        <v>18</v>
      </c>
    </row>
    <row r="1540" spans="2:15" x14ac:dyDescent="0.3">
      <c r="B1540" s="4">
        <v>115</v>
      </c>
      <c r="C1540" t="s">
        <v>14</v>
      </c>
      <c r="D1540" t="s">
        <v>15</v>
      </c>
      <c r="E1540" t="s">
        <v>11</v>
      </c>
      <c r="F1540">
        <v>8</v>
      </c>
      <c r="G1540" t="s">
        <v>16</v>
      </c>
      <c r="H1540">
        <v>6</v>
      </c>
      <c r="M1540" t="s">
        <v>18</v>
      </c>
      <c r="N1540" t="s">
        <v>18</v>
      </c>
      <c r="O1540" s="5"/>
    </row>
    <row r="1541" spans="2:15" x14ac:dyDescent="0.3">
      <c r="B1541" s="4">
        <v>591</v>
      </c>
      <c r="C1541" t="s">
        <v>46</v>
      </c>
      <c r="D1541" t="s">
        <v>47</v>
      </c>
      <c r="E1541" t="s">
        <v>11</v>
      </c>
      <c r="F1541">
        <v>8</v>
      </c>
      <c r="G1541" t="s">
        <v>12</v>
      </c>
      <c r="H1541">
        <v>7</v>
      </c>
      <c r="K1541" t="s">
        <v>19</v>
      </c>
      <c r="L1541" t="s">
        <v>17</v>
      </c>
      <c r="M1541" t="s">
        <v>17</v>
      </c>
      <c r="N1541" t="s">
        <v>19</v>
      </c>
      <c r="O1541" s="5" t="s">
        <v>17</v>
      </c>
    </row>
    <row r="1542" spans="2:15" x14ac:dyDescent="0.3">
      <c r="B1542" s="4">
        <v>2485</v>
      </c>
      <c r="C1542" t="s">
        <v>14</v>
      </c>
      <c r="D1542" t="s">
        <v>15</v>
      </c>
      <c r="E1542" t="s">
        <v>11</v>
      </c>
      <c r="F1542">
        <v>8</v>
      </c>
      <c r="G1542" t="s">
        <v>74</v>
      </c>
      <c r="H1542">
        <v>15</v>
      </c>
      <c r="L1542" t="s">
        <v>13</v>
      </c>
      <c r="M1542" t="s">
        <v>13</v>
      </c>
      <c r="N1542" t="s">
        <v>18</v>
      </c>
      <c r="O1542" s="5" t="s">
        <v>18</v>
      </c>
    </row>
    <row r="1543" spans="2:15" x14ac:dyDescent="0.3">
      <c r="B1543" s="4">
        <v>3013</v>
      </c>
      <c r="C1543" t="s">
        <v>20</v>
      </c>
      <c r="D1543" t="s">
        <v>21</v>
      </c>
      <c r="E1543" t="s">
        <v>11</v>
      </c>
      <c r="F1543">
        <v>8</v>
      </c>
      <c r="G1543" t="s">
        <v>87</v>
      </c>
      <c r="H1543">
        <v>9</v>
      </c>
      <c r="L1543" t="s">
        <v>13</v>
      </c>
      <c r="M1543" t="s">
        <v>13</v>
      </c>
      <c r="N1543" t="s">
        <v>13</v>
      </c>
      <c r="O1543" s="5" t="s">
        <v>18</v>
      </c>
    </row>
    <row r="1544" spans="2:15" x14ac:dyDescent="0.3">
      <c r="B1544" s="4">
        <v>499</v>
      </c>
      <c r="C1544" t="s">
        <v>84</v>
      </c>
      <c r="D1544" t="s">
        <v>85</v>
      </c>
      <c r="E1544" t="s">
        <v>86</v>
      </c>
      <c r="F1544">
        <v>12</v>
      </c>
      <c r="G1544" t="s">
        <v>22</v>
      </c>
      <c r="H1544">
        <v>1</v>
      </c>
      <c r="L1544" t="s">
        <v>18</v>
      </c>
      <c r="M1544" t="s">
        <v>19</v>
      </c>
      <c r="N1544" t="s">
        <v>19</v>
      </c>
      <c r="O1544" s="5"/>
    </row>
    <row r="1545" spans="2:15" x14ac:dyDescent="0.3">
      <c r="B1545" s="4">
        <v>261</v>
      </c>
      <c r="C1545" t="s">
        <v>82</v>
      </c>
      <c r="D1545" t="s">
        <v>83</v>
      </c>
      <c r="E1545" t="s">
        <v>11</v>
      </c>
      <c r="F1545">
        <v>8</v>
      </c>
      <c r="G1545" t="s">
        <v>12</v>
      </c>
      <c r="H1545">
        <v>7</v>
      </c>
      <c r="K1545" t="s">
        <v>13</v>
      </c>
      <c r="L1545" t="s">
        <v>13</v>
      </c>
      <c r="M1545" t="s">
        <v>13</v>
      </c>
      <c r="N1545" t="s">
        <v>13</v>
      </c>
      <c r="O1545" s="5" t="s">
        <v>13</v>
      </c>
    </row>
    <row r="1546" spans="2:15" x14ac:dyDescent="0.3">
      <c r="B1546" s="4">
        <v>2984</v>
      </c>
      <c r="C1546" t="s">
        <v>61</v>
      </c>
      <c r="D1546" t="s">
        <v>62</v>
      </c>
      <c r="E1546" t="s">
        <v>11</v>
      </c>
      <c r="F1546">
        <v>8</v>
      </c>
      <c r="G1546" t="s">
        <v>12</v>
      </c>
      <c r="H1546">
        <v>7</v>
      </c>
      <c r="L1546" t="s">
        <v>19</v>
      </c>
      <c r="M1546" t="s">
        <v>52</v>
      </c>
      <c r="N1546" t="s">
        <v>19</v>
      </c>
      <c r="O1546" s="5"/>
    </row>
    <row r="1547" spans="2:15" x14ac:dyDescent="0.3">
      <c r="B1547" s="4">
        <v>473</v>
      </c>
      <c r="C1547" t="s">
        <v>46</v>
      </c>
      <c r="D1547" t="s">
        <v>47</v>
      </c>
      <c r="E1547" t="s">
        <v>11</v>
      </c>
      <c r="F1547">
        <v>8</v>
      </c>
      <c r="G1547" t="s">
        <v>12</v>
      </c>
      <c r="H1547">
        <v>7</v>
      </c>
      <c r="I1547" t="s">
        <v>13</v>
      </c>
      <c r="J1547" t="s">
        <v>13</v>
      </c>
      <c r="K1547" t="s">
        <v>13</v>
      </c>
      <c r="L1547" t="s">
        <v>13</v>
      </c>
      <c r="M1547" t="s">
        <v>13</v>
      </c>
      <c r="N1547" t="s">
        <v>18</v>
      </c>
      <c r="O1547" s="5"/>
    </row>
    <row r="1548" spans="2:15" x14ac:dyDescent="0.3">
      <c r="B1548" s="4">
        <v>8</v>
      </c>
      <c r="C1548" t="s">
        <v>46</v>
      </c>
      <c r="D1548" t="s">
        <v>47</v>
      </c>
      <c r="E1548" t="s">
        <v>11</v>
      </c>
      <c r="F1548">
        <v>8</v>
      </c>
      <c r="G1548" t="s">
        <v>30</v>
      </c>
      <c r="H1548">
        <v>18</v>
      </c>
      <c r="I1548" t="s">
        <v>17</v>
      </c>
      <c r="J1548" t="s">
        <v>18</v>
      </c>
      <c r="K1548" t="s">
        <v>18</v>
      </c>
      <c r="O1548" s="5"/>
    </row>
    <row r="1549" spans="2:15" x14ac:dyDescent="0.3">
      <c r="B1549" s="4">
        <v>1399</v>
      </c>
      <c r="C1549" t="s">
        <v>46</v>
      </c>
      <c r="D1549" t="s">
        <v>47</v>
      </c>
      <c r="E1549" t="s">
        <v>11</v>
      </c>
      <c r="F1549">
        <v>8</v>
      </c>
      <c r="G1549" t="s">
        <v>16</v>
      </c>
      <c r="H1549">
        <v>6</v>
      </c>
      <c r="N1549" t="s">
        <v>13</v>
      </c>
      <c r="O1549" s="5" t="s">
        <v>13</v>
      </c>
    </row>
    <row r="1550" spans="2:15" x14ac:dyDescent="0.3">
      <c r="B1550" s="4">
        <v>3</v>
      </c>
      <c r="C1550" t="s">
        <v>46</v>
      </c>
      <c r="D1550" t="s">
        <v>47</v>
      </c>
      <c r="E1550" t="s">
        <v>11</v>
      </c>
      <c r="F1550">
        <v>8</v>
      </c>
      <c r="G1550" t="s">
        <v>16</v>
      </c>
      <c r="H1550">
        <v>6</v>
      </c>
      <c r="I1550" t="s">
        <v>13</v>
      </c>
      <c r="J1550" t="s">
        <v>13</v>
      </c>
      <c r="K1550" t="s">
        <v>13</v>
      </c>
      <c r="L1550" t="s">
        <v>13</v>
      </c>
      <c r="M1550" t="s">
        <v>13</v>
      </c>
      <c r="N1550" t="s">
        <v>13</v>
      </c>
      <c r="O1550" s="5" t="s">
        <v>17</v>
      </c>
    </row>
    <row r="1551" spans="2:15" x14ac:dyDescent="0.3">
      <c r="B1551" s="4">
        <v>82</v>
      </c>
      <c r="C1551" t="s">
        <v>46</v>
      </c>
      <c r="D1551" t="s">
        <v>47</v>
      </c>
      <c r="E1551" t="s">
        <v>11</v>
      </c>
      <c r="F1551">
        <v>8</v>
      </c>
      <c r="G1551" t="s">
        <v>40</v>
      </c>
      <c r="H1551">
        <v>3</v>
      </c>
      <c r="J1551" t="s">
        <v>13</v>
      </c>
      <c r="K1551" t="s">
        <v>13</v>
      </c>
      <c r="O1551" s="5"/>
    </row>
    <row r="1552" spans="2:15" x14ac:dyDescent="0.3">
      <c r="B1552" s="4">
        <v>597</v>
      </c>
      <c r="C1552" t="s">
        <v>14</v>
      </c>
      <c r="D1552" t="s">
        <v>15</v>
      </c>
      <c r="E1552" t="s">
        <v>11</v>
      </c>
      <c r="F1552">
        <v>8</v>
      </c>
      <c r="G1552" t="s">
        <v>87</v>
      </c>
      <c r="H1552">
        <v>9</v>
      </c>
      <c r="L1552" t="s">
        <v>13</v>
      </c>
      <c r="M1552" t="s">
        <v>13</v>
      </c>
      <c r="N1552" t="s">
        <v>13</v>
      </c>
      <c r="O1552" s="5"/>
    </row>
    <row r="1553" spans="2:15" x14ac:dyDescent="0.3">
      <c r="B1553" s="4">
        <v>204</v>
      </c>
      <c r="C1553" t="s">
        <v>46</v>
      </c>
      <c r="D1553" t="s">
        <v>47</v>
      </c>
      <c r="E1553" t="s">
        <v>11</v>
      </c>
      <c r="F1553">
        <v>8</v>
      </c>
      <c r="G1553" t="s">
        <v>87</v>
      </c>
      <c r="H1553">
        <v>9</v>
      </c>
      <c r="L1553" t="s">
        <v>17</v>
      </c>
      <c r="M1553" t="s">
        <v>17</v>
      </c>
      <c r="N1553" t="s">
        <v>17</v>
      </c>
      <c r="O1553" s="5" t="s">
        <v>17</v>
      </c>
    </row>
    <row r="1554" spans="2:15" x14ac:dyDescent="0.3">
      <c r="B1554" s="4">
        <v>216</v>
      </c>
      <c r="C1554" t="s">
        <v>46</v>
      </c>
      <c r="D1554" t="s">
        <v>47</v>
      </c>
      <c r="E1554" t="s">
        <v>11</v>
      </c>
      <c r="F1554">
        <v>8</v>
      </c>
      <c r="G1554" t="s">
        <v>87</v>
      </c>
      <c r="H1554">
        <v>9</v>
      </c>
      <c r="M1554" t="s">
        <v>17</v>
      </c>
      <c r="N1554" t="s">
        <v>17</v>
      </c>
      <c r="O1554" s="5" t="s">
        <v>17</v>
      </c>
    </row>
    <row r="1555" spans="2:15" x14ac:dyDescent="0.3">
      <c r="B1555" s="4">
        <v>131</v>
      </c>
      <c r="C1555" t="s">
        <v>14</v>
      </c>
      <c r="D1555" t="s">
        <v>15</v>
      </c>
      <c r="E1555" t="s">
        <v>11</v>
      </c>
      <c r="F1555">
        <v>8</v>
      </c>
      <c r="G1555" t="s">
        <v>22</v>
      </c>
      <c r="H1555">
        <v>1</v>
      </c>
      <c r="I1555" t="s">
        <v>13</v>
      </c>
      <c r="J1555" t="s">
        <v>13</v>
      </c>
      <c r="K1555" t="s">
        <v>18</v>
      </c>
      <c r="L1555" t="s">
        <v>13</v>
      </c>
      <c r="M1555" t="s">
        <v>13</v>
      </c>
      <c r="O1555" s="5"/>
    </row>
    <row r="1556" spans="2:15" x14ac:dyDescent="0.3">
      <c r="B1556" s="4">
        <v>1206</v>
      </c>
      <c r="C1556" t="s">
        <v>9</v>
      </c>
      <c r="D1556" t="s">
        <v>10</v>
      </c>
      <c r="E1556" t="s">
        <v>11</v>
      </c>
      <c r="F1556">
        <v>8</v>
      </c>
      <c r="G1556" t="s">
        <v>12</v>
      </c>
      <c r="H1556">
        <v>7</v>
      </c>
      <c r="N1556" t="s">
        <v>17</v>
      </c>
      <c r="O1556" s="5" t="s">
        <v>19</v>
      </c>
    </row>
    <row r="1557" spans="2:15" x14ac:dyDescent="0.3">
      <c r="B1557" s="4">
        <v>1078</v>
      </c>
      <c r="C1557" t="s">
        <v>46</v>
      </c>
      <c r="D1557" t="s">
        <v>47</v>
      </c>
      <c r="E1557" t="s">
        <v>11</v>
      </c>
      <c r="F1557">
        <v>8</v>
      </c>
      <c r="G1557" t="s">
        <v>12</v>
      </c>
      <c r="H1557">
        <v>7</v>
      </c>
      <c r="L1557" t="s">
        <v>18</v>
      </c>
      <c r="M1557" t="s">
        <v>18</v>
      </c>
      <c r="N1557" t="s">
        <v>34</v>
      </c>
      <c r="O1557" s="5"/>
    </row>
    <row r="1558" spans="2:15" x14ac:dyDescent="0.3">
      <c r="B1558" s="4">
        <v>400</v>
      </c>
      <c r="C1558" t="s">
        <v>14</v>
      </c>
      <c r="D1558" t="s">
        <v>15</v>
      </c>
      <c r="E1558" t="s">
        <v>11</v>
      </c>
      <c r="F1558">
        <v>8</v>
      </c>
      <c r="G1558" t="s">
        <v>12</v>
      </c>
      <c r="H1558">
        <v>7</v>
      </c>
      <c r="N1558" t="s">
        <v>17</v>
      </c>
      <c r="O1558" s="5" t="s">
        <v>18</v>
      </c>
    </row>
    <row r="1559" spans="2:15" x14ac:dyDescent="0.3">
      <c r="B1559" s="4">
        <v>102</v>
      </c>
      <c r="C1559" t="s">
        <v>27</v>
      </c>
      <c r="D1559" t="s">
        <v>28</v>
      </c>
      <c r="E1559" t="s">
        <v>29</v>
      </c>
      <c r="F1559">
        <v>6</v>
      </c>
      <c r="G1559" t="s">
        <v>30</v>
      </c>
      <c r="H1559">
        <v>18</v>
      </c>
      <c r="J1559" t="s">
        <v>18</v>
      </c>
      <c r="K1559" t="s">
        <v>13</v>
      </c>
      <c r="L1559" t="s">
        <v>17</v>
      </c>
      <c r="M1559" t="s">
        <v>19</v>
      </c>
      <c r="N1559" t="s">
        <v>19</v>
      </c>
      <c r="O1559" s="5" t="s">
        <v>19</v>
      </c>
    </row>
    <row r="1560" spans="2:15" x14ac:dyDescent="0.3">
      <c r="B1560" s="4">
        <v>19</v>
      </c>
      <c r="C1560" t="s">
        <v>14</v>
      </c>
      <c r="D1560" t="s">
        <v>15</v>
      </c>
      <c r="E1560" t="s">
        <v>11</v>
      </c>
      <c r="F1560">
        <v>8</v>
      </c>
      <c r="G1560" t="s">
        <v>16</v>
      </c>
      <c r="H1560">
        <v>6</v>
      </c>
      <c r="J1560" t="s">
        <v>13</v>
      </c>
      <c r="K1560" t="s">
        <v>13</v>
      </c>
      <c r="L1560" t="s">
        <v>13</v>
      </c>
      <c r="M1560" t="s">
        <v>13</v>
      </c>
      <c r="N1560" t="s">
        <v>13</v>
      </c>
      <c r="O1560" s="5" t="s">
        <v>13</v>
      </c>
    </row>
    <row r="1561" spans="2:15" x14ac:dyDescent="0.3">
      <c r="B1561" s="4">
        <v>40</v>
      </c>
      <c r="C1561" t="s">
        <v>46</v>
      </c>
      <c r="D1561" t="s">
        <v>47</v>
      </c>
      <c r="E1561" t="s">
        <v>11</v>
      </c>
      <c r="F1561">
        <v>8</v>
      </c>
      <c r="G1561" t="s">
        <v>16</v>
      </c>
      <c r="H1561">
        <v>6</v>
      </c>
      <c r="M1561" t="s">
        <v>13</v>
      </c>
      <c r="N1561" t="s">
        <v>18</v>
      </c>
      <c r="O1561" s="5"/>
    </row>
    <row r="1562" spans="2:15" x14ac:dyDescent="0.3">
      <c r="B1562" s="4">
        <v>2829</v>
      </c>
      <c r="C1562" t="s">
        <v>59</v>
      </c>
      <c r="D1562" t="s">
        <v>60</v>
      </c>
      <c r="E1562" t="s">
        <v>11</v>
      </c>
      <c r="F1562">
        <v>8</v>
      </c>
      <c r="G1562" t="s">
        <v>40</v>
      </c>
      <c r="H1562">
        <v>3</v>
      </c>
      <c r="K1562" t="s">
        <v>19</v>
      </c>
      <c r="L1562" t="s">
        <v>19</v>
      </c>
      <c r="M1562" t="s">
        <v>18</v>
      </c>
      <c r="N1562" t="s">
        <v>19</v>
      </c>
      <c r="O1562" s="5" t="s">
        <v>33</v>
      </c>
    </row>
    <row r="1563" spans="2:15" x14ac:dyDescent="0.3">
      <c r="B1563" s="4">
        <v>1280</v>
      </c>
      <c r="C1563" t="s">
        <v>14</v>
      </c>
      <c r="D1563" t="s">
        <v>15</v>
      </c>
      <c r="E1563" t="s">
        <v>11</v>
      </c>
      <c r="F1563">
        <v>8</v>
      </c>
      <c r="G1563" t="s">
        <v>87</v>
      </c>
      <c r="H1563">
        <v>9</v>
      </c>
      <c r="L1563" t="s">
        <v>13</v>
      </c>
      <c r="M1563" t="s">
        <v>13</v>
      </c>
      <c r="N1563" t="s">
        <v>13</v>
      </c>
      <c r="O1563" s="5" t="s">
        <v>13</v>
      </c>
    </row>
    <row r="1564" spans="2:15" x14ac:dyDescent="0.3">
      <c r="B1564" s="4">
        <v>465</v>
      </c>
      <c r="C1564" t="s">
        <v>23</v>
      </c>
      <c r="D1564" t="s">
        <v>24</v>
      </c>
      <c r="E1564" t="s">
        <v>25</v>
      </c>
      <c r="F1564">
        <v>1</v>
      </c>
      <c r="G1564" t="s">
        <v>87</v>
      </c>
      <c r="H1564">
        <v>9</v>
      </c>
      <c r="I1564" t="s">
        <v>13</v>
      </c>
      <c r="J1564" t="s">
        <v>13</v>
      </c>
      <c r="K1564" t="s">
        <v>13</v>
      </c>
      <c r="L1564" t="s">
        <v>13</v>
      </c>
      <c r="M1564" t="s">
        <v>13</v>
      </c>
      <c r="N1564" t="s">
        <v>18</v>
      </c>
      <c r="O1564" s="5" t="s">
        <v>18</v>
      </c>
    </row>
    <row r="1565" spans="2:15" x14ac:dyDescent="0.3">
      <c r="B1565" s="4">
        <v>584</v>
      </c>
      <c r="C1565" t="s">
        <v>46</v>
      </c>
      <c r="D1565" t="s">
        <v>47</v>
      </c>
      <c r="E1565" t="s">
        <v>11</v>
      </c>
      <c r="F1565">
        <v>8</v>
      </c>
      <c r="G1565" t="s">
        <v>89</v>
      </c>
      <c r="H1565">
        <v>11</v>
      </c>
      <c r="I1565" t="s">
        <v>17</v>
      </c>
      <c r="J1565" t="s">
        <v>52</v>
      </c>
      <c r="K1565" t="s">
        <v>52</v>
      </c>
      <c r="O1565" s="5"/>
    </row>
    <row r="1566" spans="2:15" x14ac:dyDescent="0.3">
      <c r="B1566" s="4">
        <v>212</v>
      </c>
      <c r="C1566" t="s">
        <v>14</v>
      </c>
      <c r="D1566" t="s">
        <v>15</v>
      </c>
      <c r="E1566" t="s">
        <v>11</v>
      </c>
      <c r="F1566">
        <v>8</v>
      </c>
      <c r="G1566" t="s">
        <v>55</v>
      </c>
      <c r="H1566">
        <v>2</v>
      </c>
      <c r="I1566" t="s">
        <v>18</v>
      </c>
      <c r="J1566" t="s">
        <v>18</v>
      </c>
      <c r="K1566" t="s">
        <v>13</v>
      </c>
      <c r="L1566" t="s">
        <v>52</v>
      </c>
      <c r="M1566" t="s">
        <v>19</v>
      </c>
      <c r="N1566" t="s">
        <v>17</v>
      </c>
      <c r="O1566" s="5" t="s">
        <v>17</v>
      </c>
    </row>
    <row r="1567" spans="2:15" x14ac:dyDescent="0.3">
      <c r="B1567" s="4">
        <v>41</v>
      </c>
      <c r="C1567" t="s">
        <v>14</v>
      </c>
      <c r="D1567" t="s">
        <v>15</v>
      </c>
      <c r="E1567" t="s">
        <v>11</v>
      </c>
      <c r="F1567">
        <v>8</v>
      </c>
      <c r="G1567" t="s">
        <v>55</v>
      </c>
      <c r="H1567">
        <v>2</v>
      </c>
      <c r="I1567" t="s">
        <v>18</v>
      </c>
      <c r="J1567" t="s">
        <v>18</v>
      </c>
      <c r="K1567" t="s">
        <v>13</v>
      </c>
      <c r="O1567" s="5"/>
    </row>
    <row r="1568" spans="2:15" x14ac:dyDescent="0.3">
      <c r="B1568" s="4">
        <v>2198</v>
      </c>
      <c r="C1568" t="s">
        <v>14</v>
      </c>
      <c r="D1568" t="s">
        <v>15</v>
      </c>
      <c r="E1568" t="s">
        <v>11</v>
      </c>
      <c r="F1568">
        <v>8</v>
      </c>
      <c r="G1568" t="s">
        <v>58</v>
      </c>
      <c r="H1568">
        <v>17</v>
      </c>
      <c r="M1568" t="s">
        <v>13</v>
      </c>
      <c r="N1568" t="s">
        <v>17</v>
      </c>
      <c r="O1568" s="5"/>
    </row>
    <row r="1569" spans="2:15" x14ac:dyDescent="0.3">
      <c r="B1569" s="4">
        <v>159</v>
      </c>
      <c r="C1569" t="s">
        <v>41</v>
      </c>
      <c r="D1569" t="s">
        <v>42</v>
      </c>
      <c r="E1569" t="s">
        <v>11</v>
      </c>
      <c r="F1569">
        <v>8</v>
      </c>
      <c r="G1569" t="s">
        <v>58</v>
      </c>
      <c r="H1569">
        <v>17</v>
      </c>
      <c r="J1569" t="s">
        <v>18</v>
      </c>
      <c r="K1569" t="s">
        <v>18</v>
      </c>
      <c r="L1569" t="s">
        <v>18</v>
      </c>
      <c r="M1569" t="s">
        <v>13</v>
      </c>
      <c r="N1569" t="s">
        <v>13</v>
      </c>
      <c r="O1569" s="5" t="s">
        <v>13</v>
      </c>
    </row>
    <row r="1570" spans="2:15" x14ac:dyDescent="0.3">
      <c r="B1570" s="4">
        <v>4</v>
      </c>
      <c r="C1570" t="s">
        <v>84</v>
      </c>
      <c r="D1570" t="s">
        <v>85</v>
      </c>
      <c r="E1570" t="s">
        <v>86</v>
      </c>
      <c r="F1570">
        <v>12</v>
      </c>
      <c r="G1570" t="s">
        <v>58</v>
      </c>
      <c r="H1570">
        <v>17</v>
      </c>
      <c r="I1570" t="s">
        <v>18</v>
      </c>
      <c r="J1570" t="s">
        <v>18</v>
      </c>
      <c r="O1570" s="5"/>
    </row>
    <row r="1571" spans="2:15" x14ac:dyDescent="0.3">
      <c r="B1571" s="4">
        <v>63</v>
      </c>
      <c r="C1571" t="s">
        <v>14</v>
      </c>
      <c r="D1571" t="s">
        <v>15</v>
      </c>
      <c r="E1571" t="s">
        <v>11</v>
      </c>
      <c r="F1571">
        <v>8</v>
      </c>
      <c r="G1571" t="s">
        <v>40</v>
      </c>
      <c r="H1571">
        <v>3</v>
      </c>
      <c r="M1571" t="s">
        <v>13</v>
      </c>
      <c r="N1571" t="s">
        <v>13</v>
      </c>
      <c r="O1571" s="5"/>
    </row>
    <row r="1572" spans="2:15" x14ac:dyDescent="0.3">
      <c r="B1572" s="4">
        <v>2190</v>
      </c>
      <c r="C1572" t="s">
        <v>20</v>
      </c>
      <c r="D1572" t="s">
        <v>21</v>
      </c>
      <c r="E1572" t="s">
        <v>11</v>
      </c>
      <c r="F1572">
        <v>8</v>
      </c>
      <c r="G1572" t="s">
        <v>40</v>
      </c>
      <c r="H1572">
        <v>3</v>
      </c>
      <c r="N1572" t="s">
        <v>13</v>
      </c>
      <c r="O1572" s="5" t="s">
        <v>13</v>
      </c>
    </row>
    <row r="1573" spans="2:15" x14ac:dyDescent="0.3">
      <c r="B1573" s="4">
        <v>48</v>
      </c>
      <c r="C1573" t="s">
        <v>41</v>
      </c>
      <c r="D1573" t="s">
        <v>42</v>
      </c>
      <c r="E1573" t="s">
        <v>11</v>
      </c>
      <c r="F1573">
        <v>8</v>
      </c>
      <c r="G1573" t="s">
        <v>22</v>
      </c>
      <c r="H1573">
        <v>1</v>
      </c>
      <c r="J1573" t="s">
        <v>17</v>
      </c>
      <c r="K1573" t="s">
        <v>19</v>
      </c>
      <c r="L1573" t="s">
        <v>19</v>
      </c>
      <c r="M1573" t="s">
        <v>35</v>
      </c>
      <c r="O1573" s="5"/>
    </row>
    <row r="1574" spans="2:15" x14ac:dyDescent="0.3">
      <c r="B1574" s="4">
        <v>3163</v>
      </c>
      <c r="C1574" t="s">
        <v>23</v>
      </c>
      <c r="D1574" t="s">
        <v>24</v>
      </c>
      <c r="E1574" t="s">
        <v>25</v>
      </c>
      <c r="F1574">
        <v>1</v>
      </c>
      <c r="G1574" t="s">
        <v>12</v>
      </c>
      <c r="H1574">
        <v>7</v>
      </c>
      <c r="L1574" t="s">
        <v>34</v>
      </c>
      <c r="M1574" t="s">
        <v>34</v>
      </c>
      <c r="N1574" t="s">
        <v>33</v>
      </c>
      <c r="O1574" s="5" t="s">
        <v>33</v>
      </c>
    </row>
    <row r="1575" spans="2:15" x14ac:dyDescent="0.3">
      <c r="B1575" s="4">
        <v>1371</v>
      </c>
      <c r="C1575" t="s">
        <v>23</v>
      </c>
      <c r="D1575" t="s">
        <v>24</v>
      </c>
      <c r="E1575" t="s">
        <v>25</v>
      </c>
      <c r="F1575">
        <v>1</v>
      </c>
      <c r="G1575" t="s">
        <v>16</v>
      </c>
      <c r="H1575">
        <v>6</v>
      </c>
      <c r="K1575" t="s">
        <v>13</v>
      </c>
      <c r="L1575" t="s">
        <v>18</v>
      </c>
      <c r="M1575" t="s">
        <v>13</v>
      </c>
      <c r="N1575" t="s">
        <v>13</v>
      </c>
      <c r="O1575" s="5" t="s">
        <v>13</v>
      </c>
    </row>
    <row r="1576" spans="2:15" x14ac:dyDescent="0.3">
      <c r="B1576" s="4">
        <v>367</v>
      </c>
      <c r="C1576" t="s">
        <v>14</v>
      </c>
      <c r="D1576" t="s">
        <v>15</v>
      </c>
      <c r="E1576" t="s">
        <v>11</v>
      </c>
      <c r="F1576">
        <v>8</v>
      </c>
      <c r="G1576" t="s">
        <v>16</v>
      </c>
      <c r="H1576">
        <v>6</v>
      </c>
      <c r="J1576" t="s">
        <v>18</v>
      </c>
      <c r="K1576" t="s">
        <v>13</v>
      </c>
      <c r="L1576" t="s">
        <v>13</v>
      </c>
      <c r="M1576" t="s">
        <v>18</v>
      </c>
      <c r="N1576" t="s">
        <v>13</v>
      </c>
      <c r="O1576" s="5"/>
    </row>
    <row r="1577" spans="2:15" x14ac:dyDescent="0.3">
      <c r="B1577" s="4">
        <v>446</v>
      </c>
      <c r="C1577" t="s">
        <v>49</v>
      </c>
      <c r="D1577" t="s">
        <v>50</v>
      </c>
      <c r="E1577" t="s">
        <v>51</v>
      </c>
      <c r="F1577">
        <v>3</v>
      </c>
      <c r="G1577" t="s">
        <v>16</v>
      </c>
      <c r="H1577">
        <v>6</v>
      </c>
      <c r="I1577" t="s">
        <v>18</v>
      </c>
      <c r="J1577" t="s">
        <v>13</v>
      </c>
      <c r="L1577" t="s">
        <v>13</v>
      </c>
      <c r="M1577" t="s">
        <v>18</v>
      </c>
      <c r="N1577" t="s">
        <v>18</v>
      </c>
      <c r="O1577" s="5" t="s">
        <v>17</v>
      </c>
    </row>
    <row r="1578" spans="2:15" x14ac:dyDescent="0.3">
      <c r="B1578" s="4">
        <v>2472</v>
      </c>
      <c r="C1578" t="s">
        <v>20</v>
      </c>
      <c r="D1578" t="s">
        <v>21</v>
      </c>
      <c r="E1578" t="s">
        <v>11</v>
      </c>
      <c r="F1578">
        <v>8</v>
      </c>
      <c r="G1578" t="s">
        <v>87</v>
      </c>
      <c r="H1578">
        <v>9</v>
      </c>
      <c r="N1578" t="s">
        <v>18</v>
      </c>
      <c r="O1578" s="5" t="s">
        <v>13</v>
      </c>
    </row>
    <row r="1579" spans="2:15" x14ac:dyDescent="0.3">
      <c r="B1579" s="4">
        <v>393</v>
      </c>
      <c r="C1579" t="s">
        <v>14</v>
      </c>
      <c r="D1579" t="s">
        <v>15</v>
      </c>
      <c r="E1579" t="s">
        <v>11</v>
      </c>
      <c r="F1579">
        <v>8</v>
      </c>
      <c r="G1579" t="s">
        <v>22</v>
      </c>
      <c r="H1579">
        <v>1</v>
      </c>
      <c r="L1579" t="s">
        <v>17</v>
      </c>
      <c r="M1579" t="s">
        <v>18</v>
      </c>
      <c r="N1579" t="s">
        <v>18</v>
      </c>
      <c r="O1579" s="5"/>
    </row>
    <row r="1580" spans="2:15" x14ac:dyDescent="0.3">
      <c r="B1580" s="4">
        <v>391</v>
      </c>
      <c r="C1580" t="s">
        <v>14</v>
      </c>
      <c r="D1580" t="s">
        <v>15</v>
      </c>
      <c r="E1580" t="s">
        <v>11</v>
      </c>
      <c r="F1580">
        <v>8</v>
      </c>
      <c r="G1580" t="s">
        <v>12</v>
      </c>
      <c r="H1580">
        <v>7</v>
      </c>
      <c r="M1580" t="s">
        <v>13</v>
      </c>
      <c r="N1580" t="s">
        <v>18</v>
      </c>
      <c r="O1580" s="5" t="s">
        <v>13</v>
      </c>
    </row>
    <row r="1581" spans="2:15" x14ac:dyDescent="0.3">
      <c r="B1581" s="4">
        <v>102</v>
      </c>
      <c r="C1581" t="s">
        <v>46</v>
      </c>
      <c r="D1581" t="s">
        <v>47</v>
      </c>
      <c r="E1581" t="s">
        <v>11</v>
      </c>
      <c r="F1581">
        <v>8</v>
      </c>
      <c r="G1581" t="s">
        <v>12</v>
      </c>
      <c r="H1581">
        <v>7</v>
      </c>
      <c r="M1581" t="s">
        <v>18</v>
      </c>
      <c r="N1581" t="s">
        <v>18</v>
      </c>
      <c r="O1581" s="5" t="s">
        <v>18</v>
      </c>
    </row>
    <row r="1582" spans="2:15" x14ac:dyDescent="0.3">
      <c r="B1582" s="4">
        <v>2704</v>
      </c>
      <c r="C1582" t="s">
        <v>14</v>
      </c>
      <c r="D1582" t="s">
        <v>15</v>
      </c>
      <c r="E1582" t="s">
        <v>11</v>
      </c>
      <c r="F1582">
        <v>8</v>
      </c>
      <c r="G1582" t="s">
        <v>12</v>
      </c>
      <c r="H1582">
        <v>7</v>
      </c>
      <c r="M1582" t="s">
        <v>19</v>
      </c>
      <c r="N1582" t="s">
        <v>19</v>
      </c>
      <c r="O1582" s="5"/>
    </row>
    <row r="1583" spans="2:15" x14ac:dyDescent="0.3">
      <c r="B1583" s="4">
        <v>30</v>
      </c>
      <c r="C1583" t="s">
        <v>14</v>
      </c>
      <c r="D1583" t="s">
        <v>15</v>
      </c>
      <c r="E1583" t="s">
        <v>11</v>
      </c>
      <c r="F1583">
        <v>8</v>
      </c>
      <c r="G1583" t="s">
        <v>30</v>
      </c>
      <c r="H1583">
        <v>18</v>
      </c>
      <c r="I1583" t="s">
        <v>13</v>
      </c>
      <c r="J1583" t="s">
        <v>18</v>
      </c>
      <c r="K1583" t="s">
        <v>18</v>
      </c>
      <c r="L1583" t="s">
        <v>17</v>
      </c>
      <c r="M1583" t="s">
        <v>18</v>
      </c>
      <c r="N1583" t="s">
        <v>18</v>
      </c>
      <c r="O1583" s="5" t="s">
        <v>18</v>
      </c>
    </row>
    <row r="1584" spans="2:15" x14ac:dyDescent="0.3">
      <c r="B1584" s="4">
        <v>3</v>
      </c>
      <c r="C1584" t="s">
        <v>14</v>
      </c>
      <c r="D1584" t="s">
        <v>15</v>
      </c>
      <c r="E1584" t="s">
        <v>11</v>
      </c>
      <c r="F1584">
        <v>8</v>
      </c>
      <c r="G1584" t="s">
        <v>16</v>
      </c>
      <c r="H1584">
        <v>6</v>
      </c>
      <c r="K1584" t="s">
        <v>17</v>
      </c>
      <c r="L1584" t="s">
        <v>19</v>
      </c>
      <c r="M1584" t="s">
        <v>17</v>
      </c>
      <c r="N1584" t="s">
        <v>13</v>
      </c>
      <c r="O1584" s="5" t="s">
        <v>13</v>
      </c>
    </row>
    <row r="1585" spans="2:15" x14ac:dyDescent="0.3">
      <c r="B1585" s="4">
        <v>97</v>
      </c>
      <c r="C1585" t="s">
        <v>41</v>
      </c>
      <c r="D1585" t="s">
        <v>42</v>
      </c>
      <c r="E1585" t="s">
        <v>11</v>
      </c>
      <c r="F1585">
        <v>8</v>
      </c>
      <c r="G1585" t="s">
        <v>16</v>
      </c>
      <c r="H1585">
        <v>6</v>
      </c>
      <c r="M1585" t="s">
        <v>13</v>
      </c>
      <c r="N1585" t="s">
        <v>18</v>
      </c>
      <c r="O1585" s="5"/>
    </row>
    <row r="1586" spans="2:15" x14ac:dyDescent="0.3">
      <c r="B1586" s="4">
        <v>18</v>
      </c>
      <c r="C1586" t="s">
        <v>94</v>
      </c>
      <c r="D1586" t="s">
        <v>95</v>
      </c>
      <c r="E1586" t="s">
        <v>96</v>
      </c>
      <c r="F1586">
        <v>13</v>
      </c>
      <c r="G1586" t="s">
        <v>40</v>
      </c>
      <c r="H1586">
        <v>3</v>
      </c>
      <c r="M1586" t="s">
        <v>13</v>
      </c>
      <c r="N1586" t="s">
        <v>13</v>
      </c>
      <c r="O1586" s="5"/>
    </row>
    <row r="1587" spans="2:15" x14ac:dyDescent="0.3">
      <c r="B1587" s="4">
        <v>1580</v>
      </c>
      <c r="C1587" t="s">
        <v>23</v>
      </c>
      <c r="D1587" t="s">
        <v>24</v>
      </c>
      <c r="E1587" t="s">
        <v>25</v>
      </c>
      <c r="F1587">
        <v>1</v>
      </c>
      <c r="G1587" t="s">
        <v>87</v>
      </c>
      <c r="H1587">
        <v>9</v>
      </c>
      <c r="N1587" t="s">
        <v>13</v>
      </c>
      <c r="O1587" s="5" t="s">
        <v>13</v>
      </c>
    </row>
    <row r="1588" spans="2:15" x14ac:dyDescent="0.3">
      <c r="B1588" s="4">
        <v>3030</v>
      </c>
      <c r="C1588" t="s">
        <v>59</v>
      </c>
      <c r="D1588" t="s">
        <v>60</v>
      </c>
      <c r="E1588" t="s">
        <v>11</v>
      </c>
      <c r="F1588">
        <v>8</v>
      </c>
      <c r="G1588" t="s">
        <v>87</v>
      </c>
      <c r="H1588">
        <v>9</v>
      </c>
      <c r="N1588" t="s">
        <v>18</v>
      </c>
      <c r="O1588" s="5" t="s">
        <v>52</v>
      </c>
    </row>
    <row r="1589" spans="2:15" x14ac:dyDescent="0.3">
      <c r="B1589" s="4">
        <v>604</v>
      </c>
      <c r="C1589" t="s">
        <v>63</v>
      </c>
      <c r="D1589" t="s">
        <v>64</v>
      </c>
      <c r="E1589" t="s">
        <v>65</v>
      </c>
      <c r="F1589">
        <v>14</v>
      </c>
      <c r="G1589" t="s">
        <v>87</v>
      </c>
      <c r="H1589">
        <v>9</v>
      </c>
      <c r="N1589" t="s">
        <v>19</v>
      </c>
      <c r="O1589" s="5" t="s">
        <v>19</v>
      </c>
    </row>
    <row r="1590" spans="2:15" x14ac:dyDescent="0.3">
      <c r="B1590" s="4">
        <v>9</v>
      </c>
      <c r="C1590" t="s">
        <v>46</v>
      </c>
      <c r="D1590" t="s">
        <v>47</v>
      </c>
      <c r="E1590" t="s">
        <v>11</v>
      </c>
      <c r="F1590">
        <v>8</v>
      </c>
      <c r="G1590" t="s">
        <v>55</v>
      </c>
      <c r="H1590">
        <v>2</v>
      </c>
      <c r="N1590" t="s">
        <v>18</v>
      </c>
      <c r="O1590" s="5" t="s">
        <v>17</v>
      </c>
    </row>
    <row r="1591" spans="2:15" x14ac:dyDescent="0.3">
      <c r="B1591" s="4">
        <v>136</v>
      </c>
      <c r="C1591" t="s">
        <v>20</v>
      </c>
      <c r="D1591" t="s">
        <v>21</v>
      </c>
      <c r="E1591" t="s">
        <v>11</v>
      </c>
      <c r="F1591">
        <v>8</v>
      </c>
      <c r="G1591" t="s">
        <v>111</v>
      </c>
      <c r="H1591">
        <v>14</v>
      </c>
      <c r="N1591" t="s">
        <v>18</v>
      </c>
      <c r="O1591" s="5" t="s">
        <v>13</v>
      </c>
    </row>
    <row r="1592" spans="2:15" x14ac:dyDescent="0.3">
      <c r="B1592" s="4">
        <v>475</v>
      </c>
      <c r="C1592" t="s">
        <v>46</v>
      </c>
      <c r="D1592" t="s">
        <v>47</v>
      </c>
      <c r="E1592" t="s">
        <v>11</v>
      </c>
      <c r="F1592">
        <v>8</v>
      </c>
      <c r="G1592" t="s">
        <v>111</v>
      </c>
      <c r="H1592">
        <v>14</v>
      </c>
      <c r="I1592" t="s">
        <v>19</v>
      </c>
      <c r="J1592" t="s">
        <v>18</v>
      </c>
      <c r="K1592" t="s">
        <v>18</v>
      </c>
      <c r="L1592" t="s">
        <v>17</v>
      </c>
      <c r="M1592" t="s">
        <v>18</v>
      </c>
      <c r="N1592" t="s">
        <v>17</v>
      </c>
      <c r="O1592" s="5" t="s">
        <v>19</v>
      </c>
    </row>
    <row r="1593" spans="2:15" x14ac:dyDescent="0.3">
      <c r="B1593" s="4">
        <v>787</v>
      </c>
      <c r="C1593" t="s">
        <v>41</v>
      </c>
      <c r="D1593" t="s">
        <v>42</v>
      </c>
      <c r="E1593" t="s">
        <v>11</v>
      </c>
      <c r="F1593">
        <v>8</v>
      </c>
      <c r="G1593" t="s">
        <v>87</v>
      </c>
      <c r="H1593">
        <v>9</v>
      </c>
      <c r="N1593" t="s">
        <v>13</v>
      </c>
      <c r="O1593" s="5" t="s">
        <v>18</v>
      </c>
    </row>
    <row r="1594" spans="2:15" x14ac:dyDescent="0.3">
      <c r="B1594" s="4">
        <v>1313</v>
      </c>
      <c r="C1594" t="s">
        <v>41</v>
      </c>
      <c r="D1594" t="s">
        <v>42</v>
      </c>
      <c r="E1594" t="s">
        <v>11</v>
      </c>
      <c r="F1594">
        <v>8</v>
      </c>
      <c r="G1594" t="s">
        <v>87</v>
      </c>
      <c r="H1594">
        <v>9</v>
      </c>
      <c r="N1594" t="s">
        <v>18</v>
      </c>
      <c r="O1594" s="5" t="s">
        <v>13</v>
      </c>
    </row>
    <row r="1595" spans="2:15" x14ac:dyDescent="0.3">
      <c r="B1595" s="4">
        <v>1848</v>
      </c>
      <c r="C1595" t="s">
        <v>92</v>
      </c>
      <c r="D1595" t="s">
        <v>93</v>
      </c>
      <c r="E1595" t="s">
        <v>11</v>
      </c>
      <c r="F1595">
        <v>8</v>
      </c>
      <c r="G1595" t="s">
        <v>87</v>
      </c>
      <c r="H1595">
        <v>9</v>
      </c>
      <c r="M1595" t="s">
        <v>18</v>
      </c>
      <c r="N1595" t="s">
        <v>17</v>
      </c>
      <c r="O1595" s="5" t="s">
        <v>17</v>
      </c>
    </row>
    <row r="1596" spans="2:15" x14ac:dyDescent="0.3">
      <c r="B1596" s="4">
        <v>1269</v>
      </c>
      <c r="C1596" t="s">
        <v>9</v>
      </c>
      <c r="D1596" t="s">
        <v>10</v>
      </c>
      <c r="E1596" t="s">
        <v>11</v>
      </c>
      <c r="F1596">
        <v>8</v>
      </c>
      <c r="G1596" t="s">
        <v>87</v>
      </c>
      <c r="H1596">
        <v>9</v>
      </c>
      <c r="J1596" t="s">
        <v>17</v>
      </c>
      <c r="K1596" t="s">
        <v>18</v>
      </c>
      <c r="L1596" t="s">
        <v>17</v>
      </c>
      <c r="O1596" s="5"/>
    </row>
    <row r="1597" spans="2:15" x14ac:dyDescent="0.3">
      <c r="B1597" s="4">
        <v>36</v>
      </c>
      <c r="C1597" t="s">
        <v>84</v>
      </c>
      <c r="D1597" t="s">
        <v>85</v>
      </c>
      <c r="E1597" t="s">
        <v>86</v>
      </c>
      <c r="F1597">
        <v>12</v>
      </c>
      <c r="G1597" t="s">
        <v>48</v>
      </c>
      <c r="H1597">
        <v>16</v>
      </c>
      <c r="I1597" t="s">
        <v>19</v>
      </c>
      <c r="J1597" t="s">
        <v>19</v>
      </c>
      <c r="K1597" t="s">
        <v>52</v>
      </c>
      <c r="L1597" t="s">
        <v>17</v>
      </c>
      <c r="M1597" t="s">
        <v>13</v>
      </c>
      <c r="N1597" t="s">
        <v>13</v>
      </c>
      <c r="O1597" s="5" t="s">
        <v>13</v>
      </c>
    </row>
    <row r="1598" spans="2:15" x14ac:dyDescent="0.3">
      <c r="B1598" s="4">
        <v>358</v>
      </c>
      <c r="C1598" t="s">
        <v>63</v>
      </c>
      <c r="D1598" t="s">
        <v>64</v>
      </c>
      <c r="E1598" t="s">
        <v>65</v>
      </c>
      <c r="F1598">
        <v>14</v>
      </c>
      <c r="G1598" t="s">
        <v>12</v>
      </c>
      <c r="H1598">
        <v>7</v>
      </c>
      <c r="N1598" t="s">
        <v>13</v>
      </c>
      <c r="O1598" s="5" t="s">
        <v>17</v>
      </c>
    </row>
    <row r="1599" spans="2:15" x14ac:dyDescent="0.3">
      <c r="B1599" s="4">
        <v>1803</v>
      </c>
      <c r="C1599" t="s">
        <v>31</v>
      </c>
      <c r="D1599" t="s">
        <v>32</v>
      </c>
      <c r="E1599" t="s">
        <v>11</v>
      </c>
      <c r="F1599">
        <v>8</v>
      </c>
      <c r="G1599" t="s">
        <v>12</v>
      </c>
      <c r="H1599">
        <v>7</v>
      </c>
      <c r="K1599" t="s">
        <v>18</v>
      </c>
      <c r="L1599" t="s">
        <v>18</v>
      </c>
      <c r="M1599" t="s">
        <v>18</v>
      </c>
      <c r="O1599" s="5"/>
    </row>
    <row r="1600" spans="2:15" x14ac:dyDescent="0.3">
      <c r="B1600" s="4">
        <v>2</v>
      </c>
      <c r="C1600" t="s">
        <v>9</v>
      </c>
      <c r="D1600" t="s">
        <v>10</v>
      </c>
      <c r="E1600" t="s">
        <v>11</v>
      </c>
      <c r="F1600">
        <v>8</v>
      </c>
      <c r="G1600" t="s">
        <v>58</v>
      </c>
      <c r="H1600">
        <v>17</v>
      </c>
      <c r="L1600" t="s">
        <v>33</v>
      </c>
      <c r="M1600" t="s">
        <v>33</v>
      </c>
      <c r="N1600" t="s">
        <v>17</v>
      </c>
      <c r="O1600" s="5" t="s">
        <v>17</v>
      </c>
    </row>
    <row r="1601" spans="2:15" x14ac:dyDescent="0.3">
      <c r="B1601" s="4">
        <v>1135</v>
      </c>
      <c r="C1601" t="s">
        <v>49</v>
      </c>
      <c r="D1601" t="s">
        <v>50</v>
      </c>
      <c r="E1601" t="s">
        <v>51</v>
      </c>
      <c r="F1601">
        <v>3</v>
      </c>
      <c r="G1601" t="s">
        <v>55</v>
      </c>
      <c r="H1601">
        <v>2</v>
      </c>
      <c r="M1601" t="s">
        <v>18</v>
      </c>
      <c r="N1601" t="s">
        <v>18</v>
      </c>
      <c r="O1601" s="5" t="s">
        <v>13</v>
      </c>
    </row>
    <row r="1602" spans="2:15" x14ac:dyDescent="0.3">
      <c r="B1602" s="4">
        <v>54</v>
      </c>
      <c r="C1602" t="s">
        <v>27</v>
      </c>
      <c r="D1602" t="s">
        <v>28</v>
      </c>
      <c r="E1602" t="s">
        <v>29</v>
      </c>
      <c r="F1602">
        <v>6</v>
      </c>
      <c r="G1602" t="s">
        <v>54</v>
      </c>
      <c r="H1602">
        <v>8</v>
      </c>
      <c r="I1602" t="s">
        <v>13</v>
      </c>
      <c r="J1602" t="s">
        <v>13</v>
      </c>
      <c r="K1602" t="s">
        <v>13</v>
      </c>
      <c r="L1602" t="s">
        <v>13</v>
      </c>
      <c r="M1602" t="s">
        <v>13</v>
      </c>
      <c r="N1602" t="s">
        <v>17</v>
      </c>
      <c r="O1602" s="5" t="s">
        <v>18</v>
      </c>
    </row>
    <row r="1603" spans="2:15" x14ac:dyDescent="0.3">
      <c r="B1603" s="4">
        <v>45</v>
      </c>
      <c r="C1603" t="s">
        <v>14</v>
      </c>
      <c r="D1603" t="s">
        <v>15</v>
      </c>
      <c r="E1603" t="s">
        <v>11</v>
      </c>
      <c r="F1603">
        <v>8</v>
      </c>
      <c r="G1603" t="s">
        <v>54</v>
      </c>
      <c r="H1603">
        <v>8</v>
      </c>
      <c r="K1603" t="s">
        <v>13</v>
      </c>
      <c r="L1603" t="s">
        <v>13</v>
      </c>
      <c r="M1603" t="s">
        <v>17</v>
      </c>
      <c r="N1603" t="s">
        <v>13</v>
      </c>
      <c r="O1603" s="5" t="s">
        <v>13</v>
      </c>
    </row>
    <row r="1604" spans="2:15" x14ac:dyDescent="0.3">
      <c r="B1604" s="4">
        <v>9</v>
      </c>
      <c r="C1604" t="s">
        <v>63</v>
      </c>
      <c r="D1604" t="s">
        <v>64</v>
      </c>
      <c r="E1604" t="s">
        <v>65</v>
      </c>
      <c r="F1604">
        <v>14</v>
      </c>
      <c r="G1604" t="s">
        <v>40</v>
      </c>
      <c r="H1604">
        <v>3</v>
      </c>
      <c r="L1604" t="s">
        <v>18</v>
      </c>
      <c r="M1604" t="s">
        <v>18</v>
      </c>
      <c r="N1604" t="s">
        <v>18</v>
      </c>
      <c r="O1604" s="5" t="s">
        <v>52</v>
      </c>
    </row>
    <row r="1605" spans="2:15" x14ac:dyDescent="0.3">
      <c r="B1605" s="4">
        <v>1104</v>
      </c>
      <c r="C1605" t="s">
        <v>20</v>
      </c>
      <c r="D1605" t="s">
        <v>21</v>
      </c>
      <c r="E1605" t="s">
        <v>11</v>
      </c>
      <c r="F1605">
        <v>8</v>
      </c>
      <c r="G1605" t="s">
        <v>16</v>
      </c>
      <c r="H1605">
        <v>6</v>
      </c>
      <c r="M1605" t="s">
        <v>18</v>
      </c>
      <c r="N1605" t="s">
        <v>17</v>
      </c>
      <c r="O1605" s="5"/>
    </row>
    <row r="1606" spans="2:15" x14ac:dyDescent="0.3">
      <c r="B1606" s="4">
        <v>157</v>
      </c>
      <c r="C1606" t="s">
        <v>46</v>
      </c>
      <c r="D1606" t="s">
        <v>47</v>
      </c>
      <c r="E1606" t="s">
        <v>11</v>
      </c>
      <c r="F1606">
        <v>8</v>
      </c>
      <c r="G1606" t="s">
        <v>16</v>
      </c>
      <c r="H1606">
        <v>6</v>
      </c>
      <c r="N1606" t="s">
        <v>13</v>
      </c>
      <c r="O1606" s="5" t="s">
        <v>13</v>
      </c>
    </row>
    <row r="1607" spans="2:15" x14ac:dyDescent="0.3">
      <c r="B1607" s="4">
        <v>1148</v>
      </c>
      <c r="C1607" t="s">
        <v>36</v>
      </c>
      <c r="D1607" t="s">
        <v>37</v>
      </c>
      <c r="E1607" t="s">
        <v>11</v>
      </c>
      <c r="F1607">
        <v>8</v>
      </c>
      <c r="G1607" t="s">
        <v>16</v>
      </c>
      <c r="H1607">
        <v>6</v>
      </c>
      <c r="I1607" t="s">
        <v>18</v>
      </c>
      <c r="J1607" t="s">
        <v>19</v>
      </c>
      <c r="K1607" t="s">
        <v>19</v>
      </c>
      <c r="L1607" t="s">
        <v>34</v>
      </c>
      <c r="O1607" s="5"/>
    </row>
    <row r="1608" spans="2:15" x14ac:dyDescent="0.3">
      <c r="B1608" s="4">
        <v>64</v>
      </c>
      <c r="C1608" t="s">
        <v>75</v>
      </c>
      <c r="D1608" t="s">
        <v>76</v>
      </c>
      <c r="E1608" t="s">
        <v>77</v>
      </c>
      <c r="F1608">
        <v>7</v>
      </c>
      <c r="G1608" t="s">
        <v>87</v>
      </c>
      <c r="H1608">
        <v>9</v>
      </c>
      <c r="M1608" t="s">
        <v>13</v>
      </c>
      <c r="N1608" t="s">
        <v>13</v>
      </c>
      <c r="O1608" s="5" t="s">
        <v>13</v>
      </c>
    </row>
    <row r="1609" spans="2:15" x14ac:dyDescent="0.3">
      <c r="B1609" s="4">
        <v>2</v>
      </c>
      <c r="C1609" t="s">
        <v>46</v>
      </c>
      <c r="D1609" t="s">
        <v>47</v>
      </c>
      <c r="E1609" t="s">
        <v>11</v>
      </c>
      <c r="F1609">
        <v>8</v>
      </c>
      <c r="G1609" t="s">
        <v>55</v>
      </c>
      <c r="H1609">
        <v>2</v>
      </c>
      <c r="I1609" t="s">
        <v>18</v>
      </c>
      <c r="J1609" t="s">
        <v>18</v>
      </c>
      <c r="K1609" t="s">
        <v>18</v>
      </c>
      <c r="L1609" t="s">
        <v>18</v>
      </c>
      <c r="M1609" t="s">
        <v>13</v>
      </c>
      <c r="N1609" t="s">
        <v>18</v>
      </c>
      <c r="O1609" s="5" t="s">
        <v>18</v>
      </c>
    </row>
    <row r="1610" spans="2:15" x14ac:dyDescent="0.3">
      <c r="B1610" s="4">
        <v>1019</v>
      </c>
      <c r="C1610" t="s">
        <v>84</v>
      </c>
      <c r="D1610" t="s">
        <v>85</v>
      </c>
      <c r="E1610" t="s">
        <v>86</v>
      </c>
      <c r="F1610">
        <v>12</v>
      </c>
      <c r="G1610" t="s">
        <v>111</v>
      </c>
      <c r="H1610">
        <v>14</v>
      </c>
      <c r="J1610" t="s">
        <v>18</v>
      </c>
      <c r="K1610" t="s">
        <v>17</v>
      </c>
      <c r="L1610" t="s">
        <v>18</v>
      </c>
      <c r="M1610" t="s">
        <v>19</v>
      </c>
      <c r="N1610" t="s">
        <v>17</v>
      </c>
      <c r="O1610" s="5" t="s">
        <v>18</v>
      </c>
    </row>
    <row r="1611" spans="2:15" x14ac:dyDescent="0.3">
      <c r="B1611" s="4">
        <v>2926</v>
      </c>
      <c r="C1611" t="s">
        <v>14</v>
      </c>
      <c r="D1611" t="s">
        <v>15</v>
      </c>
      <c r="E1611" t="s">
        <v>11</v>
      </c>
      <c r="F1611">
        <v>8</v>
      </c>
      <c r="G1611" t="s">
        <v>111</v>
      </c>
      <c r="H1611">
        <v>14</v>
      </c>
      <c r="K1611" t="s">
        <v>13</v>
      </c>
      <c r="L1611" t="s">
        <v>18</v>
      </c>
      <c r="M1611" t="s">
        <v>18</v>
      </c>
      <c r="N1611" t="s">
        <v>18</v>
      </c>
      <c r="O1611" s="5" t="s">
        <v>13</v>
      </c>
    </row>
    <row r="1612" spans="2:15" x14ac:dyDescent="0.3">
      <c r="B1612" s="4">
        <v>2431</v>
      </c>
      <c r="C1612" t="s">
        <v>106</v>
      </c>
      <c r="D1612" t="s">
        <v>107</v>
      </c>
      <c r="E1612" t="s">
        <v>11</v>
      </c>
      <c r="F1612">
        <v>8</v>
      </c>
      <c r="G1612" t="s">
        <v>87</v>
      </c>
      <c r="H1612">
        <v>9</v>
      </c>
      <c r="N1612" t="s">
        <v>17</v>
      </c>
      <c r="O1612" s="5" t="s">
        <v>19</v>
      </c>
    </row>
    <row r="1613" spans="2:15" x14ac:dyDescent="0.3">
      <c r="B1613" s="4">
        <v>269</v>
      </c>
      <c r="C1613" t="s">
        <v>46</v>
      </c>
      <c r="D1613" t="s">
        <v>47</v>
      </c>
      <c r="E1613" t="s">
        <v>11</v>
      </c>
      <c r="F1613">
        <v>8</v>
      </c>
      <c r="G1613" t="s">
        <v>87</v>
      </c>
      <c r="H1613">
        <v>9</v>
      </c>
      <c r="L1613" t="s">
        <v>13</v>
      </c>
      <c r="M1613" t="s">
        <v>13</v>
      </c>
      <c r="O1613" s="5"/>
    </row>
    <row r="1614" spans="2:15" x14ac:dyDescent="0.3">
      <c r="B1614" s="4">
        <v>3617</v>
      </c>
      <c r="C1614" t="s">
        <v>14</v>
      </c>
      <c r="D1614" t="s">
        <v>15</v>
      </c>
      <c r="E1614" t="s">
        <v>11</v>
      </c>
      <c r="F1614">
        <v>8</v>
      </c>
      <c r="G1614" t="s">
        <v>87</v>
      </c>
      <c r="H1614">
        <v>9</v>
      </c>
      <c r="M1614" t="s">
        <v>18</v>
      </c>
      <c r="N1614" t="s">
        <v>13</v>
      </c>
      <c r="O1614" s="5"/>
    </row>
    <row r="1615" spans="2:15" x14ac:dyDescent="0.3">
      <c r="B1615" s="4">
        <v>1581</v>
      </c>
      <c r="C1615" t="s">
        <v>14</v>
      </c>
      <c r="D1615" t="s">
        <v>15</v>
      </c>
      <c r="E1615" t="s">
        <v>11</v>
      </c>
      <c r="F1615">
        <v>8</v>
      </c>
      <c r="G1615" t="s">
        <v>87</v>
      </c>
      <c r="H1615">
        <v>9</v>
      </c>
      <c r="K1615" t="s">
        <v>18</v>
      </c>
      <c r="L1615" t="s">
        <v>18</v>
      </c>
      <c r="M1615" t="s">
        <v>17</v>
      </c>
      <c r="N1615" t="s">
        <v>13</v>
      </c>
      <c r="O1615" s="5" t="s">
        <v>18</v>
      </c>
    </row>
    <row r="1616" spans="2:15" x14ac:dyDescent="0.3">
      <c r="B1616" s="4">
        <v>13</v>
      </c>
      <c r="C1616" t="s">
        <v>14</v>
      </c>
      <c r="D1616" t="s">
        <v>15</v>
      </c>
      <c r="E1616" t="s">
        <v>11</v>
      </c>
      <c r="F1616">
        <v>8</v>
      </c>
      <c r="G1616" t="s">
        <v>48</v>
      </c>
      <c r="H1616">
        <v>16</v>
      </c>
      <c r="I1616" t="s">
        <v>18</v>
      </c>
      <c r="J1616" t="s">
        <v>18</v>
      </c>
      <c r="O1616" s="5"/>
    </row>
    <row r="1617" spans="2:15" x14ac:dyDescent="0.3">
      <c r="B1617" s="4">
        <v>2</v>
      </c>
      <c r="C1617" t="s">
        <v>46</v>
      </c>
      <c r="D1617" t="s">
        <v>47</v>
      </c>
      <c r="E1617" t="s">
        <v>11</v>
      </c>
      <c r="F1617">
        <v>8</v>
      </c>
      <c r="G1617" t="s">
        <v>12</v>
      </c>
      <c r="H1617">
        <v>7</v>
      </c>
      <c r="I1617" t="s">
        <v>33</v>
      </c>
      <c r="J1617" t="s">
        <v>18</v>
      </c>
      <c r="K1617" t="s">
        <v>17</v>
      </c>
      <c r="L1617" t="s">
        <v>19</v>
      </c>
      <c r="M1617" t="s">
        <v>17</v>
      </c>
      <c r="N1617" t="s">
        <v>13</v>
      </c>
      <c r="O1617" s="5" t="s">
        <v>17</v>
      </c>
    </row>
    <row r="1618" spans="2:15" x14ac:dyDescent="0.3">
      <c r="B1618" s="4">
        <v>761</v>
      </c>
      <c r="C1618" t="s">
        <v>49</v>
      </c>
      <c r="D1618" t="s">
        <v>50</v>
      </c>
      <c r="E1618" t="s">
        <v>51</v>
      </c>
      <c r="F1618">
        <v>3</v>
      </c>
      <c r="G1618" t="s">
        <v>12</v>
      </c>
      <c r="H1618">
        <v>7</v>
      </c>
      <c r="M1618" t="s">
        <v>13</v>
      </c>
      <c r="N1618" t="s">
        <v>17</v>
      </c>
      <c r="O1618" s="5" t="s">
        <v>18</v>
      </c>
    </row>
    <row r="1619" spans="2:15" x14ac:dyDescent="0.3">
      <c r="B1619" s="4">
        <v>2</v>
      </c>
      <c r="C1619" t="s">
        <v>46</v>
      </c>
      <c r="D1619" t="s">
        <v>47</v>
      </c>
      <c r="E1619" t="s">
        <v>11</v>
      </c>
      <c r="F1619">
        <v>8</v>
      </c>
      <c r="G1619" t="s">
        <v>58</v>
      </c>
      <c r="H1619">
        <v>17</v>
      </c>
      <c r="I1619" t="s">
        <v>52</v>
      </c>
      <c r="J1619" t="s">
        <v>18</v>
      </c>
      <c r="K1619" t="s">
        <v>18</v>
      </c>
      <c r="L1619" t="s">
        <v>13</v>
      </c>
      <c r="O1619" s="5"/>
    </row>
    <row r="1620" spans="2:15" x14ac:dyDescent="0.3">
      <c r="B1620" s="4">
        <v>20</v>
      </c>
      <c r="C1620" t="s">
        <v>63</v>
      </c>
      <c r="D1620" t="s">
        <v>64</v>
      </c>
      <c r="E1620" t="s">
        <v>65</v>
      </c>
      <c r="F1620">
        <v>14</v>
      </c>
      <c r="G1620" t="s">
        <v>55</v>
      </c>
      <c r="H1620">
        <v>2</v>
      </c>
      <c r="I1620" t="s">
        <v>17</v>
      </c>
      <c r="J1620" t="s">
        <v>18</v>
      </c>
      <c r="K1620" t="s">
        <v>17</v>
      </c>
      <c r="L1620" t="s">
        <v>19</v>
      </c>
      <c r="M1620" t="s">
        <v>35</v>
      </c>
      <c r="O1620" s="5"/>
    </row>
    <row r="1621" spans="2:15" x14ac:dyDescent="0.3">
      <c r="B1621" s="4">
        <v>457</v>
      </c>
      <c r="C1621" t="s">
        <v>63</v>
      </c>
      <c r="D1621" t="s">
        <v>64</v>
      </c>
      <c r="E1621" t="s">
        <v>65</v>
      </c>
      <c r="F1621">
        <v>14</v>
      </c>
      <c r="G1621" t="s">
        <v>54</v>
      </c>
      <c r="H1621">
        <v>8</v>
      </c>
      <c r="M1621" t="s">
        <v>18</v>
      </c>
      <c r="N1621" t="s">
        <v>17</v>
      </c>
      <c r="O1621" s="5"/>
    </row>
    <row r="1622" spans="2:15" x14ac:dyDescent="0.3">
      <c r="B1622" s="4">
        <v>1478</v>
      </c>
      <c r="C1622" t="s">
        <v>23</v>
      </c>
      <c r="D1622" t="s">
        <v>24</v>
      </c>
      <c r="E1622" t="s">
        <v>25</v>
      </c>
      <c r="F1622">
        <v>1</v>
      </c>
      <c r="G1622" t="s">
        <v>54</v>
      </c>
      <c r="H1622">
        <v>8</v>
      </c>
      <c r="L1622" t="s">
        <v>13</v>
      </c>
      <c r="M1622" t="s">
        <v>13</v>
      </c>
      <c r="N1622" t="s">
        <v>13</v>
      </c>
      <c r="O1622" s="5" t="s">
        <v>13</v>
      </c>
    </row>
    <row r="1623" spans="2:15" x14ac:dyDescent="0.3">
      <c r="B1623" s="4">
        <v>180</v>
      </c>
      <c r="C1623" t="s">
        <v>84</v>
      </c>
      <c r="D1623" t="s">
        <v>85</v>
      </c>
      <c r="E1623" t="s">
        <v>86</v>
      </c>
      <c r="F1623">
        <v>12</v>
      </c>
      <c r="G1623" t="s">
        <v>40</v>
      </c>
      <c r="H1623">
        <v>3</v>
      </c>
      <c r="L1623" t="s">
        <v>18</v>
      </c>
      <c r="M1623" t="s">
        <v>13</v>
      </c>
      <c r="N1623" t="s">
        <v>18</v>
      </c>
      <c r="O1623" s="5"/>
    </row>
    <row r="1624" spans="2:15" x14ac:dyDescent="0.3">
      <c r="B1624" s="4">
        <v>151</v>
      </c>
      <c r="C1624" t="s">
        <v>36</v>
      </c>
      <c r="D1624" t="s">
        <v>37</v>
      </c>
      <c r="E1624" t="s">
        <v>11</v>
      </c>
      <c r="F1624">
        <v>8</v>
      </c>
      <c r="G1624" t="s">
        <v>16</v>
      </c>
      <c r="H1624">
        <v>6</v>
      </c>
      <c r="M1624" t="s">
        <v>13</v>
      </c>
      <c r="N1624" t="s">
        <v>18</v>
      </c>
      <c r="O1624" s="5" t="s">
        <v>13</v>
      </c>
    </row>
    <row r="1625" spans="2:15" x14ac:dyDescent="0.3">
      <c r="B1625" s="4">
        <v>1464</v>
      </c>
      <c r="C1625" t="s">
        <v>72</v>
      </c>
      <c r="D1625" t="s">
        <v>73</v>
      </c>
      <c r="E1625" t="s">
        <v>11</v>
      </c>
      <c r="F1625">
        <v>8</v>
      </c>
      <c r="G1625" t="s">
        <v>16</v>
      </c>
      <c r="H1625">
        <v>6</v>
      </c>
      <c r="M1625" t="s">
        <v>18</v>
      </c>
      <c r="N1625" t="s">
        <v>18</v>
      </c>
      <c r="O1625" s="5" t="s">
        <v>18</v>
      </c>
    </row>
    <row r="1626" spans="2:15" x14ac:dyDescent="0.3">
      <c r="B1626" s="4">
        <v>363</v>
      </c>
      <c r="C1626" t="s">
        <v>23</v>
      </c>
      <c r="D1626" t="s">
        <v>24</v>
      </c>
      <c r="E1626" t="s">
        <v>25</v>
      </c>
      <c r="F1626">
        <v>1</v>
      </c>
      <c r="G1626" t="s">
        <v>16</v>
      </c>
      <c r="H1626">
        <v>6</v>
      </c>
      <c r="I1626" t="s">
        <v>18</v>
      </c>
      <c r="J1626" t="s">
        <v>13</v>
      </c>
      <c r="K1626" t="s">
        <v>18</v>
      </c>
      <c r="L1626" t="s">
        <v>17</v>
      </c>
      <c r="M1626" t="s">
        <v>18</v>
      </c>
      <c r="N1626" t="s">
        <v>19</v>
      </c>
      <c r="O1626" s="5" t="s">
        <v>17</v>
      </c>
    </row>
    <row r="1627" spans="2:15" x14ac:dyDescent="0.3">
      <c r="B1627" s="4">
        <v>1</v>
      </c>
      <c r="C1627" t="s">
        <v>100</v>
      </c>
      <c r="D1627" t="s">
        <v>101</v>
      </c>
      <c r="E1627" t="s">
        <v>102</v>
      </c>
      <c r="F1627">
        <v>4</v>
      </c>
      <c r="G1627" t="s">
        <v>12</v>
      </c>
      <c r="H1627">
        <v>7</v>
      </c>
      <c r="I1627" t="s">
        <v>13</v>
      </c>
      <c r="J1627" t="s">
        <v>13</v>
      </c>
      <c r="L1627" t="s">
        <v>13</v>
      </c>
      <c r="M1627" t="s">
        <v>13</v>
      </c>
      <c r="N1627" t="s">
        <v>18</v>
      </c>
      <c r="O1627" s="5" t="s">
        <v>13</v>
      </c>
    </row>
    <row r="1628" spans="2:15" x14ac:dyDescent="0.3">
      <c r="B1628" s="4">
        <v>227</v>
      </c>
      <c r="C1628" t="s">
        <v>14</v>
      </c>
      <c r="D1628" t="s">
        <v>15</v>
      </c>
      <c r="E1628" t="s">
        <v>11</v>
      </c>
      <c r="F1628">
        <v>8</v>
      </c>
      <c r="G1628" t="s">
        <v>16</v>
      </c>
      <c r="H1628">
        <v>6</v>
      </c>
      <c r="J1628" t="s">
        <v>18</v>
      </c>
      <c r="K1628" t="s">
        <v>13</v>
      </c>
      <c r="L1628" t="s">
        <v>18</v>
      </c>
      <c r="M1628" t="s">
        <v>17</v>
      </c>
      <c r="N1628" t="s">
        <v>18</v>
      </c>
      <c r="O1628" s="5"/>
    </row>
    <row r="1629" spans="2:15" x14ac:dyDescent="0.3">
      <c r="B1629" s="4">
        <v>221</v>
      </c>
      <c r="C1629" t="s">
        <v>14</v>
      </c>
      <c r="D1629" t="s">
        <v>15</v>
      </c>
      <c r="E1629" t="s">
        <v>11</v>
      </c>
      <c r="F1629">
        <v>8</v>
      </c>
      <c r="G1629" t="s">
        <v>22</v>
      </c>
      <c r="H1629">
        <v>1</v>
      </c>
      <c r="I1629" t="s">
        <v>18</v>
      </c>
      <c r="J1629" t="s">
        <v>18</v>
      </c>
      <c r="K1629" t="s">
        <v>13</v>
      </c>
      <c r="L1629" t="s">
        <v>18</v>
      </c>
      <c r="O1629" s="5"/>
    </row>
    <row r="1630" spans="2:15" x14ac:dyDescent="0.3">
      <c r="B1630" s="4">
        <v>445</v>
      </c>
      <c r="C1630" t="s">
        <v>31</v>
      </c>
      <c r="D1630" t="s">
        <v>32</v>
      </c>
      <c r="E1630" t="s">
        <v>11</v>
      </c>
      <c r="F1630">
        <v>8</v>
      </c>
      <c r="G1630" t="s">
        <v>26</v>
      </c>
      <c r="H1630">
        <v>4</v>
      </c>
      <c r="I1630" t="s">
        <v>19</v>
      </c>
      <c r="J1630" t="s">
        <v>17</v>
      </c>
      <c r="K1630" t="s">
        <v>19</v>
      </c>
      <c r="L1630" t="s">
        <v>17</v>
      </c>
      <c r="M1630" t="s">
        <v>13</v>
      </c>
      <c r="N1630" t="s">
        <v>19</v>
      </c>
      <c r="O1630" s="5" t="s">
        <v>17</v>
      </c>
    </row>
    <row r="1631" spans="2:15" x14ac:dyDescent="0.3">
      <c r="B1631" s="4">
        <v>30</v>
      </c>
      <c r="C1631" t="s">
        <v>14</v>
      </c>
      <c r="D1631" t="s">
        <v>15</v>
      </c>
      <c r="E1631" t="s">
        <v>11</v>
      </c>
      <c r="F1631">
        <v>8</v>
      </c>
      <c r="G1631" t="s">
        <v>26</v>
      </c>
      <c r="H1631">
        <v>4</v>
      </c>
      <c r="I1631" t="s">
        <v>13</v>
      </c>
      <c r="J1631" t="s">
        <v>13</v>
      </c>
      <c r="K1631" t="s">
        <v>13</v>
      </c>
      <c r="L1631" t="s">
        <v>13</v>
      </c>
      <c r="M1631" t="s">
        <v>13</v>
      </c>
      <c r="N1631" t="s">
        <v>13</v>
      </c>
      <c r="O1631" s="5" t="s">
        <v>13</v>
      </c>
    </row>
    <row r="1632" spans="2:15" x14ac:dyDescent="0.3">
      <c r="B1632" s="4">
        <v>1092</v>
      </c>
      <c r="C1632" t="s">
        <v>72</v>
      </c>
      <c r="D1632" t="s">
        <v>73</v>
      </c>
      <c r="E1632" t="s">
        <v>11</v>
      </c>
      <c r="F1632">
        <v>8</v>
      </c>
      <c r="G1632" t="s">
        <v>16</v>
      </c>
      <c r="H1632">
        <v>6</v>
      </c>
      <c r="I1632" t="s">
        <v>18</v>
      </c>
      <c r="J1632" t="s">
        <v>17</v>
      </c>
      <c r="K1632" t="s">
        <v>13</v>
      </c>
      <c r="O1632" s="5"/>
    </row>
    <row r="1633" spans="2:15" x14ac:dyDescent="0.3">
      <c r="B1633" s="4">
        <v>723</v>
      </c>
      <c r="C1633" t="s">
        <v>46</v>
      </c>
      <c r="D1633" t="s">
        <v>47</v>
      </c>
      <c r="E1633" t="s">
        <v>11</v>
      </c>
      <c r="F1633">
        <v>8</v>
      </c>
      <c r="G1633" t="s">
        <v>30</v>
      </c>
      <c r="H1633">
        <v>18</v>
      </c>
      <c r="M1633" t="s">
        <v>17</v>
      </c>
      <c r="N1633" t="s">
        <v>18</v>
      </c>
      <c r="O1633" s="5"/>
    </row>
    <row r="1634" spans="2:15" x14ac:dyDescent="0.3">
      <c r="B1634" s="4">
        <v>402</v>
      </c>
      <c r="C1634" t="s">
        <v>14</v>
      </c>
      <c r="D1634" t="s">
        <v>15</v>
      </c>
      <c r="E1634" t="s">
        <v>11</v>
      </c>
      <c r="F1634">
        <v>8</v>
      </c>
      <c r="G1634" t="s">
        <v>12</v>
      </c>
      <c r="H1634">
        <v>7</v>
      </c>
      <c r="N1634" t="s">
        <v>17</v>
      </c>
      <c r="O1634" s="5" t="s">
        <v>13</v>
      </c>
    </row>
    <row r="1635" spans="2:15" x14ac:dyDescent="0.3">
      <c r="B1635" s="4">
        <v>1163</v>
      </c>
      <c r="C1635" t="s">
        <v>41</v>
      </c>
      <c r="D1635" t="s">
        <v>42</v>
      </c>
      <c r="E1635" t="s">
        <v>11</v>
      </c>
      <c r="F1635">
        <v>8</v>
      </c>
      <c r="G1635" t="s">
        <v>38</v>
      </c>
      <c r="H1635">
        <v>13</v>
      </c>
      <c r="M1635" t="s">
        <v>18</v>
      </c>
      <c r="N1635" t="s">
        <v>52</v>
      </c>
      <c r="O1635" s="5" t="s">
        <v>17</v>
      </c>
    </row>
    <row r="1636" spans="2:15" x14ac:dyDescent="0.3">
      <c r="B1636" s="4">
        <v>1198</v>
      </c>
      <c r="C1636" t="s">
        <v>84</v>
      </c>
      <c r="D1636" t="s">
        <v>85</v>
      </c>
      <c r="E1636" t="s">
        <v>86</v>
      </c>
      <c r="F1636">
        <v>12</v>
      </c>
      <c r="G1636" t="s">
        <v>39</v>
      </c>
      <c r="H1636">
        <v>12</v>
      </c>
      <c r="I1636" t="s">
        <v>13</v>
      </c>
      <c r="J1636" t="s">
        <v>13</v>
      </c>
      <c r="K1636" t="s">
        <v>13</v>
      </c>
      <c r="L1636" t="s">
        <v>13</v>
      </c>
      <c r="M1636" t="s">
        <v>13</v>
      </c>
      <c r="N1636" t="s">
        <v>18</v>
      </c>
      <c r="O1636" s="5"/>
    </row>
    <row r="1637" spans="2:15" x14ac:dyDescent="0.3">
      <c r="B1637" s="4">
        <v>345</v>
      </c>
      <c r="C1637" t="s">
        <v>43</v>
      </c>
      <c r="D1637" t="s">
        <v>44</v>
      </c>
      <c r="E1637" t="s">
        <v>45</v>
      </c>
      <c r="F1637">
        <v>5</v>
      </c>
      <c r="G1637" t="s">
        <v>40</v>
      </c>
      <c r="H1637">
        <v>3</v>
      </c>
      <c r="J1637" t="s">
        <v>52</v>
      </c>
      <c r="K1637" t="s">
        <v>52</v>
      </c>
      <c r="L1637" t="s">
        <v>33</v>
      </c>
      <c r="M1637" t="s">
        <v>35</v>
      </c>
      <c r="O1637" s="5"/>
    </row>
    <row r="1638" spans="2:15" x14ac:dyDescent="0.3">
      <c r="B1638" s="4">
        <v>1408</v>
      </c>
      <c r="C1638" t="s">
        <v>36</v>
      </c>
      <c r="D1638" t="s">
        <v>37</v>
      </c>
      <c r="E1638" t="s">
        <v>11</v>
      </c>
      <c r="F1638">
        <v>8</v>
      </c>
      <c r="G1638" t="s">
        <v>16</v>
      </c>
      <c r="H1638">
        <v>6</v>
      </c>
      <c r="N1638" t="s">
        <v>18</v>
      </c>
      <c r="O1638" s="5" t="s">
        <v>17</v>
      </c>
    </row>
    <row r="1639" spans="2:15" x14ac:dyDescent="0.3">
      <c r="B1639" s="4">
        <v>1907</v>
      </c>
      <c r="C1639" t="s">
        <v>36</v>
      </c>
      <c r="D1639" t="s">
        <v>37</v>
      </c>
      <c r="E1639" t="s">
        <v>11</v>
      </c>
      <c r="F1639">
        <v>8</v>
      </c>
      <c r="G1639" t="s">
        <v>16</v>
      </c>
      <c r="H1639">
        <v>6</v>
      </c>
      <c r="M1639" t="s">
        <v>17</v>
      </c>
      <c r="N1639" t="s">
        <v>17</v>
      </c>
      <c r="O1639" s="5" t="s">
        <v>18</v>
      </c>
    </row>
    <row r="1640" spans="2:15" x14ac:dyDescent="0.3">
      <c r="B1640" s="4">
        <v>1590</v>
      </c>
      <c r="C1640" t="s">
        <v>14</v>
      </c>
      <c r="D1640" t="s">
        <v>15</v>
      </c>
      <c r="E1640" t="s">
        <v>11</v>
      </c>
      <c r="F1640">
        <v>8</v>
      </c>
      <c r="G1640" t="s">
        <v>40</v>
      </c>
      <c r="H1640">
        <v>3</v>
      </c>
      <c r="L1640" t="s">
        <v>13</v>
      </c>
      <c r="M1640" t="s">
        <v>18</v>
      </c>
      <c r="N1640" t="s">
        <v>19</v>
      </c>
      <c r="O1640" s="5" t="s">
        <v>17</v>
      </c>
    </row>
    <row r="1641" spans="2:15" x14ac:dyDescent="0.3">
      <c r="B1641" s="4">
        <v>1176</v>
      </c>
      <c r="C1641" t="s">
        <v>78</v>
      </c>
      <c r="D1641" t="s">
        <v>79</v>
      </c>
      <c r="E1641" t="s">
        <v>80</v>
      </c>
      <c r="F1641">
        <v>10</v>
      </c>
      <c r="G1641" t="s">
        <v>16</v>
      </c>
      <c r="H1641">
        <v>6</v>
      </c>
      <c r="M1641" t="s">
        <v>18</v>
      </c>
      <c r="N1641" t="s">
        <v>17</v>
      </c>
      <c r="O1641" s="5"/>
    </row>
    <row r="1642" spans="2:15" x14ac:dyDescent="0.3">
      <c r="B1642" s="4">
        <v>293</v>
      </c>
      <c r="C1642" t="s">
        <v>31</v>
      </c>
      <c r="D1642" t="s">
        <v>32</v>
      </c>
      <c r="E1642" t="s">
        <v>11</v>
      </c>
      <c r="F1642">
        <v>8</v>
      </c>
      <c r="G1642" t="s">
        <v>40</v>
      </c>
      <c r="H1642">
        <v>3</v>
      </c>
      <c r="I1642" t="s">
        <v>13</v>
      </c>
      <c r="J1642" t="s">
        <v>18</v>
      </c>
      <c r="K1642" t="s">
        <v>13</v>
      </c>
      <c r="L1642" t="s">
        <v>13</v>
      </c>
      <c r="M1642" t="s">
        <v>18</v>
      </c>
      <c r="N1642" t="s">
        <v>18</v>
      </c>
      <c r="O1642" s="5" t="s">
        <v>18</v>
      </c>
    </row>
    <row r="1643" spans="2:15" x14ac:dyDescent="0.3">
      <c r="B1643" s="4">
        <v>911</v>
      </c>
      <c r="C1643" t="s">
        <v>14</v>
      </c>
      <c r="D1643" t="s">
        <v>15</v>
      </c>
      <c r="E1643" t="s">
        <v>11</v>
      </c>
      <c r="F1643">
        <v>8</v>
      </c>
      <c r="G1643" t="s">
        <v>16</v>
      </c>
      <c r="H1643">
        <v>6</v>
      </c>
      <c r="N1643" t="s">
        <v>19</v>
      </c>
      <c r="O1643" s="5" t="s">
        <v>19</v>
      </c>
    </row>
    <row r="1644" spans="2:15" x14ac:dyDescent="0.3">
      <c r="B1644" s="4">
        <v>39</v>
      </c>
      <c r="C1644" t="s">
        <v>9</v>
      </c>
      <c r="D1644" t="s">
        <v>10</v>
      </c>
      <c r="E1644" t="s">
        <v>11</v>
      </c>
      <c r="F1644">
        <v>8</v>
      </c>
      <c r="G1644" t="s">
        <v>16</v>
      </c>
      <c r="H1644">
        <v>6</v>
      </c>
      <c r="K1644" t="s">
        <v>33</v>
      </c>
      <c r="L1644" t="s">
        <v>33</v>
      </c>
      <c r="M1644" t="s">
        <v>19</v>
      </c>
      <c r="N1644" t="s">
        <v>52</v>
      </c>
      <c r="O1644" s="5" t="s">
        <v>19</v>
      </c>
    </row>
    <row r="1645" spans="2:15" x14ac:dyDescent="0.3">
      <c r="B1645" s="4">
        <v>19</v>
      </c>
      <c r="C1645" t="s">
        <v>9</v>
      </c>
      <c r="D1645" t="s">
        <v>10</v>
      </c>
      <c r="E1645" t="s">
        <v>11</v>
      </c>
      <c r="F1645">
        <v>8</v>
      </c>
      <c r="G1645" t="s">
        <v>16</v>
      </c>
      <c r="H1645">
        <v>6</v>
      </c>
      <c r="L1645" t="s">
        <v>13</v>
      </c>
      <c r="M1645" t="s">
        <v>13</v>
      </c>
      <c r="N1645" t="s">
        <v>13</v>
      </c>
      <c r="O1645" s="5" t="s">
        <v>13</v>
      </c>
    </row>
    <row r="1646" spans="2:15" x14ac:dyDescent="0.3">
      <c r="B1646" s="4">
        <v>929</v>
      </c>
      <c r="C1646" t="s">
        <v>14</v>
      </c>
      <c r="D1646" t="s">
        <v>15</v>
      </c>
      <c r="E1646" t="s">
        <v>11</v>
      </c>
      <c r="F1646">
        <v>8</v>
      </c>
      <c r="G1646" t="s">
        <v>48</v>
      </c>
      <c r="H1646">
        <v>16</v>
      </c>
      <c r="L1646" t="s">
        <v>18</v>
      </c>
      <c r="M1646" t="s">
        <v>19</v>
      </c>
      <c r="N1646" t="s">
        <v>17</v>
      </c>
      <c r="O1646" s="5" t="s">
        <v>18</v>
      </c>
    </row>
    <row r="1647" spans="2:15" x14ac:dyDescent="0.3">
      <c r="B1647" s="4">
        <v>1551</v>
      </c>
      <c r="C1647" t="s">
        <v>72</v>
      </c>
      <c r="D1647" t="s">
        <v>73</v>
      </c>
      <c r="E1647" t="s">
        <v>11</v>
      </c>
      <c r="F1647">
        <v>8</v>
      </c>
      <c r="G1647" t="s">
        <v>111</v>
      </c>
      <c r="H1647">
        <v>14</v>
      </c>
      <c r="L1647" t="s">
        <v>13</v>
      </c>
      <c r="M1647" t="s">
        <v>13</v>
      </c>
      <c r="N1647" t="s">
        <v>13</v>
      </c>
      <c r="O1647" s="5" t="s">
        <v>17</v>
      </c>
    </row>
    <row r="1648" spans="2:15" x14ac:dyDescent="0.3">
      <c r="B1648" s="4">
        <v>1413</v>
      </c>
      <c r="C1648" t="s">
        <v>75</v>
      </c>
      <c r="D1648" t="s">
        <v>76</v>
      </c>
      <c r="E1648" t="s">
        <v>77</v>
      </c>
      <c r="F1648">
        <v>7</v>
      </c>
      <c r="G1648" t="s">
        <v>30</v>
      </c>
      <c r="H1648">
        <v>18</v>
      </c>
      <c r="M1648" t="s">
        <v>13</v>
      </c>
      <c r="N1648" t="s">
        <v>17</v>
      </c>
      <c r="O1648" s="5" t="s">
        <v>18</v>
      </c>
    </row>
    <row r="1649" spans="2:15" x14ac:dyDescent="0.3">
      <c r="B1649" s="4">
        <v>606</v>
      </c>
      <c r="C1649" t="s">
        <v>14</v>
      </c>
      <c r="D1649" t="s">
        <v>15</v>
      </c>
      <c r="E1649" t="s">
        <v>11</v>
      </c>
      <c r="F1649">
        <v>8</v>
      </c>
      <c r="G1649" t="s">
        <v>30</v>
      </c>
      <c r="H1649">
        <v>18</v>
      </c>
      <c r="N1649" t="s">
        <v>17</v>
      </c>
      <c r="O1649" s="5" t="s">
        <v>18</v>
      </c>
    </row>
    <row r="1650" spans="2:15" x14ac:dyDescent="0.3">
      <c r="B1650" s="4">
        <v>2687</v>
      </c>
      <c r="C1650" t="s">
        <v>20</v>
      </c>
      <c r="D1650" t="s">
        <v>21</v>
      </c>
      <c r="E1650" t="s">
        <v>11</v>
      </c>
      <c r="F1650">
        <v>8</v>
      </c>
      <c r="G1650" t="s">
        <v>87</v>
      </c>
      <c r="H1650">
        <v>9</v>
      </c>
      <c r="M1650" t="s">
        <v>18</v>
      </c>
      <c r="N1650" t="s">
        <v>18</v>
      </c>
      <c r="O1650" s="5" t="s">
        <v>52</v>
      </c>
    </row>
    <row r="1651" spans="2:15" x14ac:dyDescent="0.3">
      <c r="B1651" s="4">
        <v>1</v>
      </c>
      <c r="C1651" t="s">
        <v>14</v>
      </c>
      <c r="D1651" t="s">
        <v>15</v>
      </c>
      <c r="E1651" t="s">
        <v>11</v>
      </c>
      <c r="F1651">
        <v>8</v>
      </c>
      <c r="G1651" t="s">
        <v>55</v>
      </c>
      <c r="H1651">
        <v>2</v>
      </c>
      <c r="J1651" t="s">
        <v>13</v>
      </c>
      <c r="K1651" t="s">
        <v>13</v>
      </c>
      <c r="L1651" t="s">
        <v>13</v>
      </c>
      <c r="M1651" t="s">
        <v>17</v>
      </c>
      <c r="N1651" t="s">
        <v>13</v>
      </c>
      <c r="O1651" s="5" t="s">
        <v>13</v>
      </c>
    </row>
    <row r="1652" spans="2:15" x14ac:dyDescent="0.3">
      <c r="B1652" s="4">
        <v>6</v>
      </c>
      <c r="C1652" t="s">
        <v>23</v>
      </c>
      <c r="D1652" t="s">
        <v>24</v>
      </c>
      <c r="E1652" t="s">
        <v>25</v>
      </c>
      <c r="F1652">
        <v>1</v>
      </c>
      <c r="G1652" t="s">
        <v>111</v>
      </c>
      <c r="H1652">
        <v>14</v>
      </c>
      <c r="I1652" t="s">
        <v>17</v>
      </c>
      <c r="J1652" t="s">
        <v>17</v>
      </c>
      <c r="K1652" t="s">
        <v>18</v>
      </c>
      <c r="L1652" t="s">
        <v>13</v>
      </c>
      <c r="M1652" t="s">
        <v>18</v>
      </c>
      <c r="N1652" t="s">
        <v>18</v>
      </c>
      <c r="O1652" s="5" t="s">
        <v>13</v>
      </c>
    </row>
    <row r="1653" spans="2:15" x14ac:dyDescent="0.3">
      <c r="B1653" s="4">
        <v>2657</v>
      </c>
      <c r="C1653" t="s">
        <v>20</v>
      </c>
      <c r="D1653" t="s">
        <v>21</v>
      </c>
      <c r="E1653" t="s">
        <v>11</v>
      </c>
      <c r="F1653">
        <v>8</v>
      </c>
      <c r="G1653" t="s">
        <v>111</v>
      </c>
      <c r="H1653">
        <v>14</v>
      </c>
      <c r="L1653" t="s">
        <v>18</v>
      </c>
      <c r="M1653" t="s">
        <v>18</v>
      </c>
      <c r="N1653" t="s">
        <v>17</v>
      </c>
      <c r="O1653" s="5" t="s">
        <v>52</v>
      </c>
    </row>
    <row r="1654" spans="2:15" x14ac:dyDescent="0.3">
      <c r="B1654" s="4">
        <v>78</v>
      </c>
      <c r="C1654" t="s">
        <v>63</v>
      </c>
      <c r="D1654" t="s">
        <v>64</v>
      </c>
      <c r="E1654" t="s">
        <v>65</v>
      </c>
      <c r="F1654">
        <v>14</v>
      </c>
      <c r="G1654" t="s">
        <v>87</v>
      </c>
      <c r="H1654">
        <v>9</v>
      </c>
      <c r="K1654" t="s">
        <v>13</v>
      </c>
      <c r="L1654" t="s">
        <v>18</v>
      </c>
      <c r="M1654" t="s">
        <v>17</v>
      </c>
      <c r="N1654" t="s">
        <v>19</v>
      </c>
      <c r="O1654" s="5" t="s">
        <v>52</v>
      </c>
    </row>
    <row r="1655" spans="2:15" x14ac:dyDescent="0.3">
      <c r="B1655" s="4">
        <v>352</v>
      </c>
      <c r="C1655" t="s">
        <v>9</v>
      </c>
      <c r="D1655" t="s">
        <v>10</v>
      </c>
      <c r="E1655" t="s">
        <v>11</v>
      </c>
      <c r="F1655">
        <v>8</v>
      </c>
      <c r="G1655" t="s">
        <v>87</v>
      </c>
      <c r="H1655">
        <v>9</v>
      </c>
      <c r="M1655" t="s">
        <v>13</v>
      </c>
      <c r="N1655" t="s">
        <v>18</v>
      </c>
      <c r="O1655" s="5" t="s">
        <v>18</v>
      </c>
    </row>
    <row r="1656" spans="2:15" x14ac:dyDescent="0.3">
      <c r="B1656" s="4">
        <v>1217</v>
      </c>
      <c r="C1656" t="s">
        <v>46</v>
      </c>
      <c r="D1656" t="s">
        <v>47</v>
      </c>
      <c r="E1656" t="s">
        <v>11</v>
      </c>
      <c r="F1656">
        <v>8</v>
      </c>
      <c r="G1656" t="s">
        <v>87</v>
      </c>
      <c r="H1656">
        <v>9</v>
      </c>
      <c r="N1656" t="s">
        <v>18</v>
      </c>
      <c r="O1656" s="5" t="s">
        <v>17</v>
      </c>
    </row>
    <row r="1657" spans="2:15" x14ac:dyDescent="0.3">
      <c r="B1657" s="4">
        <v>2652</v>
      </c>
      <c r="C1657" t="s">
        <v>23</v>
      </c>
      <c r="D1657" t="s">
        <v>24</v>
      </c>
      <c r="E1657" t="s">
        <v>25</v>
      </c>
      <c r="F1657">
        <v>1</v>
      </c>
      <c r="G1657" t="s">
        <v>87</v>
      </c>
      <c r="H1657">
        <v>9</v>
      </c>
      <c r="K1657" t="s">
        <v>13</v>
      </c>
      <c r="L1657" t="s">
        <v>18</v>
      </c>
      <c r="M1657" t="s">
        <v>17</v>
      </c>
      <c r="N1657" t="s">
        <v>19</v>
      </c>
      <c r="O1657" s="5" t="s">
        <v>17</v>
      </c>
    </row>
    <row r="1658" spans="2:15" x14ac:dyDescent="0.3">
      <c r="B1658" s="4">
        <v>328</v>
      </c>
      <c r="C1658" t="s">
        <v>14</v>
      </c>
      <c r="D1658" t="s">
        <v>15</v>
      </c>
      <c r="E1658" t="s">
        <v>11</v>
      </c>
      <c r="F1658">
        <v>8</v>
      </c>
      <c r="G1658" t="s">
        <v>48</v>
      </c>
      <c r="H1658">
        <v>16</v>
      </c>
      <c r="L1658" t="s">
        <v>18</v>
      </c>
      <c r="M1658" t="s">
        <v>18</v>
      </c>
      <c r="N1658" t="s">
        <v>17</v>
      </c>
      <c r="O1658" s="5"/>
    </row>
    <row r="1659" spans="2:15" x14ac:dyDescent="0.3">
      <c r="B1659" s="4">
        <v>1712</v>
      </c>
      <c r="C1659" t="s">
        <v>84</v>
      </c>
      <c r="D1659" t="s">
        <v>85</v>
      </c>
      <c r="E1659" t="s">
        <v>86</v>
      </c>
      <c r="F1659">
        <v>12</v>
      </c>
      <c r="G1659" t="s">
        <v>12</v>
      </c>
      <c r="H1659">
        <v>7</v>
      </c>
      <c r="M1659" t="s">
        <v>13</v>
      </c>
      <c r="N1659" t="s">
        <v>13</v>
      </c>
      <c r="O1659" s="5" t="s">
        <v>13</v>
      </c>
    </row>
    <row r="1660" spans="2:15" x14ac:dyDescent="0.3">
      <c r="B1660" s="4">
        <v>569</v>
      </c>
      <c r="C1660" t="s">
        <v>43</v>
      </c>
      <c r="D1660" t="s">
        <v>44</v>
      </c>
      <c r="E1660" t="s">
        <v>45</v>
      </c>
      <c r="F1660">
        <v>5</v>
      </c>
      <c r="G1660" t="s">
        <v>12</v>
      </c>
      <c r="H1660">
        <v>7</v>
      </c>
      <c r="M1660" t="s">
        <v>13</v>
      </c>
      <c r="N1660" t="s">
        <v>18</v>
      </c>
      <c r="O1660" s="5" t="s">
        <v>13</v>
      </c>
    </row>
    <row r="1661" spans="2:15" x14ac:dyDescent="0.3">
      <c r="B1661" s="4">
        <v>1552</v>
      </c>
      <c r="C1661" t="s">
        <v>112</v>
      </c>
      <c r="D1661" t="s">
        <v>113</v>
      </c>
      <c r="E1661" t="s">
        <v>11</v>
      </c>
      <c r="F1661">
        <v>8</v>
      </c>
      <c r="G1661" t="s">
        <v>58</v>
      </c>
      <c r="H1661">
        <v>17</v>
      </c>
      <c r="N1661" t="s">
        <v>17</v>
      </c>
      <c r="O1661" s="5" t="s">
        <v>13</v>
      </c>
    </row>
    <row r="1662" spans="2:15" x14ac:dyDescent="0.3">
      <c r="B1662" s="4">
        <v>124</v>
      </c>
      <c r="C1662" t="s">
        <v>46</v>
      </c>
      <c r="D1662" t="s">
        <v>47</v>
      </c>
      <c r="E1662" t="s">
        <v>11</v>
      </c>
      <c r="F1662">
        <v>8</v>
      </c>
      <c r="G1662" t="s">
        <v>55</v>
      </c>
      <c r="H1662">
        <v>2</v>
      </c>
      <c r="I1662" t="s">
        <v>17</v>
      </c>
      <c r="J1662" t="s">
        <v>18</v>
      </c>
      <c r="K1662" t="s">
        <v>18</v>
      </c>
      <c r="L1662" t="s">
        <v>13</v>
      </c>
      <c r="M1662" t="s">
        <v>13</v>
      </c>
      <c r="N1662" t="s">
        <v>18</v>
      </c>
      <c r="O1662" s="5" t="s">
        <v>17</v>
      </c>
    </row>
    <row r="1663" spans="2:15" x14ac:dyDescent="0.3">
      <c r="B1663" s="4">
        <v>2094</v>
      </c>
      <c r="C1663" t="s">
        <v>31</v>
      </c>
      <c r="D1663" t="s">
        <v>32</v>
      </c>
      <c r="E1663" t="s">
        <v>11</v>
      </c>
      <c r="F1663">
        <v>8</v>
      </c>
      <c r="G1663" t="s">
        <v>54</v>
      </c>
      <c r="H1663">
        <v>8</v>
      </c>
      <c r="K1663" t="s">
        <v>17</v>
      </c>
      <c r="L1663" t="s">
        <v>17</v>
      </c>
      <c r="O1663" s="5"/>
    </row>
    <row r="1664" spans="2:15" x14ac:dyDescent="0.3">
      <c r="B1664" s="4">
        <v>1268</v>
      </c>
      <c r="C1664" t="s">
        <v>92</v>
      </c>
      <c r="D1664" t="s">
        <v>93</v>
      </c>
      <c r="E1664" t="s">
        <v>11</v>
      </c>
      <c r="F1664">
        <v>8</v>
      </c>
      <c r="G1664" t="s">
        <v>54</v>
      </c>
      <c r="H1664">
        <v>8</v>
      </c>
      <c r="N1664" t="s">
        <v>13</v>
      </c>
      <c r="O1664" s="5" t="s">
        <v>18</v>
      </c>
    </row>
    <row r="1665" spans="2:15" x14ac:dyDescent="0.3">
      <c r="B1665" s="4">
        <v>27</v>
      </c>
      <c r="C1665" t="s">
        <v>49</v>
      </c>
      <c r="D1665" t="s">
        <v>50</v>
      </c>
      <c r="E1665" t="s">
        <v>51</v>
      </c>
      <c r="F1665">
        <v>3</v>
      </c>
      <c r="G1665" t="s">
        <v>40</v>
      </c>
      <c r="H1665">
        <v>3</v>
      </c>
      <c r="N1665" t="s">
        <v>18</v>
      </c>
      <c r="O1665" s="5" t="s">
        <v>17</v>
      </c>
    </row>
    <row r="1666" spans="2:15" x14ac:dyDescent="0.3">
      <c r="B1666" s="4">
        <v>2653</v>
      </c>
      <c r="C1666" t="s">
        <v>23</v>
      </c>
      <c r="D1666" t="s">
        <v>24</v>
      </c>
      <c r="E1666" t="s">
        <v>25</v>
      </c>
      <c r="F1666">
        <v>1</v>
      </c>
      <c r="G1666" t="s">
        <v>16</v>
      </c>
      <c r="H1666">
        <v>6</v>
      </c>
      <c r="L1666" t="s">
        <v>13</v>
      </c>
      <c r="M1666" t="s">
        <v>13</v>
      </c>
      <c r="N1666" t="s">
        <v>13</v>
      </c>
      <c r="O1666" s="5" t="s">
        <v>17</v>
      </c>
    </row>
    <row r="1667" spans="2:15" x14ac:dyDescent="0.3">
      <c r="B1667" s="4">
        <v>914</v>
      </c>
      <c r="C1667" t="s">
        <v>46</v>
      </c>
      <c r="D1667" t="s">
        <v>47</v>
      </c>
      <c r="E1667" t="s">
        <v>11</v>
      </c>
      <c r="F1667">
        <v>8</v>
      </c>
      <c r="G1667" t="s">
        <v>16</v>
      </c>
      <c r="H1667">
        <v>6</v>
      </c>
      <c r="K1667" t="s">
        <v>18</v>
      </c>
      <c r="L1667" t="s">
        <v>19</v>
      </c>
      <c r="M1667" t="s">
        <v>35</v>
      </c>
      <c r="O1667" s="5"/>
    </row>
    <row r="1668" spans="2:15" x14ac:dyDescent="0.3">
      <c r="B1668" s="4">
        <v>1548</v>
      </c>
      <c r="C1668" t="s">
        <v>14</v>
      </c>
      <c r="D1668" t="s">
        <v>15</v>
      </c>
      <c r="E1668" t="s">
        <v>11</v>
      </c>
      <c r="F1668">
        <v>8</v>
      </c>
      <c r="G1668" t="s">
        <v>16</v>
      </c>
      <c r="H1668">
        <v>6</v>
      </c>
      <c r="M1668" t="s">
        <v>52</v>
      </c>
      <c r="N1668" t="s">
        <v>52</v>
      </c>
      <c r="O1668" s="5" t="s">
        <v>19</v>
      </c>
    </row>
    <row r="1669" spans="2:15" x14ac:dyDescent="0.3">
      <c r="B1669" s="4">
        <v>817</v>
      </c>
      <c r="C1669" t="s">
        <v>14</v>
      </c>
      <c r="D1669" t="s">
        <v>15</v>
      </c>
      <c r="E1669" t="s">
        <v>11</v>
      </c>
      <c r="F1669">
        <v>8</v>
      </c>
      <c r="G1669" t="s">
        <v>12</v>
      </c>
      <c r="H1669">
        <v>7</v>
      </c>
      <c r="M1669" t="s">
        <v>13</v>
      </c>
      <c r="N1669" t="s">
        <v>18</v>
      </c>
      <c r="O1669" s="5" t="s">
        <v>17</v>
      </c>
    </row>
    <row r="1670" spans="2:15" x14ac:dyDescent="0.3">
      <c r="B1670" s="4">
        <v>1</v>
      </c>
      <c r="C1670" t="s">
        <v>46</v>
      </c>
      <c r="D1670" t="s">
        <v>47</v>
      </c>
      <c r="E1670" t="s">
        <v>11</v>
      </c>
      <c r="F1670">
        <v>8</v>
      </c>
      <c r="G1670" t="s">
        <v>16</v>
      </c>
      <c r="H1670">
        <v>6</v>
      </c>
      <c r="I1670" t="s">
        <v>18</v>
      </c>
      <c r="J1670" t="s">
        <v>18</v>
      </c>
      <c r="K1670" t="s">
        <v>17</v>
      </c>
      <c r="L1670" t="s">
        <v>18</v>
      </c>
      <c r="M1670" t="s">
        <v>13</v>
      </c>
      <c r="N1670" t="s">
        <v>18</v>
      </c>
      <c r="O1670" s="5" t="s">
        <v>18</v>
      </c>
    </row>
    <row r="1671" spans="2:15" x14ac:dyDescent="0.3">
      <c r="B1671" s="4">
        <v>505</v>
      </c>
      <c r="C1671" t="s">
        <v>43</v>
      </c>
      <c r="D1671" t="s">
        <v>44</v>
      </c>
      <c r="E1671" t="s">
        <v>45</v>
      </c>
      <c r="F1671">
        <v>5</v>
      </c>
      <c r="G1671" t="s">
        <v>22</v>
      </c>
      <c r="H1671">
        <v>1</v>
      </c>
      <c r="K1671" t="s">
        <v>13</v>
      </c>
      <c r="L1671" t="s">
        <v>18</v>
      </c>
      <c r="M1671" t="s">
        <v>13</v>
      </c>
      <c r="N1671" t="s">
        <v>13</v>
      </c>
      <c r="O1671" s="5" t="s">
        <v>18</v>
      </c>
    </row>
    <row r="1672" spans="2:15" x14ac:dyDescent="0.3">
      <c r="B1672" s="4">
        <v>659</v>
      </c>
      <c r="C1672" t="s">
        <v>23</v>
      </c>
      <c r="D1672" t="s">
        <v>24</v>
      </c>
      <c r="E1672" t="s">
        <v>25</v>
      </c>
      <c r="F1672">
        <v>1</v>
      </c>
      <c r="G1672" t="s">
        <v>26</v>
      </c>
      <c r="H1672">
        <v>4</v>
      </c>
      <c r="N1672" t="s">
        <v>18</v>
      </c>
      <c r="O1672" s="5" t="s">
        <v>18</v>
      </c>
    </row>
    <row r="1673" spans="2:15" x14ac:dyDescent="0.3">
      <c r="B1673" s="4">
        <v>2431</v>
      </c>
      <c r="C1673" t="s">
        <v>27</v>
      </c>
      <c r="D1673" t="s">
        <v>28</v>
      </c>
      <c r="E1673" t="s">
        <v>29</v>
      </c>
      <c r="F1673">
        <v>6</v>
      </c>
      <c r="G1673" t="s">
        <v>26</v>
      </c>
      <c r="H1673">
        <v>4</v>
      </c>
      <c r="M1673" t="s">
        <v>13</v>
      </c>
      <c r="N1673" t="s">
        <v>18</v>
      </c>
      <c r="O1673" s="5"/>
    </row>
    <row r="1674" spans="2:15" x14ac:dyDescent="0.3">
      <c r="B1674" s="4">
        <v>1065</v>
      </c>
      <c r="C1674" t="s">
        <v>14</v>
      </c>
      <c r="D1674" t="s">
        <v>15</v>
      </c>
      <c r="E1674" t="s">
        <v>11</v>
      </c>
      <c r="F1674">
        <v>8</v>
      </c>
      <c r="G1674" t="s">
        <v>16</v>
      </c>
      <c r="H1674">
        <v>6</v>
      </c>
      <c r="K1674" t="s">
        <v>18</v>
      </c>
      <c r="L1674" t="s">
        <v>13</v>
      </c>
      <c r="M1674" t="s">
        <v>17</v>
      </c>
      <c r="N1674" t="s">
        <v>18</v>
      </c>
      <c r="O1674" s="5" t="s">
        <v>18</v>
      </c>
    </row>
    <row r="1675" spans="2:15" x14ac:dyDescent="0.3">
      <c r="B1675" s="4">
        <v>73</v>
      </c>
      <c r="C1675" t="s">
        <v>9</v>
      </c>
      <c r="D1675" t="s">
        <v>10</v>
      </c>
      <c r="E1675" t="s">
        <v>11</v>
      </c>
      <c r="F1675">
        <v>8</v>
      </c>
      <c r="G1675" t="s">
        <v>30</v>
      </c>
      <c r="H1675">
        <v>18</v>
      </c>
      <c r="K1675" t="s">
        <v>13</v>
      </c>
      <c r="L1675" t="s">
        <v>13</v>
      </c>
      <c r="M1675" t="s">
        <v>17</v>
      </c>
      <c r="O1675" s="5"/>
    </row>
    <row r="1676" spans="2:15" x14ac:dyDescent="0.3">
      <c r="B1676" s="4">
        <v>1</v>
      </c>
      <c r="C1676" t="s">
        <v>14</v>
      </c>
      <c r="D1676" t="s">
        <v>15</v>
      </c>
      <c r="E1676" t="s">
        <v>11</v>
      </c>
      <c r="F1676">
        <v>8</v>
      </c>
      <c r="G1676" t="s">
        <v>12</v>
      </c>
      <c r="H1676">
        <v>7</v>
      </c>
      <c r="K1676" t="s">
        <v>18</v>
      </c>
      <c r="L1676" t="s">
        <v>18</v>
      </c>
      <c r="M1676" t="s">
        <v>13</v>
      </c>
      <c r="N1676" t="s">
        <v>18</v>
      </c>
      <c r="O1676" s="5" t="s">
        <v>17</v>
      </c>
    </row>
    <row r="1677" spans="2:15" x14ac:dyDescent="0.3">
      <c r="B1677" s="4">
        <v>326</v>
      </c>
      <c r="C1677" t="s">
        <v>14</v>
      </c>
      <c r="D1677" t="s">
        <v>15</v>
      </c>
      <c r="E1677" t="s">
        <v>11</v>
      </c>
      <c r="F1677">
        <v>8</v>
      </c>
      <c r="G1677" t="s">
        <v>38</v>
      </c>
      <c r="H1677">
        <v>13</v>
      </c>
      <c r="M1677" t="s">
        <v>18</v>
      </c>
      <c r="N1677" t="s">
        <v>13</v>
      </c>
      <c r="O1677" s="5" t="s">
        <v>17</v>
      </c>
    </row>
    <row r="1678" spans="2:15" x14ac:dyDescent="0.3">
      <c r="B1678" s="4">
        <v>354</v>
      </c>
      <c r="C1678" t="s">
        <v>14</v>
      </c>
      <c r="D1678" t="s">
        <v>15</v>
      </c>
      <c r="E1678" t="s">
        <v>11</v>
      </c>
      <c r="F1678">
        <v>8</v>
      </c>
      <c r="G1678" t="s">
        <v>39</v>
      </c>
      <c r="H1678">
        <v>12</v>
      </c>
      <c r="N1678" t="s">
        <v>18</v>
      </c>
      <c r="O1678" s="5" t="s">
        <v>17</v>
      </c>
    </row>
    <row r="1679" spans="2:15" x14ac:dyDescent="0.3">
      <c r="B1679" s="4">
        <v>1223</v>
      </c>
      <c r="C1679" t="s">
        <v>14</v>
      </c>
      <c r="D1679" t="s">
        <v>15</v>
      </c>
      <c r="E1679" t="s">
        <v>11</v>
      </c>
      <c r="F1679">
        <v>8</v>
      </c>
      <c r="G1679" t="s">
        <v>40</v>
      </c>
      <c r="H1679">
        <v>3</v>
      </c>
      <c r="J1679" t="s">
        <v>13</v>
      </c>
      <c r="K1679" t="s">
        <v>13</v>
      </c>
      <c r="L1679" t="s">
        <v>13</v>
      </c>
      <c r="M1679" t="s">
        <v>13</v>
      </c>
      <c r="N1679" t="s">
        <v>13</v>
      </c>
      <c r="O1679" s="5" t="s">
        <v>13</v>
      </c>
    </row>
    <row r="1680" spans="2:15" x14ac:dyDescent="0.3">
      <c r="B1680" s="4">
        <v>696</v>
      </c>
      <c r="C1680" t="s">
        <v>94</v>
      </c>
      <c r="D1680" t="s">
        <v>95</v>
      </c>
      <c r="E1680" t="s">
        <v>96</v>
      </c>
      <c r="F1680">
        <v>13</v>
      </c>
      <c r="G1680" t="s">
        <v>16</v>
      </c>
      <c r="H1680">
        <v>6</v>
      </c>
      <c r="M1680" t="s">
        <v>13</v>
      </c>
      <c r="N1680" t="s">
        <v>17</v>
      </c>
      <c r="O1680" s="5"/>
    </row>
    <row r="1681" spans="2:15" x14ac:dyDescent="0.3">
      <c r="B1681" s="4">
        <v>507</v>
      </c>
      <c r="C1681" t="s">
        <v>14</v>
      </c>
      <c r="D1681" t="s">
        <v>15</v>
      </c>
      <c r="E1681" t="s">
        <v>11</v>
      </c>
      <c r="F1681">
        <v>8</v>
      </c>
      <c r="G1681" t="s">
        <v>16</v>
      </c>
      <c r="H1681">
        <v>6</v>
      </c>
      <c r="M1681" t="s">
        <v>18</v>
      </c>
      <c r="N1681" t="s">
        <v>18</v>
      </c>
      <c r="O1681" s="5" t="s">
        <v>13</v>
      </c>
    </row>
    <row r="1682" spans="2:15" x14ac:dyDescent="0.3">
      <c r="B1682" s="4">
        <v>1730</v>
      </c>
      <c r="C1682" t="s">
        <v>9</v>
      </c>
      <c r="D1682" t="s">
        <v>10</v>
      </c>
      <c r="E1682" t="s">
        <v>11</v>
      </c>
      <c r="F1682">
        <v>8</v>
      </c>
      <c r="G1682" t="s">
        <v>40</v>
      </c>
      <c r="H1682">
        <v>3</v>
      </c>
      <c r="L1682" t="s">
        <v>19</v>
      </c>
      <c r="M1682" t="s">
        <v>17</v>
      </c>
      <c r="N1682" t="s">
        <v>18</v>
      </c>
      <c r="O1682" s="5" t="s">
        <v>18</v>
      </c>
    </row>
    <row r="1683" spans="2:15" x14ac:dyDescent="0.3">
      <c r="B1683" s="4">
        <v>322</v>
      </c>
      <c r="C1683" t="s">
        <v>14</v>
      </c>
      <c r="D1683" t="s">
        <v>15</v>
      </c>
      <c r="E1683" t="s">
        <v>11</v>
      </c>
      <c r="F1683">
        <v>8</v>
      </c>
      <c r="G1683" t="s">
        <v>16</v>
      </c>
      <c r="H1683">
        <v>6</v>
      </c>
      <c r="I1683" t="s">
        <v>13</v>
      </c>
      <c r="J1683" t="s">
        <v>13</v>
      </c>
      <c r="K1683" t="s">
        <v>13</v>
      </c>
      <c r="L1683" t="s">
        <v>13</v>
      </c>
      <c r="M1683" t="s">
        <v>13</v>
      </c>
      <c r="N1683" t="s">
        <v>18</v>
      </c>
      <c r="O1683" s="5" t="s">
        <v>18</v>
      </c>
    </row>
    <row r="1684" spans="2:15" x14ac:dyDescent="0.3">
      <c r="B1684" s="4">
        <v>141</v>
      </c>
      <c r="C1684" t="s">
        <v>103</v>
      </c>
      <c r="D1684" t="s">
        <v>104</v>
      </c>
      <c r="E1684" t="s">
        <v>105</v>
      </c>
      <c r="F1684">
        <v>2</v>
      </c>
      <c r="G1684" t="s">
        <v>40</v>
      </c>
      <c r="H1684">
        <v>3</v>
      </c>
      <c r="I1684" t="s">
        <v>13</v>
      </c>
      <c r="J1684" t="s">
        <v>18</v>
      </c>
      <c r="K1684" t="s">
        <v>18</v>
      </c>
      <c r="L1684" t="s">
        <v>13</v>
      </c>
      <c r="M1684" t="s">
        <v>13</v>
      </c>
      <c r="N1684" t="s">
        <v>13</v>
      </c>
      <c r="O1684" s="5" t="s">
        <v>17</v>
      </c>
    </row>
    <row r="1685" spans="2:15" x14ac:dyDescent="0.3">
      <c r="B1685" s="4">
        <v>1239</v>
      </c>
      <c r="C1685" t="s">
        <v>9</v>
      </c>
      <c r="D1685" t="s">
        <v>10</v>
      </c>
      <c r="E1685" t="s">
        <v>11</v>
      </c>
      <c r="F1685">
        <v>8</v>
      </c>
      <c r="G1685" t="s">
        <v>16</v>
      </c>
      <c r="H1685">
        <v>6</v>
      </c>
      <c r="N1685" t="s">
        <v>19</v>
      </c>
      <c r="O1685" s="5" t="s">
        <v>52</v>
      </c>
    </row>
    <row r="1686" spans="2:15" x14ac:dyDescent="0.3">
      <c r="B1686" s="4">
        <v>20</v>
      </c>
      <c r="C1686" t="s">
        <v>46</v>
      </c>
      <c r="D1686" t="s">
        <v>47</v>
      </c>
      <c r="E1686" t="s">
        <v>11</v>
      </c>
      <c r="F1686">
        <v>8</v>
      </c>
      <c r="G1686" t="s">
        <v>16</v>
      </c>
      <c r="H1686">
        <v>6</v>
      </c>
      <c r="I1686" t="s">
        <v>17</v>
      </c>
      <c r="J1686" t="s">
        <v>17</v>
      </c>
      <c r="K1686" t="s">
        <v>13</v>
      </c>
      <c r="L1686" t="s">
        <v>13</v>
      </c>
      <c r="O1686" s="5"/>
    </row>
    <row r="1687" spans="2:15" x14ac:dyDescent="0.3">
      <c r="B1687" s="4">
        <v>2036</v>
      </c>
      <c r="C1687" t="s">
        <v>14</v>
      </c>
      <c r="D1687" t="s">
        <v>15</v>
      </c>
      <c r="E1687" t="s">
        <v>11</v>
      </c>
      <c r="F1687">
        <v>8</v>
      </c>
      <c r="G1687" t="s">
        <v>16</v>
      </c>
      <c r="H1687">
        <v>6</v>
      </c>
      <c r="M1687" t="s">
        <v>13</v>
      </c>
      <c r="N1687" t="s">
        <v>13</v>
      </c>
      <c r="O1687" s="5" t="s">
        <v>13</v>
      </c>
    </row>
    <row r="1688" spans="2:15" x14ac:dyDescent="0.3">
      <c r="B1688" s="4">
        <v>8</v>
      </c>
      <c r="C1688" t="s">
        <v>46</v>
      </c>
      <c r="D1688" t="s">
        <v>47</v>
      </c>
      <c r="E1688" t="s">
        <v>11</v>
      </c>
      <c r="F1688">
        <v>8</v>
      </c>
      <c r="G1688" t="s">
        <v>48</v>
      </c>
      <c r="H1688">
        <v>16</v>
      </c>
      <c r="M1688" t="s">
        <v>13</v>
      </c>
      <c r="N1688" t="s">
        <v>18</v>
      </c>
      <c r="O1688" s="5" t="s">
        <v>19</v>
      </c>
    </row>
    <row r="1689" spans="2:15" x14ac:dyDescent="0.3">
      <c r="B1689" s="4">
        <v>876</v>
      </c>
      <c r="C1689" t="s">
        <v>14</v>
      </c>
      <c r="D1689" t="s">
        <v>15</v>
      </c>
      <c r="E1689" t="s">
        <v>11</v>
      </c>
      <c r="F1689">
        <v>8</v>
      </c>
      <c r="G1689" t="s">
        <v>48</v>
      </c>
      <c r="H1689">
        <v>16</v>
      </c>
      <c r="K1689" t="s">
        <v>13</v>
      </c>
      <c r="L1689" t="s">
        <v>13</v>
      </c>
      <c r="M1689" t="s">
        <v>18</v>
      </c>
      <c r="N1689" t="s">
        <v>18</v>
      </c>
      <c r="O1689" s="5" t="s">
        <v>13</v>
      </c>
    </row>
    <row r="1690" spans="2:15" x14ac:dyDescent="0.3">
      <c r="B1690" s="4">
        <v>130</v>
      </c>
      <c r="C1690" t="s">
        <v>14</v>
      </c>
      <c r="D1690" t="s">
        <v>15</v>
      </c>
      <c r="E1690" t="s">
        <v>11</v>
      </c>
      <c r="F1690">
        <v>8</v>
      </c>
      <c r="G1690" t="s">
        <v>48</v>
      </c>
      <c r="H1690">
        <v>16</v>
      </c>
      <c r="I1690" t="s">
        <v>13</v>
      </c>
      <c r="J1690" t="s">
        <v>13</v>
      </c>
      <c r="O1690" s="5"/>
    </row>
    <row r="1691" spans="2:15" x14ac:dyDescent="0.3">
      <c r="B1691" s="4">
        <v>400</v>
      </c>
      <c r="C1691" t="s">
        <v>43</v>
      </c>
      <c r="D1691" t="s">
        <v>44</v>
      </c>
      <c r="E1691" t="s">
        <v>45</v>
      </c>
      <c r="F1691">
        <v>5</v>
      </c>
      <c r="G1691" t="s">
        <v>22</v>
      </c>
      <c r="H1691">
        <v>1</v>
      </c>
      <c r="K1691" t="s">
        <v>18</v>
      </c>
      <c r="L1691" t="s">
        <v>18</v>
      </c>
      <c r="M1691" t="s">
        <v>18</v>
      </c>
      <c r="N1691" t="s">
        <v>19</v>
      </c>
      <c r="O1691" s="5" t="s">
        <v>52</v>
      </c>
    </row>
    <row r="1692" spans="2:15" x14ac:dyDescent="0.3">
      <c r="B1692" s="4">
        <v>1</v>
      </c>
      <c r="C1692" t="s">
        <v>9</v>
      </c>
      <c r="D1692" t="s">
        <v>10</v>
      </c>
      <c r="E1692" t="s">
        <v>11</v>
      </c>
      <c r="F1692">
        <v>8</v>
      </c>
      <c r="G1692" t="s">
        <v>16</v>
      </c>
      <c r="H1692">
        <v>6</v>
      </c>
      <c r="L1692" t="s">
        <v>13</v>
      </c>
      <c r="M1692" t="s">
        <v>13</v>
      </c>
      <c r="N1692" t="s">
        <v>13</v>
      </c>
      <c r="O1692" s="5" t="s">
        <v>18</v>
      </c>
    </row>
    <row r="1693" spans="2:15" x14ac:dyDescent="0.3">
      <c r="B1693" s="4">
        <v>278</v>
      </c>
      <c r="C1693" t="s">
        <v>31</v>
      </c>
      <c r="D1693" t="s">
        <v>32</v>
      </c>
      <c r="E1693" t="s">
        <v>11</v>
      </c>
      <c r="F1693">
        <v>8</v>
      </c>
      <c r="G1693" t="s">
        <v>22</v>
      </c>
      <c r="H1693">
        <v>1</v>
      </c>
      <c r="K1693" t="s">
        <v>18</v>
      </c>
      <c r="L1693" t="s">
        <v>18</v>
      </c>
      <c r="O1693" s="5"/>
    </row>
    <row r="1694" spans="2:15" x14ac:dyDescent="0.3">
      <c r="B1694" s="4">
        <v>1129</v>
      </c>
      <c r="C1694" t="s">
        <v>14</v>
      </c>
      <c r="D1694" t="s">
        <v>15</v>
      </c>
      <c r="E1694" t="s">
        <v>11</v>
      </c>
      <c r="F1694">
        <v>8</v>
      </c>
      <c r="G1694" t="s">
        <v>12</v>
      </c>
      <c r="H1694">
        <v>7</v>
      </c>
      <c r="M1694" t="s">
        <v>19</v>
      </c>
      <c r="N1694" t="s">
        <v>17</v>
      </c>
      <c r="O1694" s="5" t="s">
        <v>17</v>
      </c>
    </row>
    <row r="1695" spans="2:15" x14ac:dyDescent="0.3">
      <c r="B1695" s="4">
        <v>544</v>
      </c>
      <c r="C1695" t="s">
        <v>43</v>
      </c>
      <c r="D1695" t="s">
        <v>44</v>
      </c>
      <c r="E1695" t="s">
        <v>45</v>
      </c>
      <c r="F1695">
        <v>5</v>
      </c>
      <c r="G1695" t="s">
        <v>48</v>
      </c>
      <c r="H1695">
        <v>16</v>
      </c>
      <c r="N1695" t="s">
        <v>13</v>
      </c>
      <c r="O1695" s="5" t="s">
        <v>13</v>
      </c>
    </row>
    <row r="1696" spans="2:15" x14ac:dyDescent="0.3">
      <c r="B1696" s="4">
        <v>430</v>
      </c>
      <c r="C1696" t="s">
        <v>46</v>
      </c>
      <c r="D1696" t="s">
        <v>47</v>
      </c>
      <c r="E1696" t="s">
        <v>11</v>
      </c>
      <c r="F1696">
        <v>8</v>
      </c>
      <c r="G1696" t="s">
        <v>53</v>
      </c>
      <c r="H1696">
        <v>15</v>
      </c>
      <c r="J1696" t="s">
        <v>13</v>
      </c>
      <c r="K1696" t="s">
        <v>13</v>
      </c>
      <c r="L1696" t="s">
        <v>13</v>
      </c>
      <c r="M1696" t="s">
        <v>13</v>
      </c>
      <c r="N1696" t="s">
        <v>18</v>
      </c>
      <c r="O1696" s="5" t="s">
        <v>13</v>
      </c>
    </row>
    <row r="1697" spans="2:15" x14ac:dyDescent="0.3">
      <c r="B1697" s="4">
        <v>2364</v>
      </c>
      <c r="C1697" t="s">
        <v>72</v>
      </c>
      <c r="D1697" t="s">
        <v>73</v>
      </c>
      <c r="E1697" t="s">
        <v>11</v>
      </c>
      <c r="F1697">
        <v>8</v>
      </c>
      <c r="G1697" t="s">
        <v>40</v>
      </c>
      <c r="H1697">
        <v>3</v>
      </c>
      <c r="M1697" t="s">
        <v>18</v>
      </c>
      <c r="N1697" t="s">
        <v>18</v>
      </c>
      <c r="O1697" s="5" t="s">
        <v>13</v>
      </c>
    </row>
    <row r="1698" spans="2:15" x14ac:dyDescent="0.3">
      <c r="B1698" s="4">
        <v>341</v>
      </c>
      <c r="C1698" t="s">
        <v>14</v>
      </c>
      <c r="D1698" t="s">
        <v>15</v>
      </c>
      <c r="E1698" t="s">
        <v>11</v>
      </c>
      <c r="F1698">
        <v>8</v>
      </c>
      <c r="G1698" t="s">
        <v>16</v>
      </c>
      <c r="H1698">
        <v>6</v>
      </c>
      <c r="M1698" t="s">
        <v>13</v>
      </c>
      <c r="N1698" t="s">
        <v>19</v>
      </c>
      <c r="O1698" s="5" t="s">
        <v>18</v>
      </c>
    </row>
    <row r="1699" spans="2:15" x14ac:dyDescent="0.3">
      <c r="B1699" s="4">
        <v>32</v>
      </c>
      <c r="C1699" t="s">
        <v>14</v>
      </c>
      <c r="D1699" t="s">
        <v>15</v>
      </c>
      <c r="E1699" t="s">
        <v>11</v>
      </c>
      <c r="F1699">
        <v>8</v>
      </c>
      <c r="G1699" t="s">
        <v>22</v>
      </c>
      <c r="H1699">
        <v>1</v>
      </c>
      <c r="I1699" t="s">
        <v>13</v>
      </c>
      <c r="J1699" t="s">
        <v>13</v>
      </c>
      <c r="K1699" t="s">
        <v>18</v>
      </c>
      <c r="L1699" t="s">
        <v>19</v>
      </c>
      <c r="M1699" t="s">
        <v>17</v>
      </c>
      <c r="N1699" t="s">
        <v>19</v>
      </c>
      <c r="O1699" s="5" t="s">
        <v>52</v>
      </c>
    </row>
    <row r="1700" spans="2:15" x14ac:dyDescent="0.3">
      <c r="B1700" s="4">
        <v>230</v>
      </c>
      <c r="C1700" t="s">
        <v>14</v>
      </c>
      <c r="D1700" t="s">
        <v>15</v>
      </c>
      <c r="E1700" t="s">
        <v>11</v>
      </c>
      <c r="F1700">
        <v>8</v>
      </c>
      <c r="G1700" t="s">
        <v>22</v>
      </c>
      <c r="H1700">
        <v>1</v>
      </c>
      <c r="I1700" t="s">
        <v>13</v>
      </c>
      <c r="J1700" t="s">
        <v>13</v>
      </c>
      <c r="K1700" t="s">
        <v>13</v>
      </c>
      <c r="L1700" t="s">
        <v>13</v>
      </c>
      <c r="M1700" t="s">
        <v>13</v>
      </c>
      <c r="N1700" t="s">
        <v>13</v>
      </c>
      <c r="O1700" s="5" t="s">
        <v>13</v>
      </c>
    </row>
    <row r="1701" spans="2:15" x14ac:dyDescent="0.3">
      <c r="B1701" s="4">
        <v>3486</v>
      </c>
      <c r="C1701" t="s">
        <v>14</v>
      </c>
      <c r="D1701" t="s">
        <v>15</v>
      </c>
      <c r="E1701" t="s">
        <v>11</v>
      </c>
      <c r="F1701">
        <v>8</v>
      </c>
      <c r="G1701" t="s">
        <v>26</v>
      </c>
      <c r="H1701">
        <v>4</v>
      </c>
      <c r="L1701" t="s">
        <v>18</v>
      </c>
      <c r="M1701" t="s">
        <v>13</v>
      </c>
      <c r="N1701" t="s">
        <v>13</v>
      </c>
      <c r="O1701" s="5"/>
    </row>
    <row r="1702" spans="2:15" x14ac:dyDescent="0.3">
      <c r="B1702" s="4">
        <v>1016</v>
      </c>
      <c r="C1702" t="s">
        <v>14</v>
      </c>
      <c r="D1702" t="s">
        <v>15</v>
      </c>
      <c r="E1702" t="s">
        <v>11</v>
      </c>
      <c r="F1702">
        <v>8</v>
      </c>
      <c r="G1702" t="s">
        <v>16</v>
      </c>
      <c r="H1702">
        <v>6</v>
      </c>
      <c r="M1702" t="s">
        <v>18</v>
      </c>
      <c r="N1702" t="s">
        <v>18</v>
      </c>
      <c r="O1702" s="5" t="s">
        <v>18</v>
      </c>
    </row>
    <row r="1703" spans="2:15" x14ac:dyDescent="0.3">
      <c r="B1703" s="4">
        <v>39</v>
      </c>
      <c r="C1703" t="s">
        <v>14</v>
      </c>
      <c r="D1703" t="s">
        <v>15</v>
      </c>
      <c r="E1703" t="s">
        <v>11</v>
      </c>
      <c r="F1703">
        <v>8</v>
      </c>
      <c r="G1703" t="s">
        <v>54</v>
      </c>
      <c r="H1703">
        <v>8</v>
      </c>
      <c r="I1703" t="s">
        <v>19</v>
      </c>
      <c r="J1703" t="s">
        <v>19</v>
      </c>
      <c r="K1703" t="s">
        <v>52</v>
      </c>
      <c r="L1703" t="s">
        <v>35</v>
      </c>
      <c r="O1703" s="5"/>
    </row>
    <row r="1704" spans="2:15" x14ac:dyDescent="0.3">
      <c r="B1704" s="4">
        <v>267</v>
      </c>
      <c r="C1704" t="s">
        <v>46</v>
      </c>
      <c r="D1704" t="s">
        <v>47</v>
      </c>
      <c r="E1704" t="s">
        <v>11</v>
      </c>
      <c r="F1704">
        <v>8</v>
      </c>
      <c r="G1704" t="s">
        <v>55</v>
      </c>
      <c r="H1704">
        <v>2</v>
      </c>
      <c r="M1704" t="s">
        <v>18</v>
      </c>
      <c r="N1704" t="s">
        <v>19</v>
      </c>
      <c r="O1704" s="5" t="s">
        <v>19</v>
      </c>
    </row>
    <row r="1705" spans="2:15" x14ac:dyDescent="0.3">
      <c r="B1705" s="4">
        <v>345</v>
      </c>
      <c r="C1705" t="s">
        <v>100</v>
      </c>
      <c r="D1705" t="s">
        <v>101</v>
      </c>
      <c r="E1705" t="s">
        <v>102</v>
      </c>
      <c r="F1705">
        <v>4</v>
      </c>
      <c r="G1705" t="s">
        <v>57</v>
      </c>
      <c r="H1705">
        <v>10</v>
      </c>
      <c r="J1705" t="s">
        <v>18</v>
      </c>
      <c r="K1705" t="s">
        <v>17</v>
      </c>
      <c r="L1705" t="s">
        <v>18</v>
      </c>
      <c r="O1705" s="5"/>
    </row>
    <row r="1706" spans="2:15" x14ac:dyDescent="0.3">
      <c r="B1706" s="4">
        <v>1157</v>
      </c>
      <c r="C1706" t="s">
        <v>78</v>
      </c>
      <c r="D1706" t="s">
        <v>79</v>
      </c>
      <c r="E1706" t="s">
        <v>80</v>
      </c>
      <c r="F1706">
        <v>10</v>
      </c>
      <c r="G1706" t="s">
        <v>12</v>
      </c>
      <c r="H1706">
        <v>7</v>
      </c>
      <c r="M1706" t="s">
        <v>18</v>
      </c>
      <c r="N1706" t="s">
        <v>33</v>
      </c>
      <c r="O1706" s="5" t="s">
        <v>33</v>
      </c>
    </row>
    <row r="1707" spans="2:15" x14ac:dyDescent="0.3">
      <c r="B1707" s="4">
        <v>268</v>
      </c>
      <c r="C1707" t="s">
        <v>46</v>
      </c>
      <c r="D1707" t="s">
        <v>47</v>
      </c>
      <c r="E1707" t="s">
        <v>11</v>
      </c>
      <c r="F1707">
        <v>8</v>
      </c>
      <c r="G1707" t="s">
        <v>58</v>
      </c>
      <c r="H1707">
        <v>17</v>
      </c>
      <c r="M1707" t="s">
        <v>17</v>
      </c>
      <c r="N1707" t="s">
        <v>17</v>
      </c>
      <c r="O1707" s="5" t="s">
        <v>17</v>
      </c>
    </row>
    <row r="1708" spans="2:15" x14ac:dyDescent="0.3">
      <c r="B1708" s="4">
        <v>242</v>
      </c>
      <c r="C1708" t="s">
        <v>14</v>
      </c>
      <c r="D1708" t="s">
        <v>15</v>
      </c>
      <c r="E1708" t="s">
        <v>11</v>
      </c>
      <c r="F1708">
        <v>8</v>
      </c>
      <c r="G1708" t="s">
        <v>40</v>
      </c>
      <c r="H1708">
        <v>3</v>
      </c>
      <c r="K1708" t="s">
        <v>13</v>
      </c>
      <c r="L1708" t="s">
        <v>18</v>
      </c>
      <c r="M1708" t="s">
        <v>18</v>
      </c>
      <c r="N1708" t="s">
        <v>18</v>
      </c>
      <c r="O1708" s="5" t="s">
        <v>18</v>
      </c>
    </row>
    <row r="1709" spans="2:15" x14ac:dyDescent="0.3">
      <c r="B1709" s="4">
        <v>432</v>
      </c>
      <c r="C1709" t="s">
        <v>49</v>
      </c>
      <c r="D1709" t="s">
        <v>50</v>
      </c>
      <c r="E1709" t="s">
        <v>51</v>
      </c>
      <c r="F1709">
        <v>3</v>
      </c>
      <c r="G1709" t="s">
        <v>30</v>
      </c>
      <c r="H1709">
        <v>18</v>
      </c>
      <c r="I1709" t="s">
        <v>13</v>
      </c>
      <c r="J1709" t="s">
        <v>13</v>
      </c>
      <c r="K1709" t="s">
        <v>13</v>
      </c>
      <c r="O1709" s="5"/>
    </row>
    <row r="1710" spans="2:15" x14ac:dyDescent="0.3">
      <c r="B1710" s="4">
        <v>144</v>
      </c>
      <c r="C1710" t="s">
        <v>46</v>
      </c>
      <c r="D1710" t="s">
        <v>47</v>
      </c>
      <c r="E1710" t="s">
        <v>11</v>
      </c>
      <c r="F1710">
        <v>8</v>
      </c>
      <c r="G1710" t="s">
        <v>30</v>
      </c>
      <c r="H1710">
        <v>18</v>
      </c>
      <c r="M1710" t="s">
        <v>18</v>
      </c>
      <c r="N1710" t="s">
        <v>13</v>
      </c>
      <c r="O1710" s="5" t="s">
        <v>18</v>
      </c>
    </row>
    <row r="1711" spans="2:15" x14ac:dyDescent="0.3">
      <c r="B1711" s="4">
        <v>33</v>
      </c>
      <c r="C1711" t="s">
        <v>46</v>
      </c>
      <c r="D1711" t="s">
        <v>47</v>
      </c>
      <c r="E1711" t="s">
        <v>11</v>
      </c>
      <c r="F1711">
        <v>8</v>
      </c>
      <c r="G1711" t="s">
        <v>54</v>
      </c>
      <c r="H1711">
        <v>8</v>
      </c>
      <c r="K1711" t="s">
        <v>18</v>
      </c>
      <c r="L1711" t="s">
        <v>17</v>
      </c>
      <c r="M1711" t="s">
        <v>13</v>
      </c>
      <c r="N1711" t="s">
        <v>18</v>
      </c>
      <c r="O1711" s="5" t="s">
        <v>17</v>
      </c>
    </row>
    <row r="1712" spans="2:15" x14ac:dyDescent="0.3">
      <c r="B1712" s="4">
        <v>326</v>
      </c>
      <c r="C1712" t="s">
        <v>46</v>
      </c>
      <c r="D1712" t="s">
        <v>47</v>
      </c>
      <c r="E1712" t="s">
        <v>11</v>
      </c>
      <c r="F1712">
        <v>8</v>
      </c>
      <c r="G1712" t="s">
        <v>30</v>
      </c>
      <c r="H1712">
        <v>18</v>
      </c>
      <c r="K1712" t="s">
        <v>18</v>
      </c>
      <c r="L1712" t="s">
        <v>18</v>
      </c>
      <c r="M1712" t="s">
        <v>13</v>
      </c>
      <c r="N1712" t="s">
        <v>17</v>
      </c>
      <c r="O1712" s="5" t="s">
        <v>17</v>
      </c>
    </row>
    <row r="1713" spans="2:15" x14ac:dyDescent="0.3">
      <c r="B1713" s="4">
        <v>526</v>
      </c>
      <c r="C1713" t="s">
        <v>27</v>
      </c>
      <c r="D1713" t="s">
        <v>28</v>
      </c>
      <c r="E1713" t="s">
        <v>29</v>
      </c>
      <c r="F1713">
        <v>6</v>
      </c>
      <c r="G1713" t="s">
        <v>66</v>
      </c>
      <c r="H1713">
        <v>5</v>
      </c>
      <c r="M1713" t="s">
        <v>13</v>
      </c>
      <c r="N1713" t="s">
        <v>13</v>
      </c>
      <c r="O1713" s="5" t="s">
        <v>13</v>
      </c>
    </row>
    <row r="1714" spans="2:15" x14ac:dyDescent="0.3">
      <c r="B1714" s="4">
        <v>1132</v>
      </c>
      <c r="C1714" t="s">
        <v>46</v>
      </c>
      <c r="D1714" t="s">
        <v>47</v>
      </c>
      <c r="E1714" t="s">
        <v>11</v>
      </c>
      <c r="F1714">
        <v>8</v>
      </c>
      <c r="G1714" t="s">
        <v>58</v>
      </c>
      <c r="H1714">
        <v>17</v>
      </c>
      <c r="K1714" t="s">
        <v>18</v>
      </c>
      <c r="L1714" t="s">
        <v>18</v>
      </c>
      <c r="O1714" s="5"/>
    </row>
    <row r="1715" spans="2:15" x14ac:dyDescent="0.3">
      <c r="B1715" s="4">
        <v>40</v>
      </c>
      <c r="C1715" t="s">
        <v>9</v>
      </c>
      <c r="D1715" t="s">
        <v>10</v>
      </c>
      <c r="E1715" t="s">
        <v>11</v>
      </c>
      <c r="F1715">
        <v>8</v>
      </c>
      <c r="G1715" t="s">
        <v>22</v>
      </c>
      <c r="H1715">
        <v>1</v>
      </c>
      <c r="L1715" t="s">
        <v>18</v>
      </c>
      <c r="M1715" t="s">
        <v>17</v>
      </c>
      <c r="N1715" t="s">
        <v>17</v>
      </c>
      <c r="O1715" s="5"/>
    </row>
    <row r="1716" spans="2:15" x14ac:dyDescent="0.3">
      <c r="B1716" s="4">
        <v>2139</v>
      </c>
      <c r="C1716" t="s">
        <v>9</v>
      </c>
      <c r="D1716" t="s">
        <v>10</v>
      </c>
      <c r="E1716" t="s">
        <v>11</v>
      </c>
      <c r="F1716">
        <v>8</v>
      </c>
      <c r="G1716" t="s">
        <v>16</v>
      </c>
      <c r="H1716">
        <v>6</v>
      </c>
      <c r="N1716" t="s">
        <v>17</v>
      </c>
      <c r="O1716" s="5" t="s">
        <v>18</v>
      </c>
    </row>
    <row r="1717" spans="2:15" x14ac:dyDescent="0.3">
      <c r="B1717" s="4">
        <v>64</v>
      </c>
      <c r="C1717" t="s">
        <v>27</v>
      </c>
      <c r="D1717" t="s">
        <v>28</v>
      </c>
      <c r="E1717" t="s">
        <v>29</v>
      </c>
      <c r="F1717">
        <v>6</v>
      </c>
      <c r="G1717" t="s">
        <v>22</v>
      </c>
      <c r="H1717">
        <v>1</v>
      </c>
      <c r="K1717" t="s">
        <v>13</v>
      </c>
      <c r="L1717" t="s">
        <v>18</v>
      </c>
      <c r="M1717" t="s">
        <v>18</v>
      </c>
      <c r="N1717" t="s">
        <v>13</v>
      </c>
      <c r="O1717" s="5" t="s">
        <v>17</v>
      </c>
    </row>
    <row r="1718" spans="2:15" x14ac:dyDescent="0.3">
      <c r="B1718" s="4">
        <v>2628</v>
      </c>
      <c r="C1718" t="s">
        <v>36</v>
      </c>
      <c r="D1718" t="s">
        <v>37</v>
      </c>
      <c r="E1718" t="s">
        <v>11</v>
      </c>
      <c r="F1718">
        <v>8</v>
      </c>
      <c r="G1718" t="s">
        <v>26</v>
      </c>
      <c r="H1718">
        <v>4</v>
      </c>
      <c r="N1718" t="s">
        <v>18</v>
      </c>
      <c r="O1718" s="5" t="s">
        <v>18</v>
      </c>
    </row>
    <row r="1719" spans="2:15" x14ac:dyDescent="0.3">
      <c r="B1719" s="4">
        <v>779</v>
      </c>
      <c r="C1719" t="s">
        <v>46</v>
      </c>
      <c r="D1719" t="s">
        <v>47</v>
      </c>
      <c r="E1719" t="s">
        <v>11</v>
      </c>
      <c r="F1719">
        <v>8</v>
      </c>
      <c r="G1719" t="s">
        <v>12</v>
      </c>
      <c r="H1719">
        <v>7</v>
      </c>
      <c r="N1719" t="s">
        <v>18</v>
      </c>
      <c r="O1719" s="5" t="s">
        <v>13</v>
      </c>
    </row>
    <row r="1720" spans="2:15" x14ac:dyDescent="0.3">
      <c r="B1720" s="4">
        <v>20</v>
      </c>
      <c r="C1720" t="s">
        <v>14</v>
      </c>
      <c r="D1720" t="s">
        <v>15</v>
      </c>
      <c r="E1720" t="s">
        <v>11</v>
      </c>
      <c r="F1720">
        <v>8</v>
      </c>
      <c r="G1720" t="s">
        <v>12</v>
      </c>
      <c r="H1720">
        <v>7</v>
      </c>
      <c r="I1720" t="s">
        <v>13</v>
      </c>
      <c r="J1720" t="s">
        <v>13</v>
      </c>
      <c r="K1720" t="s">
        <v>13</v>
      </c>
      <c r="L1720" t="s">
        <v>13</v>
      </c>
      <c r="M1720" t="s">
        <v>13</v>
      </c>
      <c r="N1720" t="s">
        <v>13</v>
      </c>
      <c r="O1720" s="5" t="s">
        <v>17</v>
      </c>
    </row>
    <row r="1721" spans="2:15" x14ac:dyDescent="0.3">
      <c r="B1721" s="4">
        <v>1154</v>
      </c>
      <c r="C1721" t="s">
        <v>9</v>
      </c>
      <c r="D1721" t="s">
        <v>10</v>
      </c>
      <c r="E1721" t="s">
        <v>11</v>
      </c>
      <c r="F1721">
        <v>8</v>
      </c>
      <c r="G1721" t="s">
        <v>30</v>
      </c>
      <c r="H1721">
        <v>18</v>
      </c>
      <c r="N1721" t="s">
        <v>13</v>
      </c>
      <c r="O1721" s="5" t="s">
        <v>18</v>
      </c>
    </row>
    <row r="1722" spans="2:15" x14ac:dyDescent="0.3">
      <c r="B1722" s="4">
        <v>453</v>
      </c>
      <c r="C1722" t="s">
        <v>9</v>
      </c>
      <c r="D1722" t="s">
        <v>10</v>
      </c>
      <c r="E1722" t="s">
        <v>11</v>
      </c>
      <c r="F1722">
        <v>8</v>
      </c>
      <c r="G1722" t="s">
        <v>66</v>
      </c>
      <c r="H1722">
        <v>5</v>
      </c>
      <c r="L1722" t="s">
        <v>13</v>
      </c>
      <c r="M1722" t="s">
        <v>13</v>
      </c>
      <c r="N1722" t="s">
        <v>13</v>
      </c>
      <c r="O1722" s="5"/>
    </row>
    <row r="1723" spans="2:15" x14ac:dyDescent="0.3">
      <c r="B1723" s="4">
        <v>3417</v>
      </c>
      <c r="C1723" t="s">
        <v>14</v>
      </c>
      <c r="D1723" t="s">
        <v>15</v>
      </c>
      <c r="E1723" t="s">
        <v>11</v>
      </c>
      <c r="F1723">
        <v>8</v>
      </c>
      <c r="G1723" t="s">
        <v>66</v>
      </c>
      <c r="H1723">
        <v>5</v>
      </c>
      <c r="K1723" t="s">
        <v>19</v>
      </c>
      <c r="L1723" t="s">
        <v>19</v>
      </c>
      <c r="M1723" t="s">
        <v>52</v>
      </c>
      <c r="N1723" t="s">
        <v>52</v>
      </c>
      <c r="O1723" s="5" t="s">
        <v>35</v>
      </c>
    </row>
    <row r="1724" spans="2:15" x14ac:dyDescent="0.3">
      <c r="B1724" s="4">
        <v>487</v>
      </c>
      <c r="C1724" t="s">
        <v>85</v>
      </c>
      <c r="D1724" t="s">
        <v>85</v>
      </c>
      <c r="E1724" t="s">
        <v>86</v>
      </c>
      <c r="F1724">
        <v>12</v>
      </c>
      <c r="G1724" t="s">
        <v>54</v>
      </c>
      <c r="H1724">
        <v>8</v>
      </c>
      <c r="I1724" t="s">
        <v>33</v>
      </c>
      <c r="J1724" t="s">
        <v>35</v>
      </c>
      <c r="O1724" s="5"/>
    </row>
    <row r="1725" spans="2:15" x14ac:dyDescent="0.3">
      <c r="B1725" s="4">
        <v>494</v>
      </c>
      <c r="C1725" t="s">
        <v>85</v>
      </c>
      <c r="D1725" t="s">
        <v>85</v>
      </c>
      <c r="E1725" t="s">
        <v>86</v>
      </c>
      <c r="F1725">
        <v>12</v>
      </c>
      <c r="G1725" t="s">
        <v>40</v>
      </c>
      <c r="H1725">
        <v>3</v>
      </c>
      <c r="I1725" t="s">
        <v>34</v>
      </c>
      <c r="J1725" t="s">
        <v>35</v>
      </c>
      <c r="O1725" s="5"/>
    </row>
    <row r="1726" spans="2:15" x14ac:dyDescent="0.3">
      <c r="B1726" s="4">
        <v>253</v>
      </c>
      <c r="C1726" t="s">
        <v>37</v>
      </c>
      <c r="D1726" t="s">
        <v>37</v>
      </c>
      <c r="E1726" t="s">
        <v>11</v>
      </c>
      <c r="F1726">
        <v>8</v>
      </c>
      <c r="G1726" t="s">
        <v>40</v>
      </c>
      <c r="H1726">
        <v>3</v>
      </c>
      <c r="I1726" t="s">
        <v>17</v>
      </c>
      <c r="J1726" t="s">
        <v>35</v>
      </c>
      <c r="O1726" s="5"/>
    </row>
    <row r="1727" spans="2:15" x14ac:dyDescent="0.3">
      <c r="B1727" s="4">
        <v>1091</v>
      </c>
      <c r="C1727" t="s">
        <v>37</v>
      </c>
      <c r="D1727" t="s">
        <v>37</v>
      </c>
      <c r="E1727" t="s">
        <v>11</v>
      </c>
      <c r="F1727">
        <v>8</v>
      </c>
      <c r="G1727" t="s">
        <v>26</v>
      </c>
      <c r="H1727">
        <v>4</v>
      </c>
      <c r="I1727" t="s">
        <v>17</v>
      </c>
      <c r="J1727" t="s">
        <v>17</v>
      </c>
      <c r="K1727" t="s">
        <v>19</v>
      </c>
      <c r="L1727" t="s">
        <v>35</v>
      </c>
      <c r="O1727" s="5"/>
    </row>
    <row r="1728" spans="2:15" x14ac:dyDescent="0.3">
      <c r="B1728" s="4">
        <v>11</v>
      </c>
      <c r="C1728" t="s">
        <v>15</v>
      </c>
      <c r="D1728" t="s">
        <v>15</v>
      </c>
      <c r="E1728" t="s">
        <v>11</v>
      </c>
      <c r="F1728">
        <v>8</v>
      </c>
      <c r="G1728" t="s">
        <v>30</v>
      </c>
      <c r="H1728">
        <v>18</v>
      </c>
      <c r="I1728" t="s">
        <v>34</v>
      </c>
      <c r="J1728" t="s">
        <v>35</v>
      </c>
      <c r="O1728" s="5"/>
    </row>
    <row r="1729" spans="2:15" x14ac:dyDescent="0.3">
      <c r="B1729" s="4">
        <v>71</v>
      </c>
      <c r="C1729" t="s">
        <v>15</v>
      </c>
      <c r="D1729" t="s">
        <v>15</v>
      </c>
      <c r="E1729" t="s">
        <v>11</v>
      </c>
      <c r="F1729">
        <v>8</v>
      </c>
      <c r="G1729" t="s">
        <v>74</v>
      </c>
      <c r="H1729">
        <v>15</v>
      </c>
      <c r="I1729" t="s">
        <v>52</v>
      </c>
      <c r="J1729" t="s">
        <v>35</v>
      </c>
      <c r="O1729" s="5"/>
    </row>
    <row r="1730" spans="2:15" x14ac:dyDescent="0.3">
      <c r="B1730" s="4">
        <v>1189</v>
      </c>
      <c r="C1730" t="s">
        <v>15</v>
      </c>
      <c r="D1730" t="s">
        <v>15</v>
      </c>
      <c r="E1730" t="s">
        <v>11</v>
      </c>
      <c r="F1730">
        <v>8</v>
      </c>
      <c r="G1730" t="s">
        <v>40</v>
      </c>
      <c r="H1730">
        <v>3</v>
      </c>
      <c r="I1730" t="s">
        <v>52</v>
      </c>
      <c r="J1730" t="s">
        <v>35</v>
      </c>
      <c r="O1730" s="5"/>
    </row>
    <row r="1731" spans="2:15" x14ac:dyDescent="0.3">
      <c r="B1731" s="4">
        <v>31</v>
      </c>
      <c r="C1731" t="s">
        <v>15</v>
      </c>
      <c r="D1731" t="s">
        <v>15</v>
      </c>
      <c r="E1731" t="s">
        <v>11</v>
      </c>
      <c r="F1731">
        <v>8</v>
      </c>
      <c r="G1731" t="s">
        <v>40</v>
      </c>
      <c r="H1731">
        <v>3</v>
      </c>
      <c r="I1731" t="s">
        <v>33</v>
      </c>
      <c r="J1731" t="s">
        <v>35</v>
      </c>
      <c r="O1731" s="5"/>
    </row>
    <row r="1732" spans="2:15" x14ac:dyDescent="0.3">
      <c r="B1732" s="4">
        <v>3</v>
      </c>
      <c r="C1732" t="s">
        <v>15</v>
      </c>
      <c r="D1732" t="s">
        <v>15</v>
      </c>
      <c r="E1732" t="s">
        <v>11</v>
      </c>
      <c r="F1732">
        <v>8</v>
      </c>
      <c r="G1732" t="s">
        <v>12</v>
      </c>
      <c r="H1732">
        <v>7</v>
      </c>
      <c r="I1732" t="s">
        <v>17</v>
      </c>
      <c r="J1732" t="s">
        <v>35</v>
      </c>
      <c r="O1732" s="5"/>
    </row>
    <row r="1733" spans="2:15" x14ac:dyDescent="0.3">
      <c r="B1733" s="4">
        <v>1019</v>
      </c>
      <c r="C1733" t="s">
        <v>93</v>
      </c>
      <c r="D1733" t="s">
        <v>93</v>
      </c>
      <c r="E1733" t="s">
        <v>11</v>
      </c>
      <c r="F1733">
        <v>8</v>
      </c>
      <c r="G1733" t="s">
        <v>88</v>
      </c>
      <c r="H1733">
        <v>12</v>
      </c>
      <c r="I1733" t="s">
        <v>34</v>
      </c>
      <c r="J1733" t="s">
        <v>35</v>
      </c>
      <c r="O1733" s="5"/>
    </row>
    <row r="1734" spans="2:15" x14ac:dyDescent="0.3">
      <c r="B1734" s="4">
        <v>391</v>
      </c>
      <c r="C1734" t="s">
        <v>44</v>
      </c>
      <c r="D1734" t="s">
        <v>44</v>
      </c>
      <c r="E1734" t="s">
        <v>45</v>
      </c>
      <c r="F1734">
        <v>5</v>
      </c>
      <c r="G1734" t="s">
        <v>88</v>
      </c>
      <c r="H1734">
        <v>12</v>
      </c>
      <c r="I1734" t="s">
        <v>52</v>
      </c>
      <c r="J1734" t="s">
        <v>52</v>
      </c>
      <c r="K1734" t="s">
        <v>35</v>
      </c>
      <c r="L1734" t="s">
        <v>35</v>
      </c>
      <c r="O1734" s="5"/>
    </row>
    <row r="1735" spans="2:15" x14ac:dyDescent="0.3">
      <c r="B1735" s="4">
        <v>596</v>
      </c>
      <c r="C1735" t="s">
        <v>85</v>
      </c>
      <c r="D1735" t="s">
        <v>85</v>
      </c>
      <c r="E1735" t="s">
        <v>86</v>
      </c>
      <c r="F1735">
        <v>12</v>
      </c>
      <c r="G1735" t="s">
        <v>38</v>
      </c>
      <c r="H1735">
        <v>13</v>
      </c>
      <c r="I1735" t="s">
        <v>17</v>
      </c>
      <c r="J1735" t="s">
        <v>52</v>
      </c>
      <c r="K1735" t="s">
        <v>35</v>
      </c>
      <c r="O1735" s="5"/>
    </row>
    <row r="1736" spans="2:15" x14ac:dyDescent="0.3">
      <c r="B1736" s="4">
        <v>181</v>
      </c>
      <c r="C1736" t="s">
        <v>117</v>
      </c>
      <c r="D1736" t="s">
        <v>47</v>
      </c>
      <c r="E1736" t="s">
        <v>11</v>
      </c>
      <c r="F1736">
        <v>8</v>
      </c>
      <c r="G1736" t="s">
        <v>55</v>
      </c>
      <c r="H1736">
        <v>2</v>
      </c>
      <c r="I1736" t="s">
        <v>34</v>
      </c>
      <c r="J1736" t="s">
        <v>34</v>
      </c>
      <c r="K1736" t="s">
        <v>35</v>
      </c>
      <c r="O1736" s="5"/>
    </row>
    <row r="1737" spans="2:15" x14ac:dyDescent="0.3">
      <c r="B1737" s="4">
        <v>242</v>
      </c>
      <c r="C1737" t="s">
        <v>15</v>
      </c>
      <c r="D1737" t="s">
        <v>15</v>
      </c>
      <c r="E1737" t="s">
        <v>11</v>
      </c>
      <c r="F1737">
        <v>8</v>
      </c>
      <c r="G1737" t="s">
        <v>22</v>
      </c>
      <c r="H1737">
        <v>1</v>
      </c>
      <c r="I1737" t="s">
        <v>52</v>
      </c>
      <c r="J1737" t="s">
        <v>34</v>
      </c>
      <c r="K1737" t="s">
        <v>35</v>
      </c>
      <c r="O1737" s="5"/>
    </row>
    <row r="1738" spans="2:15" x14ac:dyDescent="0.3">
      <c r="B1738" s="4">
        <v>62</v>
      </c>
      <c r="C1738" t="s">
        <v>15</v>
      </c>
      <c r="D1738" t="s">
        <v>15</v>
      </c>
      <c r="E1738" t="s">
        <v>11</v>
      </c>
      <c r="F1738">
        <v>8</v>
      </c>
      <c r="G1738" t="s">
        <v>54</v>
      </c>
      <c r="H1738">
        <v>8</v>
      </c>
      <c r="I1738" t="s">
        <v>52</v>
      </c>
      <c r="J1738" t="s">
        <v>33</v>
      </c>
      <c r="K1738" t="s">
        <v>35</v>
      </c>
      <c r="O1738" s="5"/>
    </row>
    <row r="1739" spans="2:15" x14ac:dyDescent="0.3">
      <c r="B1739" s="4">
        <v>314</v>
      </c>
      <c r="C1739" t="s">
        <v>21</v>
      </c>
      <c r="D1739" t="s">
        <v>21</v>
      </c>
      <c r="E1739" t="s">
        <v>11</v>
      </c>
      <c r="F1739">
        <v>8</v>
      </c>
      <c r="G1739" t="s">
        <v>16</v>
      </c>
      <c r="H1739">
        <v>6</v>
      </c>
      <c r="I1739" t="s">
        <v>33</v>
      </c>
      <c r="J1739" t="s">
        <v>34</v>
      </c>
      <c r="K1739" t="s">
        <v>35</v>
      </c>
      <c r="O1739" s="5"/>
    </row>
    <row r="1740" spans="2:15" x14ac:dyDescent="0.3">
      <c r="B1740" s="4">
        <v>727</v>
      </c>
      <c r="C1740" t="s">
        <v>93</v>
      </c>
      <c r="D1740" t="s">
        <v>93</v>
      </c>
      <c r="E1740" t="s">
        <v>11</v>
      </c>
      <c r="F1740">
        <v>8</v>
      </c>
      <c r="G1740" t="s">
        <v>40</v>
      </c>
      <c r="H1740">
        <v>3</v>
      </c>
      <c r="I1740" t="s">
        <v>19</v>
      </c>
      <c r="J1740" t="s">
        <v>52</v>
      </c>
      <c r="K1740" t="s">
        <v>35</v>
      </c>
      <c r="O1740" s="5"/>
    </row>
    <row r="1741" spans="2:15" x14ac:dyDescent="0.3">
      <c r="B1741" s="4">
        <v>415</v>
      </c>
      <c r="C1741" t="s">
        <v>44</v>
      </c>
      <c r="D1741" t="s">
        <v>44</v>
      </c>
      <c r="E1741" t="s">
        <v>45</v>
      </c>
      <c r="F1741">
        <v>5</v>
      </c>
      <c r="G1741" t="s">
        <v>66</v>
      </c>
      <c r="H1741">
        <v>5</v>
      </c>
      <c r="I1741" t="s">
        <v>17</v>
      </c>
      <c r="J1741" t="s">
        <v>17</v>
      </c>
      <c r="K1741" t="s">
        <v>34</v>
      </c>
      <c r="L1741" t="s">
        <v>35</v>
      </c>
      <c r="O1741" s="5"/>
    </row>
    <row r="1742" spans="2:15" x14ac:dyDescent="0.3">
      <c r="B1742" s="4">
        <v>262</v>
      </c>
      <c r="C1742" t="s">
        <v>85</v>
      </c>
      <c r="D1742" t="s">
        <v>85</v>
      </c>
      <c r="E1742" t="s">
        <v>86</v>
      </c>
      <c r="F1742">
        <v>12</v>
      </c>
      <c r="G1742" t="s">
        <v>16</v>
      </c>
      <c r="H1742">
        <v>6</v>
      </c>
      <c r="I1742" t="s">
        <v>19</v>
      </c>
      <c r="J1742" t="s">
        <v>19</v>
      </c>
      <c r="K1742" t="s">
        <v>52</v>
      </c>
      <c r="L1742" t="s">
        <v>35</v>
      </c>
      <c r="O1742" s="5"/>
    </row>
    <row r="1743" spans="2:15" x14ac:dyDescent="0.3">
      <c r="B1743" s="4">
        <v>702</v>
      </c>
      <c r="C1743" t="s">
        <v>50</v>
      </c>
      <c r="D1743" t="s">
        <v>50</v>
      </c>
      <c r="E1743" t="s">
        <v>51</v>
      </c>
      <c r="F1743">
        <v>3</v>
      </c>
      <c r="G1743" t="s">
        <v>57</v>
      </c>
      <c r="H1743">
        <v>10</v>
      </c>
      <c r="J1743" t="s">
        <v>34</v>
      </c>
      <c r="K1743" t="s">
        <v>34</v>
      </c>
      <c r="L1743" t="s">
        <v>35</v>
      </c>
      <c r="O1743" s="5"/>
    </row>
    <row r="1744" spans="2:15" x14ac:dyDescent="0.3">
      <c r="B1744" s="4">
        <v>588</v>
      </c>
      <c r="C1744" t="s">
        <v>117</v>
      </c>
      <c r="D1744" t="s">
        <v>47</v>
      </c>
      <c r="E1744" t="s">
        <v>11</v>
      </c>
      <c r="F1744">
        <v>8</v>
      </c>
      <c r="G1744" t="s">
        <v>38</v>
      </c>
      <c r="H1744">
        <v>13</v>
      </c>
      <c r="I1744" t="s">
        <v>19</v>
      </c>
      <c r="J1744" t="s">
        <v>19</v>
      </c>
      <c r="K1744" t="s">
        <v>52</v>
      </c>
      <c r="L1744" t="s">
        <v>35</v>
      </c>
      <c r="O1744" s="5"/>
    </row>
    <row r="1745" spans="2:15" x14ac:dyDescent="0.3">
      <c r="B1745" s="4">
        <v>42</v>
      </c>
      <c r="C1745" t="s">
        <v>117</v>
      </c>
      <c r="D1745" t="s">
        <v>47</v>
      </c>
      <c r="E1745" t="s">
        <v>11</v>
      </c>
      <c r="F1745">
        <v>8</v>
      </c>
      <c r="G1745" t="s">
        <v>26</v>
      </c>
      <c r="H1745">
        <v>4</v>
      </c>
      <c r="I1745" t="s">
        <v>17</v>
      </c>
      <c r="J1745" t="s">
        <v>34</v>
      </c>
      <c r="K1745" t="s">
        <v>34</v>
      </c>
      <c r="L1745" t="s">
        <v>35</v>
      </c>
      <c r="O1745" s="5"/>
    </row>
    <row r="1746" spans="2:15" x14ac:dyDescent="0.3">
      <c r="B1746" s="4">
        <v>506</v>
      </c>
      <c r="C1746" t="s">
        <v>117</v>
      </c>
      <c r="D1746" t="s">
        <v>47</v>
      </c>
      <c r="E1746" t="s">
        <v>11</v>
      </c>
      <c r="F1746">
        <v>8</v>
      </c>
      <c r="G1746" t="s">
        <v>12</v>
      </c>
      <c r="H1746">
        <v>7</v>
      </c>
      <c r="J1746" t="s">
        <v>34</v>
      </c>
      <c r="K1746" t="s">
        <v>34</v>
      </c>
      <c r="L1746" t="s">
        <v>35</v>
      </c>
      <c r="O1746" s="5"/>
    </row>
    <row r="1747" spans="2:15" x14ac:dyDescent="0.3">
      <c r="B1747" s="4">
        <v>1096</v>
      </c>
      <c r="C1747" t="s">
        <v>32</v>
      </c>
      <c r="D1747" t="s">
        <v>32</v>
      </c>
      <c r="E1747" t="s">
        <v>11</v>
      </c>
      <c r="F1747">
        <v>8</v>
      </c>
      <c r="G1747" t="s">
        <v>22</v>
      </c>
      <c r="H1747">
        <v>1</v>
      </c>
      <c r="K1747" t="s">
        <v>18</v>
      </c>
      <c r="L1747" t="s">
        <v>35</v>
      </c>
      <c r="O1747" s="5"/>
    </row>
    <row r="1748" spans="2:15" x14ac:dyDescent="0.3">
      <c r="B1748" s="4">
        <v>274</v>
      </c>
      <c r="C1748" t="s">
        <v>15</v>
      </c>
      <c r="D1748" t="s">
        <v>15</v>
      </c>
      <c r="E1748" t="s">
        <v>11</v>
      </c>
      <c r="F1748">
        <v>8</v>
      </c>
      <c r="G1748" t="s">
        <v>58</v>
      </c>
      <c r="H1748">
        <v>17</v>
      </c>
      <c r="I1748" t="s">
        <v>19</v>
      </c>
      <c r="J1748" t="s">
        <v>13</v>
      </c>
      <c r="K1748" t="s">
        <v>13</v>
      </c>
      <c r="L1748" t="s">
        <v>35</v>
      </c>
      <c r="O1748" s="5"/>
    </row>
    <row r="1749" spans="2:15" x14ac:dyDescent="0.3">
      <c r="B1749" s="4">
        <v>2200</v>
      </c>
      <c r="C1749" t="s">
        <v>62</v>
      </c>
      <c r="D1749" t="s">
        <v>62</v>
      </c>
      <c r="E1749" t="s">
        <v>11</v>
      </c>
      <c r="F1749">
        <v>8</v>
      </c>
      <c r="G1749" t="s">
        <v>54</v>
      </c>
      <c r="H1749">
        <v>8</v>
      </c>
      <c r="L1749" t="s">
        <v>34</v>
      </c>
      <c r="M1749" t="s">
        <v>35</v>
      </c>
      <c r="O1749" s="5"/>
    </row>
    <row r="1750" spans="2:15" x14ac:dyDescent="0.3">
      <c r="B1750" s="4">
        <v>170</v>
      </c>
      <c r="C1750" t="s">
        <v>99</v>
      </c>
      <c r="D1750" t="s">
        <v>99</v>
      </c>
      <c r="E1750" t="s">
        <v>77</v>
      </c>
      <c r="F1750">
        <v>7</v>
      </c>
      <c r="G1750" t="s">
        <v>40</v>
      </c>
      <c r="H1750">
        <v>3</v>
      </c>
      <c r="J1750" t="s">
        <v>19</v>
      </c>
      <c r="K1750" t="s">
        <v>118</v>
      </c>
      <c r="L1750" t="s">
        <v>34</v>
      </c>
      <c r="M1750" t="s">
        <v>35</v>
      </c>
      <c r="O1750" s="5"/>
    </row>
    <row r="1751" spans="2:15" x14ac:dyDescent="0.3">
      <c r="B1751" s="4">
        <v>1117</v>
      </c>
      <c r="C1751" t="s">
        <v>117</v>
      </c>
      <c r="D1751" t="s">
        <v>47</v>
      </c>
      <c r="E1751" t="s">
        <v>11</v>
      </c>
      <c r="F1751">
        <v>8</v>
      </c>
      <c r="G1751" t="s">
        <v>22</v>
      </c>
      <c r="H1751">
        <v>1</v>
      </c>
      <c r="K1751" t="s">
        <v>52</v>
      </c>
      <c r="L1751" t="s">
        <v>52</v>
      </c>
      <c r="M1751" t="s">
        <v>35</v>
      </c>
      <c r="O1751" s="5"/>
    </row>
    <row r="1752" spans="2:15" x14ac:dyDescent="0.3">
      <c r="B1752" s="4">
        <v>472</v>
      </c>
      <c r="C1752" t="s">
        <v>117</v>
      </c>
      <c r="D1752" t="s">
        <v>47</v>
      </c>
      <c r="E1752" t="s">
        <v>11</v>
      </c>
      <c r="F1752">
        <v>8</v>
      </c>
      <c r="G1752" t="s">
        <v>22</v>
      </c>
      <c r="H1752">
        <v>1</v>
      </c>
      <c r="J1752" t="s">
        <v>13</v>
      </c>
      <c r="K1752" t="s">
        <v>19</v>
      </c>
      <c r="L1752" t="s">
        <v>19</v>
      </c>
      <c r="M1752" t="s">
        <v>35</v>
      </c>
      <c r="O1752" s="5"/>
    </row>
    <row r="1753" spans="2:15" x14ac:dyDescent="0.3">
      <c r="B1753" s="4">
        <v>304</v>
      </c>
      <c r="C1753" t="s">
        <v>42</v>
      </c>
      <c r="D1753" t="s">
        <v>42</v>
      </c>
      <c r="E1753" t="s">
        <v>11</v>
      </c>
      <c r="F1753">
        <v>8</v>
      </c>
      <c r="G1753" t="s">
        <v>30</v>
      </c>
      <c r="H1753">
        <v>18</v>
      </c>
      <c r="J1753" t="s">
        <v>13</v>
      </c>
      <c r="K1753" t="s">
        <v>13</v>
      </c>
      <c r="L1753" t="s">
        <v>33</v>
      </c>
      <c r="M1753" t="s">
        <v>35</v>
      </c>
      <c r="O1753" s="5"/>
    </row>
    <row r="1754" spans="2:15" x14ac:dyDescent="0.3">
      <c r="B1754" s="4">
        <v>788</v>
      </c>
      <c r="C1754" t="s">
        <v>117</v>
      </c>
      <c r="D1754" t="s">
        <v>47</v>
      </c>
      <c r="E1754" t="s">
        <v>11</v>
      </c>
      <c r="F1754">
        <v>8</v>
      </c>
      <c r="G1754" t="s">
        <v>55</v>
      </c>
      <c r="H1754">
        <v>2</v>
      </c>
      <c r="L1754" t="s">
        <v>33</v>
      </c>
      <c r="M1754" t="s">
        <v>33</v>
      </c>
      <c r="N1754" t="s">
        <v>35</v>
      </c>
      <c r="O1754" s="5"/>
    </row>
    <row r="1755" spans="2:15" x14ac:dyDescent="0.3">
      <c r="B1755" s="4">
        <v>1252</v>
      </c>
      <c r="C1755" t="s">
        <v>117</v>
      </c>
      <c r="D1755" t="s">
        <v>47</v>
      </c>
      <c r="E1755" t="s">
        <v>11</v>
      </c>
      <c r="F1755">
        <v>8</v>
      </c>
      <c r="G1755" t="s">
        <v>54</v>
      </c>
      <c r="H1755">
        <v>8</v>
      </c>
      <c r="L1755" t="s">
        <v>33</v>
      </c>
      <c r="M1755" t="s">
        <v>33</v>
      </c>
      <c r="N1755" t="s">
        <v>35</v>
      </c>
      <c r="O1755" s="5"/>
    </row>
    <row r="1756" spans="2:15" x14ac:dyDescent="0.3">
      <c r="B1756" s="4">
        <v>1288</v>
      </c>
      <c r="C1756" t="s">
        <v>117</v>
      </c>
      <c r="D1756" t="s">
        <v>47</v>
      </c>
      <c r="E1756" t="s">
        <v>11</v>
      </c>
      <c r="F1756">
        <v>8</v>
      </c>
      <c r="G1756" t="s">
        <v>16</v>
      </c>
      <c r="H1756">
        <v>6</v>
      </c>
      <c r="L1756" t="s">
        <v>33</v>
      </c>
      <c r="M1756" t="s">
        <v>34</v>
      </c>
      <c r="N1756" t="s">
        <v>35</v>
      </c>
      <c r="O1756" s="5"/>
    </row>
    <row r="1757" spans="2:15" x14ac:dyDescent="0.3">
      <c r="B1757" s="4">
        <v>3091</v>
      </c>
      <c r="C1757" t="s">
        <v>60</v>
      </c>
      <c r="D1757" t="s">
        <v>60</v>
      </c>
      <c r="E1757" t="s">
        <v>11</v>
      </c>
      <c r="F1757">
        <v>8</v>
      </c>
      <c r="G1757" t="s">
        <v>22</v>
      </c>
      <c r="H1757">
        <v>1</v>
      </c>
      <c r="M1757" t="s">
        <v>33</v>
      </c>
      <c r="N1757" t="s">
        <v>35</v>
      </c>
      <c r="O1757" s="5"/>
    </row>
    <row r="1758" spans="2:15" x14ac:dyDescent="0.3">
      <c r="B1758" s="4">
        <v>2279</v>
      </c>
      <c r="C1758" t="s">
        <v>93</v>
      </c>
      <c r="D1758" t="s">
        <v>93</v>
      </c>
      <c r="E1758" t="s">
        <v>11</v>
      </c>
      <c r="F1758">
        <v>8</v>
      </c>
      <c r="G1758" t="s">
        <v>30</v>
      </c>
      <c r="H1758">
        <v>18</v>
      </c>
      <c r="L1758" t="s">
        <v>19</v>
      </c>
      <c r="M1758" t="s">
        <v>19</v>
      </c>
      <c r="N1758" t="s">
        <v>35</v>
      </c>
      <c r="O1758" s="5"/>
    </row>
    <row r="1759" spans="2:15" ht="15" thickBot="1" x14ac:dyDescent="0.35">
      <c r="B1759" s="6">
        <v>1670</v>
      </c>
      <c r="C1759" s="7" t="s">
        <v>24</v>
      </c>
      <c r="D1759" s="7" t="s">
        <v>24</v>
      </c>
      <c r="E1759" s="7" t="s">
        <v>25</v>
      </c>
      <c r="F1759" s="7">
        <v>1</v>
      </c>
      <c r="G1759" s="7" t="s">
        <v>74</v>
      </c>
      <c r="H1759" s="7">
        <v>15</v>
      </c>
      <c r="I1759" s="7"/>
      <c r="J1759" s="7"/>
      <c r="K1759" s="7"/>
      <c r="L1759" s="7"/>
      <c r="M1759" s="7" t="s">
        <v>13</v>
      </c>
      <c r="N1759" s="7" t="s">
        <v>13</v>
      </c>
      <c r="O1759" s="8" t="s">
        <v>35</v>
      </c>
    </row>
  </sheetData>
  <autoFilter ref="B2:O1759" xr:uid="{00000000-0001-0000-0400-000000000000}"/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0F40-1FDE-4BFB-B3AA-78AFFB730900}">
  <sheetPr>
    <tabColor rgb="FF92D050"/>
  </sheetPr>
  <dimension ref="B1:Y90"/>
  <sheetViews>
    <sheetView workbookViewId="0">
      <selection activeCell="J28" sqref="J28"/>
    </sheetView>
  </sheetViews>
  <sheetFormatPr defaultRowHeight="14.4" x14ac:dyDescent="0.3"/>
  <cols>
    <col min="2" max="2" width="12.77734375" bestFit="1" customWidth="1"/>
    <col min="3" max="3" width="9.44140625" bestFit="1" customWidth="1"/>
    <col min="4" max="9" width="3.109375" bestFit="1" customWidth="1"/>
    <col min="10" max="10" width="4.33203125" bestFit="1" customWidth="1"/>
    <col min="11" max="11" width="7" bestFit="1" customWidth="1"/>
    <col min="12" max="12" width="10.77734375" bestFit="1" customWidth="1"/>
    <col min="16" max="16" width="9.109375" customWidth="1"/>
  </cols>
  <sheetData>
    <row r="1" spans="2:25" ht="15" thickBot="1" x14ac:dyDescent="0.35"/>
    <row r="2" spans="2:25" ht="15" thickBot="1" x14ac:dyDescent="0.35"/>
    <row r="3" spans="2:25" ht="15" thickBot="1" x14ac:dyDescent="0.35"/>
    <row r="4" spans="2:25" ht="15" thickBot="1" x14ac:dyDescent="0.35">
      <c r="B4" s="71" t="s">
        <v>172</v>
      </c>
      <c r="C4" s="72"/>
      <c r="D4" s="72"/>
      <c r="E4" s="72"/>
      <c r="F4" s="72"/>
      <c r="G4" s="72"/>
      <c r="H4" s="72"/>
      <c r="I4" s="72"/>
      <c r="J4" s="29"/>
      <c r="P4" s="73" t="s">
        <v>178</v>
      </c>
      <c r="Q4" s="72"/>
      <c r="R4" s="72"/>
      <c r="S4" s="29"/>
      <c r="T4" s="29"/>
    </row>
    <row r="5" spans="2:25" ht="15" thickBot="1" x14ac:dyDescent="0.35">
      <c r="B5" s="60" t="s">
        <v>119</v>
      </c>
      <c r="C5" s="70" t="s">
        <v>120</v>
      </c>
      <c r="D5" s="2"/>
      <c r="E5" s="2"/>
      <c r="F5" s="2"/>
      <c r="G5" s="2"/>
      <c r="H5" s="2"/>
      <c r="I5" s="2"/>
      <c r="J5" s="2"/>
      <c r="K5" s="2"/>
      <c r="L5" s="3"/>
      <c r="P5" s="11"/>
      <c r="Q5" s="74" t="s">
        <v>13</v>
      </c>
      <c r="R5" s="74" t="s">
        <v>18</v>
      </c>
      <c r="S5" s="74" t="s">
        <v>17</v>
      </c>
      <c r="T5" s="74" t="s">
        <v>19</v>
      </c>
      <c r="U5" s="74" t="s">
        <v>52</v>
      </c>
      <c r="V5" s="74" t="s">
        <v>33</v>
      </c>
      <c r="W5" s="74" t="s">
        <v>34</v>
      </c>
      <c r="X5" s="75" t="s">
        <v>35</v>
      </c>
      <c r="Y5" s="88" t="s">
        <v>179</v>
      </c>
    </row>
    <row r="6" spans="2:25" ht="15" thickBot="1" x14ac:dyDescent="0.35">
      <c r="B6" s="65" t="s">
        <v>171</v>
      </c>
      <c r="C6" s="12" t="s">
        <v>13</v>
      </c>
      <c r="D6" s="12" t="s">
        <v>18</v>
      </c>
      <c r="E6" s="12" t="s">
        <v>17</v>
      </c>
      <c r="F6" s="12" t="s">
        <v>19</v>
      </c>
      <c r="G6" s="12" t="s">
        <v>52</v>
      </c>
      <c r="H6" s="12" t="s">
        <v>33</v>
      </c>
      <c r="I6" s="12" t="s">
        <v>34</v>
      </c>
      <c r="J6" s="12" t="s">
        <v>35</v>
      </c>
      <c r="K6" s="12" t="s">
        <v>121</v>
      </c>
      <c r="L6" s="13" t="s">
        <v>122</v>
      </c>
      <c r="P6" s="76" t="s">
        <v>13</v>
      </c>
      <c r="Q6" s="79">
        <f>(C7+C21+C36+C51+C66+C81)/($L7+$L21+$L36+$L51+$L66+$L81-$K7-$K21-$K36-$K51-$K66-$K81)</f>
        <v>0.61998901702361342</v>
      </c>
      <c r="R6" s="80">
        <f t="shared" ref="R6:X13" si="0">(D7+D21+D36+D51+D66+D81)/($L7+$L21+$L36+$L51+$L66+$L81-$K7-$K21-$K36-$K51-$K66-$K81)</f>
        <v>0.24656781987918727</v>
      </c>
      <c r="S6" s="80">
        <f t="shared" si="0"/>
        <v>0.10598572213069742</v>
      </c>
      <c r="T6" s="80">
        <f t="shared" si="0"/>
        <v>2.0318506315211423E-2</v>
      </c>
      <c r="U6" s="80">
        <f t="shared" si="0"/>
        <v>2.7457440966501922E-3</v>
      </c>
      <c r="V6" s="80">
        <f t="shared" si="0"/>
        <v>2.1965952773201538E-3</v>
      </c>
      <c r="W6" s="80">
        <f t="shared" si="0"/>
        <v>1.0982976386600769E-3</v>
      </c>
      <c r="X6" s="81">
        <f t="shared" si="0"/>
        <v>1.0982976386600769E-3</v>
      </c>
      <c r="Y6" s="78">
        <f>SUM(Q6:X6)</f>
        <v>1</v>
      </c>
    </row>
    <row r="7" spans="2:25" x14ac:dyDescent="0.3">
      <c r="B7" s="61" t="s">
        <v>13</v>
      </c>
      <c r="C7">
        <v>109</v>
      </c>
      <c r="D7">
        <v>19</v>
      </c>
      <c r="E7">
        <v>12</v>
      </c>
      <c r="F7">
        <v>2</v>
      </c>
      <c r="L7" s="5">
        <v>142</v>
      </c>
      <c r="P7" s="76" t="s">
        <v>18</v>
      </c>
      <c r="Q7" s="82">
        <f t="shared" ref="Q7:Q13" si="1">(C8+C22+C37+C52+C67+C82)/($L8+$L22+$L37+$L52+$L67+$L82-$K8-$K22-$K37-$K52-$K67-$K82)</f>
        <v>0.28582375478927202</v>
      </c>
      <c r="R7" s="50">
        <f t="shared" si="0"/>
        <v>0.41149425287356323</v>
      </c>
      <c r="S7" s="83">
        <f t="shared" si="0"/>
        <v>0.2045977011494253</v>
      </c>
      <c r="T7" s="83">
        <f t="shared" si="0"/>
        <v>6.9731800766283519E-2</v>
      </c>
      <c r="U7" s="83">
        <f t="shared" si="0"/>
        <v>1.6858237547892719E-2</v>
      </c>
      <c r="V7" s="83">
        <f t="shared" si="0"/>
        <v>4.5977011494252873E-3</v>
      </c>
      <c r="W7" s="83">
        <f t="shared" si="0"/>
        <v>4.5977011494252873E-3</v>
      </c>
      <c r="X7" s="84">
        <f t="shared" si="0"/>
        <v>2.2988505747126436E-3</v>
      </c>
      <c r="Y7" s="78">
        <f t="shared" ref="Y7:Y13" si="2">SUM(Q7:X7)</f>
        <v>1</v>
      </c>
    </row>
    <row r="8" spans="2:25" x14ac:dyDescent="0.3">
      <c r="B8" s="61" t="s">
        <v>18</v>
      </c>
      <c r="C8">
        <v>30</v>
      </c>
      <c r="D8">
        <v>50</v>
      </c>
      <c r="E8">
        <v>17</v>
      </c>
      <c r="F8">
        <v>2</v>
      </c>
      <c r="G8">
        <v>1</v>
      </c>
      <c r="L8" s="5">
        <v>100</v>
      </c>
      <c r="P8" s="76" t="s">
        <v>17</v>
      </c>
      <c r="Q8" s="82">
        <f t="shared" si="1"/>
        <v>0.15593220338983052</v>
      </c>
      <c r="R8" s="83">
        <f t="shared" si="0"/>
        <v>0.25649717514124293</v>
      </c>
      <c r="S8" s="50">
        <f t="shared" si="0"/>
        <v>0.38757062146892657</v>
      </c>
      <c r="T8" s="83">
        <f t="shared" si="0"/>
        <v>0.15028248587570622</v>
      </c>
      <c r="U8" s="83">
        <f t="shared" si="0"/>
        <v>2.8248587570621469E-2</v>
      </c>
      <c r="V8" s="83">
        <f t="shared" si="0"/>
        <v>4.5197740112994352E-3</v>
      </c>
      <c r="W8" s="83">
        <f t="shared" si="0"/>
        <v>9.0395480225988704E-3</v>
      </c>
      <c r="X8" s="84">
        <f t="shared" si="0"/>
        <v>7.9096045197740109E-3</v>
      </c>
      <c r="Y8" s="78">
        <f t="shared" si="2"/>
        <v>1</v>
      </c>
    </row>
    <row r="9" spans="2:25" x14ac:dyDescent="0.3">
      <c r="B9" s="61" t="s">
        <v>17</v>
      </c>
      <c r="C9">
        <v>13</v>
      </c>
      <c r="D9">
        <v>19</v>
      </c>
      <c r="E9">
        <v>38</v>
      </c>
      <c r="F9">
        <v>6</v>
      </c>
      <c r="G9">
        <v>2</v>
      </c>
      <c r="I9">
        <v>1</v>
      </c>
      <c r="J9">
        <v>3</v>
      </c>
      <c r="L9" s="5">
        <v>82</v>
      </c>
      <c r="P9" s="76" t="s">
        <v>19</v>
      </c>
      <c r="Q9" s="82">
        <f t="shared" si="1"/>
        <v>6.0674157303370786E-2</v>
      </c>
      <c r="R9" s="83">
        <f t="shared" si="0"/>
        <v>0.1303370786516854</v>
      </c>
      <c r="S9" s="83">
        <f t="shared" si="0"/>
        <v>0.2292134831460674</v>
      </c>
      <c r="T9" s="50">
        <f t="shared" si="0"/>
        <v>0.34382022471910112</v>
      </c>
      <c r="U9" s="83">
        <f t="shared" si="0"/>
        <v>0.14831460674157304</v>
      </c>
      <c r="V9" s="83">
        <f t="shared" si="0"/>
        <v>3.5955056179775284E-2</v>
      </c>
      <c r="W9" s="83">
        <f t="shared" si="0"/>
        <v>1.5730337078651686E-2</v>
      </c>
      <c r="X9" s="84">
        <f t="shared" si="0"/>
        <v>3.5955056179775284E-2</v>
      </c>
      <c r="Y9" s="78">
        <f t="shared" si="2"/>
        <v>0.99999999999999989</v>
      </c>
    </row>
    <row r="10" spans="2:25" x14ac:dyDescent="0.3">
      <c r="B10" s="61" t="s">
        <v>19</v>
      </c>
      <c r="C10">
        <v>3</v>
      </c>
      <c r="D10">
        <v>7</v>
      </c>
      <c r="E10">
        <v>9</v>
      </c>
      <c r="F10">
        <v>25</v>
      </c>
      <c r="G10">
        <v>8</v>
      </c>
      <c r="H10">
        <v>1</v>
      </c>
      <c r="L10" s="5">
        <v>53</v>
      </c>
      <c r="P10" s="76" t="s">
        <v>52</v>
      </c>
      <c r="Q10" s="82">
        <f t="shared" si="1"/>
        <v>5.7803468208092483E-3</v>
      </c>
      <c r="R10" s="83">
        <f t="shared" si="0"/>
        <v>4.6242774566473986E-2</v>
      </c>
      <c r="S10" s="83">
        <f t="shared" si="0"/>
        <v>9.8265895953757232E-2</v>
      </c>
      <c r="T10" s="83">
        <f t="shared" si="0"/>
        <v>0.26011560693641617</v>
      </c>
      <c r="U10" s="50">
        <f t="shared" si="0"/>
        <v>0.31791907514450868</v>
      </c>
      <c r="V10" s="83">
        <f t="shared" si="0"/>
        <v>0.12138728323699421</v>
      </c>
      <c r="W10" s="83">
        <f t="shared" si="0"/>
        <v>5.7803468208092484E-2</v>
      </c>
      <c r="X10" s="84">
        <f t="shared" si="0"/>
        <v>9.2485549132947972E-2</v>
      </c>
      <c r="Y10" s="78">
        <f t="shared" si="2"/>
        <v>0.99999999999999989</v>
      </c>
    </row>
    <row r="11" spans="2:25" x14ac:dyDescent="0.3">
      <c r="B11" s="61" t="s">
        <v>52</v>
      </c>
      <c r="D11">
        <v>2</v>
      </c>
      <c r="E11">
        <v>1</v>
      </c>
      <c r="F11">
        <v>7</v>
      </c>
      <c r="G11">
        <v>5</v>
      </c>
      <c r="H11">
        <v>3</v>
      </c>
      <c r="I11">
        <v>3</v>
      </c>
      <c r="J11">
        <v>2</v>
      </c>
      <c r="L11" s="5">
        <v>23</v>
      </c>
      <c r="P11" s="76" t="s">
        <v>33</v>
      </c>
      <c r="Q11" s="85">
        <f t="shared" si="1"/>
        <v>0</v>
      </c>
      <c r="R11" s="83">
        <f t="shared" si="0"/>
        <v>2.1505376344086023E-2</v>
      </c>
      <c r="S11" s="83">
        <f t="shared" si="0"/>
        <v>5.3763440860215055E-2</v>
      </c>
      <c r="T11" s="83">
        <f t="shared" si="0"/>
        <v>0.16129032258064516</v>
      </c>
      <c r="U11" s="83">
        <f t="shared" si="0"/>
        <v>6.4516129032258063E-2</v>
      </c>
      <c r="V11" s="50">
        <f t="shared" si="0"/>
        <v>0.35483870967741937</v>
      </c>
      <c r="W11" s="83">
        <f t="shared" si="0"/>
        <v>9.6774193548387094E-2</v>
      </c>
      <c r="X11" s="84">
        <f t="shared" si="0"/>
        <v>0.24731182795698925</v>
      </c>
      <c r="Y11" s="78">
        <f t="shared" si="2"/>
        <v>1</v>
      </c>
    </row>
    <row r="12" spans="2:25" x14ac:dyDescent="0.3">
      <c r="B12" s="61" t="s">
        <v>33</v>
      </c>
      <c r="D12">
        <v>1</v>
      </c>
      <c r="F12">
        <v>1</v>
      </c>
      <c r="H12">
        <v>5</v>
      </c>
      <c r="I12">
        <v>3</v>
      </c>
      <c r="J12">
        <v>3</v>
      </c>
      <c r="L12" s="5">
        <v>13</v>
      </c>
      <c r="P12" s="76" t="s">
        <v>34</v>
      </c>
      <c r="Q12" s="85">
        <f t="shared" si="1"/>
        <v>0</v>
      </c>
      <c r="R12" s="83">
        <f t="shared" si="0"/>
        <v>1.5384615384615385E-2</v>
      </c>
      <c r="S12" s="83">
        <f t="shared" si="0"/>
        <v>0</v>
      </c>
      <c r="T12" s="83">
        <f t="shared" si="0"/>
        <v>1.5384615384615385E-2</v>
      </c>
      <c r="U12" s="83">
        <f t="shared" si="0"/>
        <v>7.6923076923076927E-2</v>
      </c>
      <c r="V12" s="83">
        <f t="shared" si="0"/>
        <v>6.1538461538461542E-2</v>
      </c>
      <c r="W12" s="50">
        <f t="shared" si="0"/>
        <v>0.36923076923076925</v>
      </c>
      <c r="X12" s="84">
        <f t="shared" si="0"/>
        <v>0.46153846153846156</v>
      </c>
      <c r="Y12" s="78">
        <f t="shared" si="2"/>
        <v>1</v>
      </c>
    </row>
    <row r="13" spans="2:25" ht="15" thickBot="1" x14ac:dyDescent="0.35">
      <c r="B13" s="61" t="s">
        <v>34</v>
      </c>
      <c r="G13">
        <v>2</v>
      </c>
      <c r="I13">
        <v>11</v>
      </c>
      <c r="J13">
        <v>3</v>
      </c>
      <c r="L13" s="5">
        <v>16</v>
      </c>
      <c r="P13" s="77" t="s">
        <v>35</v>
      </c>
      <c r="Q13" s="86">
        <f t="shared" si="1"/>
        <v>0</v>
      </c>
      <c r="R13" s="87">
        <f t="shared" si="0"/>
        <v>0</v>
      </c>
      <c r="S13" s="87">
        <f t="shared" si="0"/>
        <v>0</v>
      </c>
      <c r="T13" s="87">
        <f t="shared" si="0"/>
        <v>0</v>
      </c>
      <c r="U13" s="87">
        <f t="shared" si="0"/>
        <v>0</v>
      </c>
      <c r="V13" s="87">
        <f t="shared" si="0"/>
        <v>0</v>
      </c>
      <c r="W13" s="87">
        <f t="shared" si="0"/>
        <v>0</v>
      </c>
      <c r="X13" s="51">
        <f t="shared" si="0"/>
        <v>1</v>
      </c>
      <c r="Y13" s="78">
        <f t="shared" si="2"/>
        <v>1</v>
      </c>
    </row>
    <row r="14" spans="2:25" x14ac:dyDescent="0.3">
      <c r="B14" s="61" t="s">
        <v>121</v>
      </c>
      <c r="L14" s="5"/>
    </row>
    <row r="15" spans="2:25" ht="15" thickBot="1" x14ac:dyDescent="0.35">
      <c r="B15" s="62" t="s">
        <v>122</v>
      </c>
      <c r="C15" s="7">
        <v>155</v>
      </c>
      <c r="D15" s="7">
        <v>98</v>
      </c>
      <c r="E15" s="7">
        <v>77</v>
      </c>
      <c r="F15" s="7">
        <v>43</v>
      </c>
      <c r="G15" s="7">
        <v>18</v>
      </c>
      <c r="H15" s="7">
        <v>9</v>
      </c>
      <c r="I15" s="7">
        <v>18</v>
      </c>
      <c r="J15" s="7">
        <v>11</v>
      </c>
      <c r="K15" s="7"/>
      <c r="L15" s="8">
        <v>429</v>
      </c>
    </row>
    <row r="16" spans="2:25" x14ac:dyDescent="0.3">
      <c r="B16" s="69"/>
    </row>
    <row r="17" spans="2:12" ht="15" thickBot="1" x14ac:dyDescent="0.35">
      <c r="B17" s="69"/>
    </row>
    <row r="18" spans="2:12" ht="15" thickBot="1" x14ac:dyDescent="0.35">
      <c r="B18" s="71" t="s">
        <v>177</v>
      </c>
      <c r="C18" s="72"/>
      <c r="D18" s="72"/>
      <c r="E18" s="72"/>
      <c r="F18" s="72"/>
      <c r="G18" s="72"/>
      <c r="H18" s="72"/>
      <c r="I18" s="72"/>
      <c r="J18" s="29"/>
    </row>
    <row r="19" spans="2:12" ht="15" thickBot="1" x14ac:dyDescent="0.35">
      <c r="B19" t="s">
        <v>123</v>
      </c>
      <c r="C19" s="64" t="s">
        <v>124</v>
      </c>
      <c r="D19" s="2"/>
      <c r="E19" s="2"/>
      <c r="F19" s="2"/>
      <c r="G19" s="2"/>
      <c r="H19" s="2"/>
      <c r="I19" s="2"/>
      <c r="J19" s="2"/>
      <c r="K19" s="2"/>
      <c r="L19" s="3"/>
    </row>
    <row r="20" spans="2:12" ht="15" thickBot="1" x14ac:dyDescent="0.35">
      <c r="B20" s="11" t="s">
        <v>171</v>
      </c>
      <c r="C20" s="12" t="s">
        <v>13</v>
      </c>
      <c r="D20" s="12" t="s">
        <v>18</v>
      </c>
      <c r="E20" s="12" t="s">
        <v>17</v>
      </c>
      <c r="F20" s="12" t="s">
        <v>19</v>
      </c>
      <c r="G20" s="12" t="s">
        <v>52</v>
      </c>
      <c r="H20" s="12" t="s">
        <v>33</v>
      </c>
      <c r="I20" s="12" t="s">
        <v>34</v>
      </c>
      <c r="J20" s="12" t="s">
        <v>35</v>
      </c>
      <c r="K20" s="12" t="s">
        <v>121</v>
      </c>
      <c r="L20" s="13" t="s">
        <v>122</v>
      </c>
    </row>
    <row r="21" spans="2:12" x14ac:dyDescent="0.3">
      <c r="B21" s="58" t="s">
        <v>13</v>
      </c>
      <c r="C21">
        <v>160</v>
      </c>
      <c r="D21">
        <v>34</v>
      </c>
      <c r="E21">
        <v>9</v>
      </c>
      <c r="F21">
        <v>1</v>
      </c>
      <c r="K21">
        <v>21</v>
      </c>
      <c r="L21" s="5">
        <v>225</v>
      </c>
    </row>
    <row r="22" spans="2:12" x14ac:dyDescent="0.3">
      <c r="B22" s="58" t="s">
        <v>18</v>
      </c>
      <c r="C22">
        <v>49</v>
      </c>
      <c r="D22">
        <v>52</v>
      </c>
      <c r="E22">
        <v>28</v>
      </c>
      <c r="F22">
        <v>4</v>
      </c>
      <c r="G22">
        <v>2</v>
      </c>
      <c r="I22">
        <v>1</v>
      </c>
      <c r="K22">
        <v>8</v>
      </c>
      <c r="L22" s="5">
        <v>144</v>
      </c>
    </row>
    <row r="23" spans="2:12" x14ac:dyDescent="0.3">
      <c r="B23" s="58" t="s">
        <v>17</v>
      </c>
      <c r="C23">
        <v>16</v>
      </c>
      <c r="D23">
        <v>30</v>
      </c>
      <c r="E23">
        <v>32</v>
      </c>
      <c r="F23">
        <v>17</v>
      </c>
      <c r="G23">
        <v>3</v>
      </c>
      <c r="H23">
        <v>1</v>
      </c>
      <c r="I23">
        <v>5</v>
      </c>
      <c r="K23">
        <v>7</v>
      </c>
      <c r="L23" s="5">
        <v>111</v>
      </c>
    </row>
    <row r="24" spans="2:12" x14ac:dyDescent="0.3">
      <c r="B24" s="58" t="s">
        <v>19</v>
      </c>
      <c r="C24">
        <v>3</v>
      </c>
      <c r="D24">
        <v>3</v>
      </c>
      <c r="E24">
        <v>8</v>
      </c>
      <c r="F24">
        <v>17</v>
      </c>
      <c r="G24">
        <v>7</v>
      </c>
      <c r="H24">
        <v>5</v>
      </c>
      <c r="I24">
        <v>4</v>
      </c>
      <c r="J24">
        <v>1</v>
      </c>
      <c r="K24">
        <v>4</v>
      </c>
      <c r="L24" s="5">
        <v>52</v>
      </c>
    </row>
    <row r="25" spans="2:12" x14ac:dyDescent="0.3">
      <c r="B25" s="58" t="s">
        <v>52</v>
      </c>
      <c r="E25">
        <v>2</v>
      </c>
      <c r="F25">
        <v>4</v>
      </c>
      <c r="G25">
        <v>7</v>
      </c>
      <c r="H25">
        <v>5</v>
      </c>
      <c r="I25">
        <v>2</v>
      </c>
      <c r="J25">
        <v>3</v>
      </c>
      <c r="K25">
        <v>3</v>
      </c>
      <c r="L25" s="5">
        <v>26</v>
      </c>
    </row>
    <row r="26" spans="2:12" x14ac:dyDescent="0.3">
      <c r="B26" s="58" t="s">
        <v>33</v>
      </c>
      <c r="D26">
        <v>1</v>
      </c>
      <c r="E26">
        <v>2</v>
      </c>
      <c r="F26">
        <v>3</v>
      </c>
      <c r="G26">
        <v>1</v>
      </c>
      <c r="H26">
        <v>1</v>
      </c>
      <c r="J26">
        <v>2</v>
      </c>
      <c r="K26">
        <v>2</v>
      </c>
      <c r="L26" s="5">
        <v>12</v>
      </c>
    </row>
    <row r="27" spans="2:12" x14ac:dyDescent="0.3">
      <c r="B27" s="58" t="s">
        <v>34</v>
      </c>
      <c r="G27">
        <v>1</v>
      </c>
      <c r="H27">
        <v>1</v>
      </c>
      <c r="I27">
        <v>8</v>
      </c>
      <c r="J27">
        <v>7</v>
      </c>
      <c r="K27">
        <v>3</v>
      </c>
      <c r="L27" s="5">
        <v>20</v>
      </c>
    </row>
    <row r="28" spans="2:12" x14ac:dyDescent="0.3">
      <c r="B28" s="58" t="s">
        <v>35</v>
      </c>
      <c r="K28">
        <v>11</v>
      </c>
      <c r="L28" s="5">
        <v>11</v>
      </c>
    </row>
    <row r="29" spans="2:12" x14ac:dyDescent="0.3">
      <c r="B29" s="58" t="s">
        <v>121</v>
      </c>
      <c r="L29" s="5"/>
    </row>
    <row r="30" spans="2:12" ht="15" thickBot="1" x14ac:dyDescent="0.35">
      <c r="B30" s="68" t="s">
        <v>122</v>
      </c>
      <c r="C30" s="7">
        <v>228</v>
      </c>
      <c r="D30" s="7">
        <v>120</v>
      </c>
      <c r="E30" s="7">
        <v>81</v>
      </c>
      <c r="F30" s="7">
        <v>46</v>
      </c>
      <c r="G30" s="7">
        <v>21</v>
      </c>
      <c r="H30" s="7">
        <v>13</v>
      </c>
      <c r="I30" s="7">
        <v>20</v>
      </c>
      <c r="J30" s="7">
        <v>13</v>
      </c>
      <c r="K30" s="7">
        <v>59</v>
      </c>
      <c r="L30" s="8">
        <v>601</v>
      </c>
    </row>
    <row r="31" spans="2:12" x14ac:dyDescent="0.3">
      <c r="B31" s="69"/>
    </row>
    <row r="32" spans="2:12" ht="15" thickBot="1" x14ac:dyDescent="0.35">
      <c r="B32" s="69"/>
    </row>
    <row r="33" spans="2:12" ht="15" thickBot="1" x14ac:dyDescent="0.35">
      <c r="B33" s="71" t="s">
        <v>176</v>
      </c>
      <c r="C33" s="72"/>
      <c r="D33" s="72"/>
      <c r="E33" s="72"/>
      <c r="F33" s="72"/>
      <c r="G33" s="72"/>
      <c r="H33" s="72"/>
      <c r="I33" s="72"/>
      <c r="J33" s="29"/>
    </row>
    <row r="34" spans="2:12" ht="15" thickBot="1" x14ac:dyDescent="0.35">
      <c r="B34" s="9" t="s">
        <v>125</v>
      </c>
      <c r="C34" s="64" t="s">
        <v>126</v>
      </c>
      <c r="D34" s="2"/>
      <c r="E34" s="2"/>
      <c r="F34" s="2"/>
      <c r="G34" s="2"/>
      <c r="H34" s="2"/>
      <c r="I34" s="2"/>
      <c r="J34" s="2"/>
      <c r="K34" s="2"/>
      <c r="L34" s="3"/>
    </row>
    <row r="35" spans="2:12" ht="15" thickBot="1" x14ac:dyDescent="0.35">
      <c r="B35" s="11" t="s">
        <v>171</v>
      </c>
      <c r="C35" s="12" t="s">
        <v>13</v>
      </c>
      <c r="D35" s="12" t="s">
        <v>18</v>
      </c>
      <c r="E35" s="12" t="s">
        <v>17</v>
      </c>
      <c r="F35" s="12" t="s">
        <v>19</v>
      </c>
      <c r="G35" s="12" t="s">
        <v>52</v>
      </c>
      <c r="H35" s="12" t="s">
        <v>33</v>
      </c>
      <c r="I35" s="12" t="s">
        <v>34</v>
      </c>
      <c r="J35" s="12" t="s">
        <v>35</v>
      </c>
      <c r="K35" s="12" t="s">
        <v>121</v>
      </c>
      <c r="L35" s="13" t="s">
        <v>122</v>
      </c>
    </row>
    <row r="36" spans="2:12" x14ac:dyDescent="0.3">
      <c r="B36" s="58" t="s">
        <v>13</v>
      </c>
      <c r="C36">
        <v>209</v>
      </c>
      <c r="D36">
        <v>61</v>
      </c>
      <c r="E36">
        <v>19</v>
      </c>
      <c r="F36">
        <v>6</v>
      </c>
      <c r="G36">
        <v>1</v>
      </c>
      <c r="H36">
        <v>2</v>
      </c>
      <c r="J36">
        <v>1</v>
      </c>
      <c r="K36">
        <v>32</v>
      </c>
      <c r="L36" s="5">
        <v>331</v>
      </c>
    </row>
    <row r="37" spans="2:12" x14ac:dyDescent="0.3">
      <c r="B37" s="58" t="s">
        <v>18</v>
      </c>
      <c r="C37">
        <v>56</v>
      </c>
      <c r="D37">
        <v>65</v>
      </c>
      <c r="E37">
        <v>18</v>
      </c>
      <c r="F37">
        <v>7</v>
      </c>
      <c r="G37">
        <v>1</v>
      </c>
      <c r="H37">
        <v>1</v>
      </c>
      <c r="J37">
        <v>2</v>
      </c>
      <c r="K37">
        <v>15</v>
      </c>
      <c r="L37" s="5">
        <v>165</v>
      </c>
    </row>
    <row r="38" spans="2:12" x14ac:dyDescent="0.3">
      <c r="B38" s="58" t="s">
        <v>17</v>
      </c>
      <c r="C38">
        <v>18</v>
      </c>
      <c r="D38">
        <v>29</v>
      </c>
      <c r="E38">
        <v>39</v>
      </c>
      <c r="F38">
        <v>15</v>
      </c>
      <c r="G38">
        <v>3</v>
      </c>
      <c r="H38">
        <v>1</v>
      </c>
      <c r="I38">
        <v>1</v>
      </c>
      <c r="K38">
        <v>11</v>
      </c>
      <c r="L38" s="5">
        <v>117</v>
      </c>
    </row>
    <row r="39" spans="2:12" x14ac:dyDescent="0.3">
      <c r="B39" s="58" t="s">
        <v>19</v>
      </c>
      <c r="C39">
        <v>4</v>
      </c>
      <c r="D39">
        <v>8</v>
      </c>
      <c r="E39">
        <v>13</v>
      </c>
      <c r="F39">
        <v>20</v>
      </c>
      <c r="G39">
        <v>3</v>
      </c>
      <c r="H39">
        <v>1</v>
      </c>
      <c r="I39">
        <v>3</v>
      </c>
      <c r="J39">
        <v>3</v>
      </c>
      <c r="K39">
        <v>3</v>
      </c>
      <c r="L39" s="5">
        <v>58</v>
      </c>
    </row>
    <row r="40" spans="2:12" x14ac:dyDescent="0.3">
      <c r="B40" s="58" t="s">
        <v>52</v>
      </c>
      <c r="E40">
        <v>2</v>
      </c>
      <c r="F40">
        <v>4</v>
      </c>
      <c r="G40">
        <v>13</v>
      </c>
      <c r="H40">
        <v>3</v>
      </c>
      <c r="J40">
        <v>3</v>
      </c>
      <c r="K40">
        <v>3</v>
      </c>
      <c r="L40" s="5">
        <v>28</v>
      </c>
    </row>
    <row r="41" spans="2:12" x14ac:dyDescent="0.3">
      <c r="B41" s="58" t="s">
        <v>33</v>
      </c>
      <c r="E41">
        <v>1</v>
      </c>
      <c r="F41">
        <v>4</v>
      </c>
      <c r="G41">
        <v>1</v>
      </c>
      <c r="H41">
        <v>8</v>
      </c>
      <c r="I41">
        <v>3</v>
      </c>
      <c r="J41">
        <v>1</v>
      </c>
      <c r="K41">
        <v>1</v>
      </c>
      <c r="L41" s="5">
        <v>19</v>
      </c>
    </row>
    <row r="42" spans="2:12" x14ac:dyDescent="0.3">
      <c r="B42" s="58" t="s">
        <v>34</v>
      </c>
      <c r="I42">
        <v>1</v>
      </c>
      <c r="J42">
        <v>13</v>
      </c>
      <c r="K42">
        <v>6</v>
      </c>
      <c r="L42" s="5">
        <v>20</v>
      </c>
    </row>
    <row r="43" spans="2:12" x14ac:dyDescent="0.3">
      <c r="B43" s="58" t="s">
        <v>35</v>
      </c>
      <c r="J43">
        <v>3</v>
      </c>
      <c r="K43">
        <v>10</v>
      </c>
      <c r="L43" s="5">
        <v>13</v>
      </c>
    </row>
    <row r="44" spans="2:12" x14ac:dyDescent="0.3">
      <c r="B44" s="58" t="s">
        <v>121</v>
      </c>
      <c r="L44" s="5"/>
    </row>
    <row r="45" spans="2:12" ht="15" thickBot="1" x14ac:dyDescent="0.35">
      <c r="B45" s="68" t="s">
        <v>122</v>
      </c>
      <c r="C45" s="7">
        <v>287</v>
      </c>
      <c r="D45" s="7">
        <v>163</v>
      </c>
      <c r="E45" s="7">
        <v>92</v>
      </c>
      <c r="F45" s="7">
        <v>56</v>
      </c>
      <c r="G45" s="7">
        <v>22</v>
      </c>
      <c r="H45" s="7">
        <v>16</v>
      </c>
      <c r="I45" s="7">
        <v>8</v>
      </c>
      <c r="J45" s="7">
        <v>26</v>
      </c>
      <c r="K45" s="7">
        <v>81</v>
      </c>
      <c r="L45" s="8">
        <v>751</v>
      </c>
    </row>
    <row r="47" spans="2:12" ht="15" thickBot="1" x14ac:dyDescent="0.35"/>
    <row r="48" spans="2:12" ht="15" thickBot="1" x14ac:dyDescent="0.35">
      <c r="B48" s="71" t="s">
        <v>175</v>
      </c>
      <c r="C48" s="72"/>
      <c r="D48" s="72"/>
      <c r="E48" s="72"/>
      <c r="F48" s="72"/>
      <c r="G48" s="72"/>
      <c r="H48" s="72"/>
      <c r="I48" s="72"/>
      <c r="J48" s="29"/>
    </row>
    <row r="49" spans="2:12" ht="15" thickBot="1" x14ac:dyDescent="0.35">
      <c r="B49" s="9" t="s">
        <v>127</v>
      </c>
      <c r="C49" s="64" t="s">
        <v>128</v>
      </c>
      <c r="D49" s="2"/>
      <c r="E49" s="2"/>
      <c r="F49" s="2"/>
      <c r="G49" s="2"/>
      <c r="H49" s="2"/>
      <c r="I49" s="2"/>
      <c r="J49" s="2"/>
      <c r="K49" s="2"/>
      <c r="L49" s="3"/>
    </row>
    <row r="50" spans="2:12" ht="15" thickBot="1" x14ac:dyDescent="0.35">
      <c r="B50" s="11" t="s">
        <v>171</v>
      </c>
      <c r="C50" s="12" t="s">
        <v>13</v>
      </c>
      <c r="D50" s="12" t="s">
        <v>18</v>
      </c>
      <c r="E50" s="12" t="s">
        <v>17</v>
      </c>
      <c r="F50" s="12" t="s">
        <v>19</v>
      </c>
      <c r="G50" s="12" t="s">
        <v>52</v>
      </c>
      <c r="H50" s="12" t="s">
        <v>33</v>
      </c>
      <c r="I50" s="12" t="s">
        <v>34</v>
      </c>
      <c r="J50" s="12" t="s">
        <v>35</v>
      </c>
      <c r="K50" s="12" t="s">
        <v>121</v>
      </c>
      <c r="L50" s="13" t="s">
        <v>122</v>
      </c>
    </row>
    <row r="51" spans="2:12" x14ac:dyDescent="0.3">
      <c r="B51" s="58" t="s">
        <v>13</v>
      </c>
      <c r="C51">
        <v>244</v>
      </c>
      <c r="D51">
        <v>91</v>
      </c>
      <c r="E51">
        <v>36</v>
      </c>
      <c r="F51">
        <v>6</v>
      </c>
      <c r="G51">
        <v>1</v>
      </c>
      <c r="I51">
        <v>1</v>
      </c>
      <c r="K51">
        <v>39</v>
      </c>
      <c r="L51" s="5">
        <v>418</v>
      </c>
    </row>
    <row r="52" spans="2:12" x14ac:dyDescent="0.3">
      <c r="B52" s="58" t="s">
        <v>18</v>
      </c>
      <c r="C52">
        <v>68</v>
      </c>
      <c r="D52">
        <v>81</v>
      </c>
      <c r="E52">
        <v>46</v>
      </c>
      <c r="F52">
        <v>12</v>
      </c>
      <c r="G52">
        <v>5</v>
      </c>
      <c r="H52">
        <v>2</v>
      </c>
      <c r="I52">
        <v>1</v>
      </c>
      <c r="K52">
        <v>26</v>
      </c>
      <c r="L52" s="5">
        <v>241</v>
      </c>
    </row>
    <row r="53" spans="2:12" x14ac:dyDescent="0.3">
      <c r="B53" s="58" t="s">
        <v>17</v>
      </c>
      <c r="C53">
        <v>23</v>
      </c>
      <c r="D53">
        <v>37</v>
      </c>
      <c r="E53">
        <v>48</v>
      </c>
      <c r="F53">
        <v>17</v>
      </c>
      <c r="G53">
        <v>1</v>
      </c>
      <c r="J53">
        <v>1</v>
      </c>
      <c r="K53">
        <v>8</v>
      </c>
      <c r="L53" s="5">
        <v>135</v>
      </c>
    </row>
    <row r="54" spans="2:12" x14ac:dyDescent="0.3">
      <c r="B54" s="58" t="s">
        <v>19</v>
      </c>
      <c r="C54">
        <v>7</v>
      </c>
      <c r="D54">
        <v>11</v>
      </c>
      <c r="E54">
        <v>17</v>
      </c>
      <c r="F54">
        <v>17</v>
      </c>
      <c r="G54">
        <v>12</v>
      </c>
      <c r="H54">
        <v>4</v>
      </c>
      <c r="J54">
        <v>5</v>
      </c>
      <c r="K54">
        <v>6</v>
      </c>
      <c r="L54" s="5">
        <v>79</v>
      </c>
    </row>
    <row r="55" spans="2:12" x14ac:dyDescent="0.3">
      <c r="B55" s="58" t="s">
        <v>52</v>
      </c>
      <c r="D55">
        <v>1</v>
      </c>
      <c r="E55">
        <v>6</v>
      </c>
      <c r="F55">
        <v>9</v>
      </c>
      <c r="G55">
        <v>3</v>
      </c>
      <c r="H55">
        <v>2</v>
      </c>
      <c r="I55">
        <v>2</v>
      </c>
      <c r="J55">
        <v>1</v>
      </c>
      <c r="K55">
        <v>5</v>
      </c>
      <c r="L55" s="5">
        <v>29</v>
      </c>
    </row>
    <row r="56" spans="2:12" x14ac:dyDescent="0.3">
      <c r="B56" s="58" t="s">
        <v>33</v>
      </c>
      <c r="F56">
        <v>5</v>
      </c>
      <c r="G56">
        <v>3</v>
      </c>
      <c r="H56">
        <v>7</v>
      </c>
      <c r="I56">
        <v>2</v>
      </c>
      <c r="J56">
        <v>4</v>
      </c>
      <c r="K56">
        <v>1</v>
      </c>
      <c r="L56" s="5">
        <v>22</v>
      </c>
    </row>
    <row r="57" spans="2:12" x14ac:dyDescent="0.3">
      <c r="B57" s="58" t="s">
        <v>34</v>
      </c>
      <c r="F57">
        <v>1</v>
      </c>
      <c r="H57">
        <v>1</v>
      </c>
      <c r="I57">
        <v>2</v>
      </c>
      <c r="J57">
        <v>4</v>
      </c>
      <c r="K57">
        <v>3</v>
      </c>
      <c r="L57" s="5">
        <v>11</v>
      </c>
    </row>
    <row r="58" spans="2:12" x14ac:dyDescent="0.3">
      <c r="B58" s="58" t="s">
        <v>35</v>
      </c>
      <c r="J58">
        <v>1</v>
      </c>
      <c r="K58">
        <v>25</v>
      </c>
      <c r="L58" s="5">
        <v>26</v>
      </c>
    </row>
    <row r="59" spans="2:12" x14ac:dyDescent="0.3">
      <c r="B59" s="58" t="s">
        <v>121</v>
      </c>
      <c r="L59" s="5"/>
    </row>
    <row r="60" spans="2:12" ht="15" thickBot="1" x14ac:dyDescent="0.35">
      <c r="B60" s="68" t="s">
        <v>122</v>
      </c>
      <c r="C60" s="7">
        <v>342</v>
      </c>
      <c r="D60" s="7">
        <v>221</v>
      </c>
      <c r="E60" s="7">
        <v>153</v>
      </c>
      <c r="F60" s="7">
        <v>67</v>
      </c>
      <c r="G60" s="7">
        <v>25</v>
      </c>
      <c r="H60" s="7">
        <v>16</v>
      </c>
      <c r="I60" s="7">
        <v>8</v>
      </c>
      <c r="J60" s="7">
        <v>16</v>
      </c>
      <c r="K60" s="7">
        <v>113</v>
      </c>
      <c r="L60" s="8">
        <v>961</v>
      </c>
    </row>
    <row r="62" spans="2:12" ht="15" thickBot="1" x14ac:dyDescent="0.35"/>
    <row r="63" spans="2:12" ht="15" thickBot="1" x14ac:dyDescent="0.35">
      <c r="B63" s="71" t="s">
        <v>174</v>
      </c>
      <c r="C63" s="72"/>
      <c r="D63" s="72"/>
      <c r="E63" s="72"/>
      <c r="F63" s="72"/>
      <c r="G63" s="72"/>
      <c r="H63" s="72"/>
      <c r="I63" s="72"/>
      <c r="J63" s="29"/>
    </row>
    <row r="64" spans="2:12" ht="15" thickBot="1" x14ac:dyDescent="0.35">
      <c r="B64" s="9" t="s">
        <v>129</v>
      </c>
      <c r="C64" s="64" t="s">
        <v>130</v>
      </c>
      <c r="D64" s="2"/>
      <c r="E64" s="2"/>
      <c r="F64" s="2"/>
      <c r="G64" s="2"/>
      <c r="H64" s="2"/>
      <c r="I64" s="2"/>
      <c r="J64" s="2"/>
      <c r="K64" s="2"/>
      <c r="L64" s="3"/>
    </row>
    <row r="65" spans="2:12" ht="15" thickBot="1" x14ac:dyDescent="0.35">
      <c r="B65" s="11" t="s">
        <v>171</v>
      </c>
      <c r="C65" s="12" t="s">
        <v>13</v>
      </c>
      <c r="D65" s="12" t="s">
        <v>18</v>
      </c>
      <c r="E65" s="12" t="s">
        <v>17</v>
      </c>
      <c r="F65" s="12" t="s">
        <v>19</v>
      </c>
      <c r="G65" s="12" t="s">
        <v>52</v>
      </c>
      <c r="H65" s="12" t="s">
        <v>33</v>
      </c>
      <c r="I65" s="12" t="s">
        <v>34</v>
      </c>
      <c r="J65" s="12" t="s">
        <v>35</v>
      </c>
      <c r="K65" s="12" t="s">
        <v>121</v>
      </c>
      <c r="L65" s="13" t="s">
        <v>122</v>
      </c>
    </row>
    <row r="66" spans="2:12" x14ac:dyDescent="0.3">
      <c r="B66" s="58" t="s">
        <v>13</v>
      </c>
      <c r="C66">
        <v>224</v>
      </c>
      <c r="D66">
        <v>146</v>
      </c>
      <c r="E66">
        <v>57</v>
      </c>
      <c r="F66">
        <v>12</v>
      </c>
      <c r="G66">
        <v>1</v>
      </c>
      <c r="H66">
        <v>1</v>
      </c>
      <c r="I66">
        <v>1</v>
      </c>
      <c r="K66">
        <v>51</v>
      </c>
      <c r="L66" s="5">
        <v>493</v>
      </c>
    </row>
    <row r="67" spans="2:12" x14ac:dyDescent="0.3">
      <c r="B67" s="58" t="s">
        <v>18</v>
      </c>
      <c r="C67">
        <v>74</v>
      </c>
      <c r="D67">
        <v>128</v>
      </c>
      <c r="E67">
        <v>76</v>
      </c>
      <c r="F67">
        <v>37</v>
      </c>
      <c r="G67">
        <v>6</v>
      </c>
      <c r="H67">
        <v>2</v>
      </c>
      <c r="I67">
        <v>3</v>
      </c>
      <c r="K67">
        <v>21</v>
      </c>
      <c r="L67" s="5">
        <v>347</v>
      </c>
    </row>
    <row r="68" spans="2:12" x14ac:dyDescent="0.3">
      <c r="B68" s="58" t="s">
        <v>17</v>
      </c>
      <c r="C68">
        <v>22</v>
      </c>
      <c r="D68">
        <v>42</v>
      </c>
      <c r="E68">
        <v>87</v>
      </c>
      <c r="F68">
        <v>37</v>
      </c>
      <c r="G68">
        <v>9</v>
      </c>
      <c r="H68">
        <v>2</v>
      </c>
      <c r="K68">
        <v>18</v>
      </c>
      <c r="L68" s="5">
        <v>217</v>
      </c>
    </row>
    <row r="69" spans="2:12" x14ac:dyDescent="0.3">
      <c r="B69" s="58" t="s">
        <v>19</v>
      </c>
      <c r="C69">
        <v>3</v>
      </c>
      <c r="D69">
        <v>14</v>
      </c>
      <c r="E69">
        <v>21</v>
      </c>
      <c r="F69">
        <v>32</v>
      </c>
      <c r="G69">
        <v>15</v>
      </c>
      <c r="H69">
        <v>3</v>
      </c>
      <c r="J69">
        <v>2</v>
      </c>
      <c r="K69">
        <v>8</v>
      </c>
      <c r="L69" s="5">
        <v>98</v>
      </c>
    </row>
    <row r="70" spans="2:12" x14ac:dyDescent="0.3">
      <c r="B70" s="58" t="s">
        <v>52</v>
      </c>
      <c r="D70">
        <v>3</v>
      </c>
      <c r="E70">
        <v>2</v>
      </c>
      <c r="F70">
        <v>6</v>
      </c>
      <c r="G70">
        <v>15</v>
      </c>
      <c r="H70">
        <v>5</v>
      </c>
      <c r="J70">
        <v>1</v>
      </c>
      <c r="K70">
        <v>2</v>
      </c>
      <c r="L70" s="5">
        <v>34</v>
      </c>
    </row>
    <row r="71" spans="2:12" x14ac:dyDescent="0.3">
      <c r="B71" s="58" t="s">
        <v>33</v>
      </c>
      <c r="E71">
        <v>2</v>
      </c>
      <c r="F71">
        <v>1</v>
      </c>
      <c r="G71">
        <v>1</v>
      </c>
      <c r="H71">
        <v>6</v>
      </c>
      <c r="J71">
        <v>5</v>
      </c>
      <c r="K71">
        <v>2</v>
      </c>
      <c r="L71" s="5">
        <v>17</v>
      </c>
    </row>
    <row r="72" spans="2:12" x14ac:dyDescent="0.3">
      <c r="B72" s="58" t="s">
        <v>34</v>
      </c>
      <c r="G72">
        <v>2</v>
      </c>
      <c r="H72">
        <v>2</v>
      </c>
      <c r="I72">
        <v>1</v>
      </c>
      <c r="J72">
        <v>2</v>
      </c>
      <c r="K72">
        <v>2</v>
      </c>
      <c r="L72" s="5">
        <v>9</v>
      </c>
    </row>
    <row r="73" spans="2:12" x14ac:dyDescent="0.3">
      <c r="B73" s="58" t="s">
        <v>35</v>
      </c>
      <c r="J73">
        <v>1</v>
      </c>
      <c r="K73">
        <v>15</v>
      </c>
      <c r="L73" s="5">
        <v>16</v>
      </c>
    </row>
    <row r="74" spans="2:12" x14ac:dyDescent="0.3">
      <c r="B74" s="58" t="s">
        <v>121</v>
      </c>
      <c r="L74" s="5"/>
    </row>
    <row r="75" spans="2:12" ht="15" thickBot="1" x14ac:dyDescent="0.35">
      <c r="B75" s="68" t="s">
        <v>122</v>
      </c>
      <c r="C75" s="7">
        <v>323</v>
      </c>
      <c r="D75" s="7">
        <v>333</v>
      </c>
      <c r="E75" s="7">
        <v>245</v>
      </c>
      <c r="F75" s="7">
        <v>125</v>
      </c>
      <c r="G75" s="7">
        <v>49</v>
      </c>
      <c r="H75" s="7">
        <v>21</v>
      </c>
      <c r="I75" s="7">
        <v>5</v>
      </c>
      <c r="J75" s="7">
        <v>11</v>
      </c>
      <c r="K75" s="7">
        <v>119</v>
      </c>
      <c r="L75" s="8">
        <v>1231</v>
      </c>
    </row>
    <row r="77" spans="2:12" ht="15" thickBot="1" x14ac:dyDescent="0.35"/>
    <row r="78" spans="2:12" ht="15" thickBot="1" x14ac:dyDescent="0.35">
      <c r="B78" s="71" t="s">
        <v>173</v>
      </c>
      <c r="C78" s="72"/>
      <c r="D78" s="72"/>
      <c r="E78" s="72"/>
      <c r="F78" s="72"/>
      <c r="G78" s="72"/>
      <c r="H78" s="72"/>
      <c r="I78" s="72"/>
      <c r="J78" s="29"/>
    </row>
    <row r="79" spans="2:12" ht="15" thickBot="1" x14ac:dyDescent="0.35">
      <c r="B79" s="67" t="s">
        <v>131</v>
      </c>
      <c r="C79" s="66" t="s">
        <v>132</v>
      </c>
      <c r="D79" s="2"/>
      <c r="E79" s="2"/>
      <c r="F79" s="2"/>
      <c r="G79" s="2"/>
      <c r="H79" s="2"/>
      <c r="I79" s="2"/>
      <c r="J79" s="2"/>
      <c r="K79" s="2"/>
      <c r="L79" s="3"/>
    </row>
    <row r="80" spans="2:12" ht="15" thickBot="1" x14ac:dyDescent="0.35">
      <c r="B80" s="63" t="s">
        <v>171</v>
      </c>
      <c r="C80" s="12" t="s">
        <v>13</v>
      </c>
      <c r="D80" s="12" t="s">
        <v>18</v>
      </c>
      <c r="E80" s="12" t="s">
        <v>17</v>
      </c>
      <c r="F80" s="12" t="s">
        <v>19</v>
      </c>
      <c r="G80" s="12" t="s">
        <v>52</v>
      </c>
      <c r="H80" s="12" t="s">
        <v>33</v>
      </c>
      <c r="I80" s="12" t="s">
        <v>34</v>
      </c>
      <c r="J80" s="12" t="s">
        <v>35</v>
      </c>
      <c r="K80" s="12" t="s">
        <v>121</v>
      </c>
      <c r="L80" s="13" t="s">
        <v>122</v>
      </c>
    </row>
    <row r="81" spans="2:12" x14ac:dyDescent="0.3">
      <c r="B81" s="58" t="s">
        <v>13</v>
      </c>
      <c r="C81">
        <v>183</v>
      </c>
      <c r="D81">
        <v>98</v>
      </c>
      <c r="E81">
        <v>60</v>
      </c>
      <c r="F81">
        <v>10</v>
      </c>
      <c r="G81">
        <v>2</v>
      </c>
      <c r="H81">
        <v>1</v>
      </c>
      <c r="J81">
        <v>1</v>
      </c>
      <c r="K81">
        <v>66</v>
      </c>
      <c r="L81" s="5">
        <v>421</v>
      </c>
    </row>
    <row r="82" spans="2:12" x14ac:dyDescent="0.3">
      <c r="B82" s="58" t="s">
        <v>18</v>
      </c>
      <c r="C82">
        <v>96</v>
      </c>
      <c r="D82">
        <v>161</v>
      </c>
      <c r="E82">
        <v>82</v>
      </c>
      <c r="F82">
        <v>29</v>
      </c>
      <c r="G82">
        <v>7</v>
      </c>
      <c r="H82">
        <v>1</v>
      </c>
      <c r="I82">
        <v>1</v>
      </c>
      <c r="J82">
        <v>1</v>
      </c>
      <c r="K82">
        <v>56</v>
      </c>
      <c r="L82" s="5">
        <v>434</v>
      </c>
    </row>
    <row r="83" spans="2:12" x14ac:dyDescent="0.3">
      <c r="B83" s="58" t="s">
        <v>17</v>
      </c>
      <c r="C83">
        <v>46</v>
      </c>
      <c r="D83">
        <v>70</v>
      </c>
      <c r="E83">
        <v>99</v>
      </c>
      <c r="F83">
        <v>41</v>
      </c>
      <c r="G83">
        <v>7</v>
      </c>
      <c r="I83">
        <v>1</v>
      </c>
      <c r="J83">
        <v>3</v>
      </c>
      <c r="K83">
        <v>48</v>
      </c>
      <c r="L83" s="5">
        <v>315</v>
      </c>
    </row>
    <row r="84" spans="2:12" x14ac:dyDescent="0.3">
      <c r="B84" s="58" t="s">
        <v>19</v>
      </c>
      <c r="C84">
        <v>7</v>
      </c>
      <c r="D84">
        <v>15</v>
      </c>
      <c r="E84">
        <v>34</v>
      </c>
      <c r="F84">
        <v>42</v>
      </c>
      <c r="G84">
        <v>21</v>
      </c>
      <c r="H84">
        <v>2</v>
      </c>
      <c r="J84">
        <v>5</v>
      </c>
      <c r="K84">
        <v>25</v>
      </c>
      <c r="L84" s="5">
        <v>151</v>
      </c>
    </row>
    <row r="85" spans="2:12" x14ac:dyDescent="0.3">
      <c r="B85" s="58" t="s">
        <v>52</v>
      </c>
      <c r="C85">
        <v>1</v>
      </c>
      <c r="D85">
        <v>2</v>
      </c>
      <c r="E85">
        <v>4</v>
      </c>
      <c r="F85">
        <v>15</v>
      </c>
      <c r="G85">
        <v>12</v>
      </c>
      <c r="H85">
        <v>3</v>
      </c>
      <c r="I85">
        <v>3</v>
      </c>
      <c r="J85">
        <v>6</v>
      </c>
      <c r="K85">
        <v>7</v>
      </c>
      <c r="L85" s="5">
        <v>53</v>
      </c>
    </row>
    <row r="86" spans="2:12" x14ac:dyDescent="0.3">
      <c r="B86" s="58" t="s">
        <v>33</v>
      </c>
      <c r="F86">
        <v>1</v>
      </c>
      <c r="H86">
        <v>6</v>
      </c>
      <c r="I86">
        <v>1</v>
      </c>
      <c r="J86">
        <v>8</v>
      </c>
      <c r="K86">
        <v>5</v>
      </c>
      <c r="L86" s="5">
        <v>21</v>
      </c>
    </row>
    <row r="87" spans="2:12" x14ac:dyDescent="0.3">
      <c r="B87" s="58" t="s">
        <v>34</v>
      </c>
      <c r="D87">
        <v>1</v>
      </c>
      <c r="I87">
        <v>1</v>
      </c>
      <c r="J87">
        <v>1</v>
      </c>
      <c r="K87">
        <v>3</v>
      </c>
      <c r="L87" s="5">
        <v>6</v>
      </c>
    </row>
    <row r="88" spans="2:12" x14ac:dyDescent="0.3">
      <c r="B88" s="58" t="s">
        <v>35</v>
      </c>
      <c r="K88">
        <v>12</v>
      </c>
      <c r="L88" s="5">
        <v>12</v>
      </c>
    </row>
    <row r="89" spans="2:12" x14ac:dyDescent="0.3">
      <c r="B89" s="58" t="s">
        <v>121</v>
      </c>
      <c r="L89" s="5"/>
    </row>
    <row r="90" spans="2:12" ht="15" thickBot="1" x14ac:dyDescent="0.35">
      <c r="B90" s="68" t="s">
        <v>122</v>
      </c>
      <c r="C90" s="7">
        <v>333</v>
      </c>
      <c r="D90" s="7">
        <v>347</v>
      </c>
      <c r="E90" s="7">
        <v>279</v>
      </c>
      <c r="F90" s="7">
        <v>138</v>
      </c>
      <c r="G90" s="7">
        <v>49</v>
      </c>
      <c r="H90" s="7">
        <v>13</v>
      </c>
      <c r="I90" s="7">
        <v>7</v>
      </c>
      <c r="J90" s="7">
        <v>25</v>
      </c>
      <c r="K90" s="7">
        <v>222</v>
      </c>
      <c r="L90" s="8">
        <v>1413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2:AB51"/>
  <sheetViews>
    <sheetView zoomScaleNormal="100" workbookViewId="0">
      <selection activeCell="K38" sqref="K38"/>
    </sheetView>
  </sheetViews>
  <sheetFormatPr defaultColWidth="8.77734375" defaultRowHeight="14.4" x14ac:dyDescent="0.3"/>
  <cols>
    <col min="1" max="1" width="3.21875" customWidth="1"/>
    <col min="2" max="2" width="12.77734375" bestFit="1" customWidth="1"/>
    <col min="3" max="3" width="5.77734375" bestFit="1" customWidth="1"/>
    <col min="4" max="12" width="12.6640625" bestFit="1" customWidth="1"/>
    <col min="14" max="14" width="8.109375" customWidth="1"/>
    <col min="15" max="15" width="8" customWidth="1"/>
    <col min="16" max="19" width="12.6640625" bestFit="1" customWidth="1"/>
    <col min="20" max="20" width="17.33203125" bestFit="1" customWidth="1"/>
    <col min="21" max="25" width="12.6640625" bestFit="1" customWidth="1"/>
    <col min="26" max="26" width="20.109375" bestFit="1" customWidth="1"/>
    <col min="27" max="27" width="14.44140625" bestFit="1" customWidth="1"/>
    <col min="28" max="28" width="12.109375" bestFit="1" customWidth="1"/>
    <col min="30" max="30" width="17" bestFit="1" customWidth="1"/>
    <col min="31" max="33" width="12" bestFit="1" customWidth="1"/>
    <col min="34" max="35" width="12.6640625" bestFit="1" customWidth="1"/>
    <col min="36" max="36" width="20.109375" bestFit="1" customWidth="1"/>
    <col min="37" max="38" width="12" bestFit="1" customWidth="1"/>
  </cols>
  <sheetData>
    <row r="2" spans="2:28" ht="15" thickBot="1" x14ac:dyDescent="0.35"/>
    <row r="3" spans="2:28" ht="15" thickBot="1" x14ac:dyDescent="0.35">
      <c r="B3" s="1" t="s">
        <v>134</v>
      </c>
      <c r="D3" s="89" t="s">
        <v>135</v>
      </c>
      <c r="T3" s="26" t="s">
        <v>133</v>
      </c>
    </row>
    <row r="4" spans="2:28" ht="15" thickBot="1" x14ac:dyDescent="0.35">
      <c r="C4" s="14"/>
      <c r="D4" s="15" t="s">
        <v>136</v>
      </c>
      <c r="E4" s="15" t="s">
        <v>137</v>
      </c>
      <c r="F4" s="15" t="s">
        <v>138</v>
      </c>
      <c r="G4" s="15" t="s">
        <v>139</v>
      </c>
      <c r="H4" s="15" t="s">
        <v>140</v>
      </c>
      <c r="I4" s="15" t="s">
        <v>141</v>
      </c>
      <c r="J4" s="15" t="s">
        <v>142</v>
      </c>
      <c r="K4" s="15" t="s">
        <v>143</v>
      </c>
      <c r="L4" s="16" t="s">
        <v>144</v>
      </c>
      <c r="T4" s="14"/>
      <c r="U4" s="30" t="s">
        <v>0</v>
      </c>
      <c r="V4" s="31" t="s">
        <v>165</v>
      </c>
      <c r="W4" s="31" t="s">
        <v>1</v>
      </c>
      <c r="X4" s="31" t="s">
        <v>166</v>
      </c>
      <c r="Y4" s="31" t="s">
        <v>167</v>
      </c>
      <c r="Z4" s="31" t="s">
        <v>162</v>
      </c>
      <c r="AA4" s="31" t="s">
        <v>164</v>
      </c>
      <c r="AB4" s="32" t="s">
        <v>163</v>
      </c>
    </row>
    <row r="5" spans="2:28" ht="15" thickBot="1" x14ac:dyDescent="0.35">
      <c r="B5" s="89" t="s">
        <v>146</v>
      </c>
      <c r="C5" s="17" t="s">
        <v>136</v>
      </c>
      <c r="D5" s="50">
        <v>0.84593245057699018</v>
      </c>
      <c r="E5" s="19">
        <v>0.13526081071329771</v>
      </c>
      <c r="F5" s="19">
        <v>1.7634933575609638E-2</v>
      </c>
      <c r="G5" s="19">
        <v>1.0614946948816759E-3</v>
      </c>
      <c r="H5" s="52">
        <v>3.052972857575378E-6</v>
      </c>
      <c r="I5" s="52">
        <v>2.0331634657829742E-6</v>
      </c>
      <c r="J5" s="52">
        <v>1.015922499297455E-6</v>
      </c>
      <c r="K5" s="52">
        <v>0</v>
      </c>
      <c r="L5" s="54">
        <v>1.0420838039818509E-4</v>
      </c>
      <c r="N5" s="44" t="s">
        <v>147</v>
      </c>
      <c r="O5" s="45" t="s">
        <v>140</v>
      </c>
      <c r="T5" s="27" t="s">
        <v>144</v>
      </c>
      <c r="U5" s="33">
        <f>VLOOKUP($O$5,$C$5:$L$13,10,0)</f>
        <v>1.8065764243327859E-2</v>
      </c>
      <c r="V5" s="34">
        <f>U5</f>
        <v>1.8065764243327859E-2</v>
      </c>
      <c r="W5" s="35">
        <v>0</v>
      </c>
      <c r="X5" s="35">
        <f>NORMSINV(W5+0.0000000000000001)</f>
        <v>-8.2220822161304348</v>
      </c>
      <c r="Y5" s="35">
        <f>X6</f>
        <v>-2.0954441479813561</v>
      </c>
      <c r="Z5" s="35" t="s">
        <v>145</v>
      </c>
      <c r="AA5" s="34">
        <f>_xlfn.NORM.S.DIST(Y5,TRUE)-NORMSDIST(X5)</f>
        <v>1.8065764243327773E-2</v>
      </c>
      <c r="AB5" s="41">
        <f t="shared" ref="AB5:AB13" si="0">_xlfn.NORM.S.DIST((Y5-(SQRT($O$7)*$O$6))/SQRT(1-$O$7),TRUE)-_xlfn.NORM.S.DIST((X5-(SQRT($O$7)*$O$6))/SQRT(1-$O$7),TRUE)</f>
        <v>8.9671970358119163E-2</v>
      </c>
    </row>
    <row r="6" spans="2:28" x14ac:dyDescent="0.3">
      <c r="C6" s="17" t="s">
        <v>137</v>
      </c>
      <c r="D6" s="19">
        <v>8.1713356113823965E-2</v>
      </c>
      <c r="E6" s="50">
        <v>0.75063939554076642</v>
      </c>
      <c r="F6" s="19">
        <v>0.1397250210056929</v>
      </c>
      <c r="G6" s="19">
        <v>1.5027797002055209E-2</v>
      </c>
      <c r="H6" s="19">
        <v>9.6043659066310828E-3</v>
      </c>
      <c r="I6" s="19">
        <v>1.6289746669298419E-3</v>
      </c>
      <c r="J6" s="19">
        <v>6.1713613397621446E-4</v>
      </c>
      <c r="K6" s="19">
        <v>6.0757249712608326E-4</v>
      </c>
      <c r="L6" s="20">
        <v>4.3638113299824209E-4</v>
      </c>
      <c r="N6" s="95" t="s">
        <v>149</v>
      </c>
      <c r="O6" s="96">
        <v>-2</v>
      </c>
      <c r="T6" s="27" t="s">
        <v>143</v>
      </c>
      <c r="U6" s="33">
        <f>VLOOKUP($O$5,$C$5:$L$13,9,0)</f>
        <v>1.451548943907174E-2</v>
      </c>
      <c r="V6" s="34">
        <f t="shared" ref="V6:V13" si="1">U6+V5</f>
        <v>3.25812536823996E-2</v>
      </c>
      <c r="W6" s="36">
        <f>V5</f>
        <v>1.8065764243327859E-2</v>
      </c>
      <c r="X6" s="35">
        <f>NORMSINV(W6)</f>
        <v>-2.0954441479813561</v>
      </c>
      <c r="Y6" s="35">
        <f t="shared" ref="Y6:Y12" si="2">X7</f>
        <v>-1.8441415952531719</v>
      </c>
      <c r="Z6" s="35" t="s">
        <v>148</v>
      </c>
      <c r="AA6" s="34">
        <f>_xlfn.NORM.S.DIST(Y6,TRUE)-NORMSDIST(X6)</f>
        <v>1.4515489439071726E-2</v>
      </c>
      <c r="AB6" s="41">
        <f t="shared" si="0"/>
        <v>5.4488326839702991E-2</v>
      </c>
    </row>
    <row r="7" spans="2:28" ht="15" thickBot="1" x14ac:dyDescent="0.35">
      <c r="C7" s="17" t="s">
        <v>138</v>
      </c>
      <c r="D7" s="19">
        <v>5.7406409653707228E-4</v>
      </c>
      <c r="E7" s="19">
        <v>4.0376887765088437E-2</v>
      </c>
      <c r="F7" s="50">
        <v>0.7173043772570874</v>
      </c>
      <c r="G7" s="19">
        <v>0.157948063496997</v>
      </c>
      <c r="H7" s="19">
        <v>5.2891551732095643E-2</v>
      </c>
      <c r="I7" s="19">
        <v>1.6768922110253319E-2</v>
      </c>
      <c r="J7" s="19">
        <v>3.8629972521973888E-3</v>
      </c>
      <c r="K7" s="19">
        <v>3.3210768720185351E-3</v>
      </c>
      <c r="L7" s="20">
        <v>6.952059417725193E-3</v>
      </c>
      <c r="N7" s="97" t="s">
        <v>151</v>
      </c>
      <c r="O7" s="98">
        <v>0.2</v>
      </c>
      <c r="T7" s="27" t="s">
        <v>142</v>
      </c>
      <c r="U7" s="33">
        <f>VLOOKUP($O$5,$C$5:$L$13,8,0)</f>
        <v>3.1338865603598311E-2</v>
      </c>
      <c r="V7" s="34">
        <f t="shared" si="1"/>
        <v>6.3920119285997917E-2</v>
      </c>
      <c r="W7" s="36">
        <f t="shared" ref="W7:W13" si="3">V6</f>
        <v>3.25812536823996E-2</v>
      </c>
      <c r="X7" s="35">
        <f t="shared" ref="X7:X13" si="4">NORMSINV(W7)</f>
        <v>-1.8441415952531719</v>
      </c>
      <c r="Y7" s="35">
        <f t="shared" si="2"/>
        <v>-1.5226741890235107</v>
      </c>
      <c r="Z7" s="35" t="s">
        <v>150</v>
      </c>
      <c r="AA7" s="34">
        <f t="shared" ref="AA7:AA13" si="5">_xlfn.NORM.S.DIST(Y7,TRUE)-NORMSDIST(X7)</f>
        <v>3.1338865603598332E-2</v>
      </c>
      <c r="AB7" s="41">
        <f t="shared" si="0"/>
        <v>9.7054108759797392E-2</v>
      </c>
    </row>
    <row r="8" spans="2:28" x14ac:dyDescent="0.3">
      <c r="C8" s="17" t="s">
        <v>139</v>
      </c>
      <c r="D8" s="19">
        <v>6.0851124612617328E-5</v>
      </c>
      <c r="E8" s="19">
        <v>4.9911175076281147E-3</v>
      </c>
      <c r="F8" s="19">
        <v>0.22100362129837681</v>
      </c>
      <c r="G8" s="50">
        <v>0.55273755564565874</v>
      </c>
      <c r="H8" s="19">
        <v>0.1486576831475466</v>
      </c>
      <c r="I8" s="19">
        <v>4.5395995535719387E-2</v>
      </c>
      <c r="J8" s="19">
        <v>9.9216112665982143E-3</v>
      </c>
      <c r="K8" s="19">
        <v>7.4500902209508751E-3</v>
      </c>
      <c r="L8" s="20">
        <v>9.781474252908505E-3</v>
      </c>
      <c r="O8" t="s">
        <v>153</v>
      </c>
      <c r="T8" s="27" t="s">
        <v>141</v>
      </c>
      <c r="U8" s="33">
        <f>VLOOKUP($O$5,$C$5:$L$13,7,0)</f>
        <v>0.11189157395445901</v>
      </c>
      <c r="V8" s="34">
        <f t="shared" si="1"/>
        <v>0.17581169324045692</v>
      </c>
      <c r="W8" s="36">
        <f t="shared" si="3"/>
        <v>6.3920119285997917E-2</v>
      </c>
      <c r="X8" s="35">
        <f t="shared" si="4"/>
        <v>-1.5226741890235107</v>
      </c>
      <c r="Y8" s="35">
        <f t="shared" si="2"/>
        <v>-0.93144506957566819</v>
      </c>
      <c r="Z8" s="35" t="s">
        <v>152</v>
      </c>
      <c r="AA8" s="34">
        <f t="shared" si="5"/>
        <v>0.11189157395445888</v>
      </c>
      <c r="AB8" s="41">
        <f t="shared" si="0"/>
        <v>0.24227918401931609</v>
      </c>
    </row>
    <row r="9" spans="2:28" x14ac:dyDescent="0.3">
      <c r="C9" s="17" t="s">
        <v>140</v>
      </c>
      <c r="D9" s="52">
        <v>1.4436745538115949E-6</v>
      </c>
      <c r="E9" s="19">
        <v>2.091668790351579E-3</v>
      </c>
      <c r="F9" s="19">
        <v>0.1038112122380392</v>
      </c>
      <c r="G9" s="19">
        <v>0.20133716854476011</v>
      </c>
      <c r="H9" s="50">
        <v>0.51694681351183835</v>
      </c>
      <c r="I9" s="19">
        <v>0.11189157395445901</v>
      </c>
      <c r="J9" s="19">
        <v>3.1338865603598311E-2</v>
      </c>
      <c r="K9" s="19">
        <v>1.451548943907174E-2</v>
      </c>
      <c r="L9" s="20">
        <v>1.8065764243327859E-2</v>
      </c>
      <c r="T9" s="27" t="s">
        <v>140</v>
      </c>
      <c r="U9" s="33">
        <f>VLOOKUP($O$5,$C$5:$L$13,6,0)</f>
        <v>0.51694681351183835</v>
      </c>
      <c r="V9" s="34">
        <f t="shared" si="1"/>
        <v>0.69275850675229522</v>
      </c>
      <c r="W9" s="36">
        <f t="shared" si="3"/>
        <v>0.17581169324045692</v>
      </c>
      <c r="X9" s="35">
        <f t="shared" si="4"/>
        <v>-0.93144506957566819</v>
      </c>
      <c r="Y9" s="35">
        <f t="shared" si="2"/>
        <v>0.50368466461622685</v>
      </c>
      <c r="Z9" s="35" t="s">
        <v>154</v>
      </c>
      <c r="AA9" s="34">
        <f t="shared" si="5"/>
        <v>0.51694681351183847</v>
      </c>
      <c r="AB9" s="41">
        <f t="shared" si="0"/>
        <v>0.45749617277080495</v>
      </c>
    </row>
    <row r="10" spans="2:28" x14ac:dyDescent="0.3">
      <c r="C10" s="17" t="s">
        <v>141</v>
      </c>
      <c r="D10" s="52">
        <v>9.1730141865606942E-7</v>
      </c>
      <c r="E10" s="19">
        <v>1.5147281250887021E-3</v>
      </c>
      <c r="F10" s="19">
        <v>4.8281611231924461E-2</v>
      </c>
      <c r="G10" s="19">
        <v>0.1108997410171544</v>
      </c>
      <c r="H10" s="19">
        <v>0.17843465112746201</v>
      </c>
      <c r="I10" s="50">
        <v>0.51607193086975944</v>
      </c>
      <c r="J10" s="19">
        <v>6.4838544045576846E-2</v>
      </c>
      <c r="K10" s="19">
        <v>3.7465130413788558E-2</v>
      </c>
      <c r="L10" s="20">
        <v>4.2492745867826691E-2</v>
      </c>
      <c r="T10" s="27" t="s">
        <v>139</v>
      </c>
      <c r="U10" s="33">
        <f>VLOOKUP($O$5,$C$5:$L$13,5,0)</f>
        <v>0.20133716854476011</v>
      </c>
      <c r="V10" s="34">
        <f t="shared" si="1"/>
        <v>0.89409567529705536</v>
      </c>
      <c r="W10" s="36">
        <f t="shared" si="3"/>
        <v>0.69275850675229522</v>
      </c>
      <c r="X10" s="35">
        <f t="shared" si="4"/>
        <v>0.50368466461622685</v>
      </c>
      <c r="Y10" s="35">
        <f t="shared" si="2"/>
        <v>1.248607550368509</v>
      </c>
      <c r="Z10" s="35" t="s">
        <v>155</v>
      </c>
      <c r="AA10" s="34">
        <f t="shared" si="5"/>
        <v>0.20133716854475991</v>
      </c>
      <c r="AB10" s="41">
        <f t="shared" si="0"/>
        <v>5.0722368305021193E-2</v>
      </c>
    </row>
    <row r="11" spans="2:28" x14ac:dyDescent="0.3">
      <c r="C11" s="17" t="s">
        <v>142</v>
      </c>
      <c r="D11" s="52">
        <v>4.2171863964141351E-7</v>
      </c>
      <c r="E11" s="19">
        <v>8.5782270477454466E-4</v>
      </c>
      <c r="F11" s="19">
        <v>4.8202129939342087E-2</v>
      </c>
      <c r="G11" s="19">
        <v>7.7564447818822935E-2</v>
      </c>
      <c r="H11" s="19">
        <v>0.10824078575912879</v>
      </c>
      <c r="I11" s="19">
        <v>0.14996152176547389</v>
      </c>
      <c r="J11" s="50">
        <v>0.45809872051501449</v>
      </c>
      <c r="K11" s="19">
        <v>8.7043072451485293E-2</v>
      </c>
      <c r="L11" s="20">
        <v>7.0031077327318281E-2</v>
      </c>
      <c r="T11" s="27" t="s">
        <v>138</v>
      </c>
      <c r="U11" s="33">
        <f>VLOOKUP($O$5,$C$5:$L$13,4,0)</f>
        <v>0.1038112122380392</v>
      </c>
      <c r="V11" s="34">
        <f t="shared" si="1"/>
        <v>0.9979068875350946</v>
      </c>
      <c r="W11" s="36">
        <f t="shared" si="3"/>
        <v>0.89409567529705536</v>
      </c>
      <c r="X11" s="35">
        <f t="shared" si="4"/>
        <v>1.248607550368509</v>
      </c>
      <c r="Y11" s="35">
        <f t="shared" si="2"/>
        <v>2.863777090515204</v>
      </c>
      <c r="Z11" s="35" t="s">
        <v>156</v>
      </c>
      <c r="AA11" s="34">
        <f t="shared" si="5"/>
        <v>0.10381121223803935</v>
      </c>
      <c r="AB11" s="41">
        <f t="shared" si="0"/>
        <v>8.2746289028660103E-3</v>
      </c>
    </row>
    <row r="12" spans="2:28" x14ac:dyDescent="0.3">
      <c r="C12" s="17" t="s">
        <v>143</v>
      </c>
      <c r="D12" s="52">
        <v>2.6245861586064209E-11</v>
      </c>
      <c r="E12" s="19">
        <v>8.5639952928050873E-4</v>
      </c>
      <c r="F12" s="19">
        <v>4.8200819581962782E-2</v>
      </c>
      <c r="G12" s="19">
        <v>6.3478950954243579E-2</v>
      </c>
      <c r="H12" s="19">
        <v>0.1086170499852569</v>
      </c>
      <c r="I12" s="19">
        <v>0.11212165371352981</v>
      </c>
      <c r="J12" s="19">
        <v>0.1101886175823855</v>
      </c>
      <c r="K12" s="50">
        <v>0.45046233110982559</v>
      </c>
      <c r="L12" s="20">
        <v>0.1060741775172695</v>
      </c>
      <c r="T12" s="27" t="s">
        <v>137</v>
      </c>
      <c r="U12" s="33">
        <f>VLOOKUP($O$5,$C$5:$L$13,3,0)</f>
        <v>2.091668790351579E-3</v>
      </c>
      <c r="V12" s="34">
        <f t="shared" si="1"/>
        <v>0.99999855632544621</v>
      </c>
      <c r="W12" s="36">
        <f t="shared" si="3"/>
        <v>0.9979068875350946</v>
      </c>
      <c r="X12" s="35">
        <f t="shared" si="4"/>
        <v>2.863777090515204</v>
      </c>
      <c r="Y12" s="35">
        <f t="shared" si="2"/>
        <v>4.6786748351235685</v>
      </c>
      <c r="Z12" s="35" t="s">
        <v>157</v>
      </c>
      <c r="AA12" s="34">
        <f t="shared" si="5"/>
        <v>2.0916687903516085E-3</v>
      </c>
      <c r="AB12" s="41">
        <f t="shared" si="0"/>
        <v>1.3239812516441241E-5</v>
      </c>
    </row>
    <row r="13" spans="2:28" ht="15" thickBot="1" x14ac:dyDescent="0.35">
      <c r="C13" s="18" t="s">
        <v>144</v>
      </c>
      <c r="D13" s="53">
        <v>0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1">
        <v>1</v>
      </c>
      <c r="T13" s="28" t="s">
        <v>136</v>
      </c>
      <c r="U13" s="37">
        <f>VLOOKUP($O$5,$C$5:$L$13,2,0)</f>
        <v>1.4436745538115949E-6</v>
      </c>
      <c r="V13" s="38">
        <f t="shared" si="1"/>
        <v>1</v>
      </c>
      <c r="W13" s="39">
        <f t="shared" si="3"/>
        <v>0.99999855632544621</v>
      </c>
      <c r="X13" s="40">
        <f t="shared" si="4"/>
        <v>4.6786748351235685</v>
      </c>
      <c r="Y13" s="40">
        <f>-X5</f>
        <v>8.2220822161304348</v>
      </c>
      <c r="Z13" s="40" t="s">
        <v>158</v>
      </c>
      <c r="AA13" s="38">
        <f t="shared" si="5"/>
        <v>1.4436745536805518E-6</v>
      </c>
      <c r="AB13" s="42">
        <f t="shared" si="0"/>
        <v>2.3185564579364382E-10</v>
      </c>
    </row>
    <row r="14" spans="2:28" ht="15" thickBot="1" x14ac:dyDescent="0.35"/>
    <row r="15" spans="2:28" ht="15" thickBot="1" x14ac:dyDescent="0.35">
      <c r="B15" s="1" t="s">
        <v>159</v>
      </c>
      <c r="C15" s="2"/>
      <c r="D15" s="90" t="s">
        <v>135</v>
      </c>
      <c r="E15" s="2">
        <f>NORMSINV(E5)</f>
        <v>-1.1018621142871126</v>
      </c>
      <c r="F15" s="2">
        <f>NORMSINV(F5)</f>
        <v>-2.1052463772709373</v>
      </c>
      <c r="G15" s="2"/>
      <c r="H15" s="2"/>
      <c r="I15" s="2"/>
      <c r="J15" s="2"/>
      <c r="K15" s="2"/>
      <c r="L15" s="3"/>
    </row>
    <row r="16" spans="2:28" ht="15" thickBot="1" x14ac:dyDescent="0.35">
      <c r="B16" s="4"/>
      <c r="C16" s="14"/>
      <c r="D16" s="92" t="s">
        <v>136</v>
      </c>
      <c r="E16" s="15" t="s">
        <v>137</v>
      </c>
      <c r="F16" s="15" t="s">
        <v>138</v>
      </c>
      <c r="G16" s="15" t="s">
        <v>139</v>
      </c>
      <c r="H16" s="15" t="s">
        <v>140</v>
      </c>
      <c r="I16" s="15" t="s">
        <v>141</v>
      </c>
      <c r="J16" s="15" t="s">
        <v>142</v>
      </c>
      <c r="K16" s="15" t="s">
        <v>143</v>
      </c>
      <c r="L16" s="16" t="s">
        <v>144</v>
      </c>
    </row>
    <row r="17" spans="2:12" ht="15" thickBot="1" x14ac:dyDescent="0.35">
      <c r="B17" s="90" t="s">
        <v>146</v>
      </c>
      <c r="C17" s="91" t="s">
        <v>136</v>
      </c>
      <c r="D17" s="46">
        <v>10000</v>
      </c>
      <c r="E17">
        <f>D28</f>
        <v>-1.019142965685722</v>
      </c>
      <c r="F17">
        <f t="shared" ref="F17:L17" si="6">E28</f>
        <v>-2.0790421399679966</v>
      </c>
      <c r="G17">
        <f t="shared" si="6"/>
        <v>-3.0428347054369609</v>
      </c>
      <c r="H17">
        <f t="shared" si="6"/>
        <v>-3.6941530710936235</v>
      </c>
      <c r="I17">
        <f t="shared" si="6"/>
        <v>-3.7012796073819132</v>
      </c>
      <c r="J17">
        <f t="shared" si="6"/>
        <v>-3.7061320496909271</v>
      </c>
      <c r="K17">
        <f t="shared" si="6"/>
        <v>-3.7085897832186596</v>
      </c>
      <c r="L17" s="5">
        <f t="shared" si="6"/>
        <v>-3.7085897832186596</v>
      </c>
    </row>
    <row r="18" spans="2:12" x14ac:dyDescent="0.3">
      <c r="B18" s="4"/>
      <c r="C18" s="17" t="s">
        <v>137</v>
      </c>
      <c r="D18" s="46">
        <v>10000</v>
      </c>
      <c r="E18">
        <f t="shared" ref="E18:L18" si="7">D29</f>
        <v>1.3936387782683508</v>
      </c>
      <c r="F18">
        <f t="shared" si="7"/>
        <v>-0.96350432114047357</v>
      </c>
      <c r="G18">
        <f t="shared" si="7"/>
        <v>-1.9122475117252624</v>
      </c>
      <c r="H18">
        <f t="shared" si="7"/>
        <v>-2.2293765572796485</v>
      </c>
      <c r="I18">
        <f t="shared" si="7"/>
        <v>-2.717378606917138</v>
      </c>
      <c r="J18">
        <f t="shared" si="7"/>
        <v>-2.9362392815269591</v>
      </c>
      <c r="K18">
        <f t="shared" si="7"/>
        <v>-3.0774344891643874</v>
      </c>
      <c r="L18" s="5">
        <f t="shared" si="7"/>
        <v>-3.3286237355539439</v>
      </c>
    </row>
    <row r="19" spans="2:12" x14ac:dyDescent="0.3">
      <c r="B19" s="4"/>
      <c r="C19" s="17" t="s">
        <v>138</v>
      </c>
      <c r="D19" s="46">
        <v>10000</v>
      </c>
      <c r="E19">
        <f t="shared" ref="E19:L19" si="8">D30</f>
        <v>3.2514627502554188</v>
      </c>
      <c r="F19">
        <f t="shared" si="8"/>
        <v>1.739755816770713</v>
      </c>
      <c r="G19">
        <f t="shared" si="8"/>
        <v>-0.70070146474850437</v>
      </c>
      <c r="H19">
        <f t="shared" si="8"/>
        <v>-1.3799786621794867</v>
      </c>
      <c r="I19">
        <f t="shared" si="8"/>
        <v>-1.867655455460814</v>
      </c>
      <c r="J19">
        <f t="shared" si="8"/>
        <v>-2.1934875991548317</v>
      </c>
      <c r="K19">
        <f t="shared" si="8"/>
        <v>-2.3162197644766014</v>
      </c>
      <c r="L19" s="5">
        <f t="shared" si="8"/>
        <v>-2.4597309965121665</v>
      </c>
    </row>
    <row r="20" spans="2:12" x14ac:dyDescent="0.3">
      <c r="B20" s="4"/>
      <c r="C20" s="17" t="s">
        <v>139</v>
      </c>
      <c r="D20" s="46">
        <v>10000</v>
      </c>
      <c r="E20">
        <f t="shared" ref="E20:L20" si="9">D31</f>
        <v>3.8426716329651587</v>
      </c>
      <c r="F20">
        <f t="shared" si="9"/>
        <v>2.572251808114737</v>
      </c>
      <c r="G20">
        <f t="shared" si="9"/>
        <v>0.75190003039581133</v>
      </c>
      <c r="H20">
        <f t="shared" si="9"/>
        <v>-0.76812368157384581</v>
      </c>
      <c r="I20">
        <f t="shared" si="9"/>
        <v>-1.4570653479211961</v>
      </c>
      <c r="J20">
        <f t="shared" si="9"/>
        <v>-1.9243849340786923</v>
      </c>
      <c r="K20">
        <f t="shared" si="9"/>
        <v>-2.1146108406855189</v>
      </c>
      <c r="L20" s="5">
        <f t="shared" si="9"/>
        <v>-2.3346263553934019</v>
      </c>
    </row>
    <row r="21" spans="2:12" x14ac:dyDescent="0.3">
      <c r="B21" s="4"/>
      <c r="C21" s="17" t="s">
        <v>140</v>
      </c>
      <c r="D21" s="46">
        <v>10000</v>
      </c>
      <c r="E21">
        <f t="shared" ref="E21:L21" si="10">D32</f>
        <v>4.6786748351235685</v>
      </c>
      <c r="F21">
        <f t="shared" si="10"/>
        <v>2.8637770905152213</v>
      </c>
      <c r="G21">
        <f t="shared" si="10"/>
        <v>1.248607550368509</v>
      </c>
      <c r="H21">
        <f t="shared" si="10"/>
        <v>0.50368466461622718</v>
      </c>
      <c r="I21">
        <f t="shared" si="10"/>
        <v>-0.93144506957566819</v>
      </c>
      <c r="J21">
        <f t="shared" si="10"/>
        <v>-1.5226741890235107</v>
      </c>
      <c r="K21">
        <f t="shared" si="10"/>
        <v>-1.8441415952531719</v>
      </c>
      <c r="L21" s="5">
        <f t="shared" si="10"/>
        <v>-2.0954441479813561</v>
      </c>
    </row>
    <row r="22" spans="2:12" x14ac:dyDescent="0.3">
      <c r="B22" s="4"/>
      <c r="C22" s="17" t="s">
        <v>141</v>
      </c>
      <c r="D22" s="46">
        <v>10000</v>
      </c>
      <c r="E22">
        <f t="shared" ref="E22:L22" si="11">D33</f>
        <v>4.7708388417853991</v>
      </c>
      <c r="F22">
        <f t="shared" si="11"/>
        <v>2.964546846956754</v>
      </c>
      <c r="G22">
        <f t="shared" si="11"/>
        <v>1.6468226064416369</v>
      </c>
      <c r="H22">
        <f t="shared" si="11"/>
        <v>0.99159732368010367</v>
      </c>
      <c r="I22">
        <f t="shared" si="11"/>
        <v>0.41483417800775974</v>
      </c>
      <c r="J22">
        <f t="shared" si="11"/>
        <v>-1.0590152367006029</v>
      </c>
      <c r="K22">
        <f t="shared" si="11"/>
        <v>-1.4053549609673297</v>
      </c>
      <c r="L22" s="5">
        <f t="shared" si="11"/>
        <v>-1.7224640388157637</v>
      </c>
    </row>
    <row r="23" spans="2:12" x14ac:dyDescent="0.3">
      <c r="B23" s="4"/>
      <c r="C23" s="17" t="s">
        <v>142</v>
      </c>
      <c r="D23" s="46">
        <v>10000</v>
      </c>
      <c r="E23">
        <f t="shared" ref="E23:L23" si="12">D34</f>
        <v>4.9250385423624792</v>
      </c>
      <c r="F23">
        <f t="shared" si="12"/>
        <v>3.1353505134646005</v>
      </c>
      <c r="G23">
        <f t="shared" si="12"/>
        <v>1.6540332910441791</v>
      </c>
      <c r="H23">
        <f t="shared" si="12"/>
        <v>1.1424918197612592</v>
      </c>
      <c r="I23">
        <f t="shared" si="12"/>
        <v>0.72291645096247537</v>
      </c>
      <c r="J23">
        <f t="shared" si="12"/>
        <v>0.29282717004544884</v>
      </c>
      <c r="K23">
        <f t="shared" si="12"/>
        <v>-1.0065557675964687</v>
      </c>
      <c r="L23" s="5">
        <f t="shared" si="12"/>
        <v>-1.4755596101135839</v>
      </c>
    </row>
    <row r="24" spans="2:12" ht="15" thickBot="1" x14ac:dyDescent="0.35">
      <c r="B24" s="4"/>
      <c r="C24" s="18" t="s">
        <v>143</v>
      </c>
      <c r="D24" s="47">
        <v>10000</v>
      </c>
      <c r="E24" s="7">
        <f t="shared" ref="E24:L24" si="13">D35</f>
        <v>6.5636913785990565</v>
      </c>
      <c r="F24" s="7">
        <f t="shared" si="13"/>
        <v>3.1359816656208359</v>
      </c>
      <c r="G24" s="7">
        <f t="shared" si="13"/>
        <v>1.654064351552341</v>
      </c>
      <c r="H24" s="7">
        <f t="shared" si="13"/>
        <v>1.2131503566051158</v>
      </c>
      <c r="I24" s="7">
        <f t="shared" si="13"/>
        <v>0.76830426710982669</v>
      </c>
      <c r="J24" s="7">
        <f t="shared" si="13"/>
        <v>0.4308880847839538</v>
      </c>
      <c r="K24" s="7">
        <f t="shared" si="13"/>
        <v>0.14219373184539427</v>
      </c>
      <c r="L24" s="8">
        <f t="shared" si="13"/>
        <v>-1.2476797634699066</v>
      </c>
    </row>
    <row r="25" spans="2:12" ht="15" thickBot="1" x14ac:dyDescent="0.35">
      <c r="B25" s="4"/>
      <c r="L25" s="5"/>
    </row>
    <row r="26" spans="2:12" ht="15" thickBot="1" x14ac:dyDescent="0.35">
      <c r="B26" s="1" t="s">
        <v>160</v>
      </c>
      <c r="D26" s="90" t="s">
        <v>135</v>
      </c>
      <c r="E26">
        <f>NORMSINV(1-E5)</f>
        <v>1.1018621142871119</v>
      </c>
      <c r="L26" s="5"/>
    </row>
    <row r="27" spans="2:12" ht="15" thickBot="1" x14ac:dyDescent="0.35">
      <c r="B27" s="4"/>
      <c r="C27" s="14"/>
      <c r="D27" s="92" t="s">
        <v>136</v>
      </c>
      <c r="E27" s="15" t="s">
        <v>137</v>
      </c>
      <c r="F27" s="15" t="s">
        <v>138</v>
      </c>
      <c r="G27" s="15" t="s">
        <v>139</v>
      </c>
      <c r="H27" s="15" t="s">
        <v>140</v>
      </c>
      <c r="I27" s="15" t="s">
        <v>141</v>
      </c>
      <c r="J27" s="15" t="s">
        <v>142</v>
      </c>
      <c r="K27" s="15" t="s">
        <v>143</v>
      </c>
      <c r="L27" s="16" t="s">
        <v>144</v>
      </c>
    </row>
    <row r="28" spans="2:12" ht="15" thickBot="1" x14ac:dyDescent="0.35">
      <c r="B28" s="90" t="s">
        <v>146</v>
      </c>
      <c r="C28" s="91" t="s">
        <v>136</v>
      </c>
      <c r="D28" s="4">
        <f>NORMSINV(SUM(E5:L5))</f>
        <v>-1.019142965685722</v>
      </c>
      <c r="E28">
        <f>NORMSINV(SUM(F5:L5))</f>
        <v>-2.0790421399679966</v>
      </c>
      <c r="F28">
        <f>NORMSINV(SUM(G5:L5))</f>
        <v>-3.0428347054369609</v>
      </c>
      <c r="G28">
        <f>NORMSINV(SUM(H5:L5))</f>
        <v>-3.6941530710936235</v>
      </c>
      <c r="H28">
        <f>NORMSINV(SUM(I5:L5))</f>
        <v>-3.7012796073819132</v>
      </c>
      <c r="I28">
        <f>NORMSINV(SUM(J5:L5))</f>
        <v>-3.7061320496909271</v>
      </c>
      <c r="J28">
        <f>NORMSINV(SUM(K5:L5))</f>
        <v>-3.7085897832186596</v>
      </c>
      <c r="K28">
        <f>NORMSINV(SUM(L5))</f>
        <v>-3.7085897832186596</v>
      </c>
      <c r="L28" s="48">
        <v>-10000</v>
      </c>
    </row>
    <row r="29" spans="2:12" x14ac:dyDescent="0.3">
      <c r="B29" s="4"/>
      <c r="C29" s="17" t="s">
        <v>137</v>
      </c>
      <c r="D29" s="4">
        <f t="shared" ref="D29:D35" si="14">NORMSINV(SUM(E6:L6))</f>
        <v>1.3936387782683508</v>
      </c>
      <c r="E29">
        <f t="shared" ref="E29:E35" si="15">NORMSINV(SUM(F6:L6))</f>
        <v>-0.96350432114047357</v>
      </c>
      <c r="F29">
        <f t="shared" ref="F29:F30" si="16">NORMSINV(SUM(G6:L6))</f>
        <v>-1.9122475117252624</v>
      </c>
      <c r="G29">
        <f t="shared" ref="G29:G35" si="17">NORMSINV(SUM(H6:L6))</f>
        <v>-2.2293765572796485</v>
      </c>
      <c r="H29">
        <f>NORMSINV(SUM(I6:L6))</f>
        <v>-2.717378606917138</v>
      </c>
      <c r="I29">
        <f t="shared" ref="I29:I35" si="18">NORMSINV(SUM(J6:L6))</f>
        <v>-2.9362392815269591</v>
      </c>
      <c r="J29">
        <f t="shared" ref="J29:J35" si="19">NORMSINV(SUM(K6:L6))</f>
        <v>-3.0774344891643874</v>
      </c>
      <c r="K29">
        <f t="shared" ref="K29:K35" si="20">NORMSINV(SUM(L6))</f>
        <v>-3.3286237355539439</v>
      </c>
      <c r="L29" s="48">
        <v>-10000</v>
      </c>
    </row>
    <row r="30" spans="2:12" x14ac:dyDescent="0.3">
      <c r="B30" s="4"/>
      <c r="C30" s="17" t="s">
        <v>138</v>
      </c>
      <c r="D30" s="4">
        <f t="shared" si="14"/>
        <v>3.2514627502554188</v>
      </c>
      <c r="E30">
        <f t="shared" si="15"/>
        <v>1.739755816770713</v>
      </c>
      <c r="F30">
        <f t="shared" si="16"/>
        <v>-0.70070146474850437</v>
      </c>
      <c r="G30">
        <f t="shared" si="17"/>
        <v>-1.3799786621794867</v>
      </c>
      <c r="H30">
        <f t="shared" ref="H30:H35" si="21">NORMSINV(SUM(I7:L7))</f>
        <v>-1.867655455460814</v>
      </c>
      <c r="I30">
        <f t="shared" si="18"/>
        <v>-2.1934875991548317</v>
      </c>
      <c r="J30">
        <f t="shared" si="19"/>
        <v>-2.3162197644766014</v>
      </c>
      <c r="K30">
        <f t="shared" si="20"/>
        <v>-2.4597309965121665</v>
      </c>
      <c r="L30" s="48">
        <v>-10000</v>
      </c>
    </row>
    <row r="31" spans="2:12" x14ac:dyDescent="0.3">
      <c r="B31" s="4"/>
      <c r="C31" s="17" t="s">
        <v>139</v>
      </c>
      <c r="D31" s="4">
        <f t="shared" si="14"/>
        <v>3.8426716329651587</v>
      </c>
      <c r="E31">
        <f t="shared" si="15"/>
        <v>2.572251808114737</v>
      </c>
      <c r="F31">
        <v>0.75190003039581133</v>
      </c>
      <c r="G31">
        <f t="shared" si="17"/>
        <v>-0.76812368157384581</v>
      </c>
      <c r="H31">
        <f t="shared" si="21"/>
        <v>-1.4570653479211961</v>
      </c>
      <c r="I31">
        <f t="shared" si="18"/>
        <v>-1.9243849340786923</v>
      </c>
      <c r="J31">
        <f t="shared" si="19"/>
        <v>-2.1146108406855189</v>
      </c>
      <c r="K31">
        <f t="shared" si="20"/>
        <v>-2.3346263553934019</v>
      </c>
      <c r="L31" s="48">
        <v>-10000</v>
      </c>
    </row>
    <row r="32" spans="2:12" x14ac:dyDescent="0.3">
      <c r="B32" s="4"/>
      <c r="C32" s="17" t="s">
        <v>140</v>
      </c>
      <c r="D32" s="4">
        <f t="shared" si="14"/>
        <v>4.6786748351235685</v>
      </c>
      <c r="E32">
        <f t="shared" si="15"/>
        <v>2.8637770905152213</v>
      </c>
      <c r="F32">
        <v>1.248607550368509</v>
      </c>
      <c r="G32">
        <f t="shared" si="17"/>
        <v>0.50368466461622718</v>
      </c>
      <c r="H32">
        <f t="shared" si="21"/>
        <v>-0.93144506957566819</v>
      </c>
      <c r="I32">
        <f t="shared" si="18"/>
        <v>-1.5226741890235107</v>
      </c>
      <c r="J32">
        <f>NORMSINV(SUM(K9:L9))</f>
        <v>-1.8441415952531719</v>
      </c>
      <c r="K32">
        <f t="shared" si="20"/>
        <v>-2.0954441479813561</v>
      </c>
      <c r="L32" s="48">
        <v>-10000</v>
      </c>
    </row>
    <row r="33" spans="2:13" x14ac:dyDescent="0.3">
      <c r="B33" s="4"/>
      <c r="C33" s="17" t="s">
        <v>141</v>
      </c>
      <c r="D33" s="4">
        <f t="shared" si="14"/>
        <v>4.7708388417853991</v>
      </c>
      <c r="E33">
        <f t="shared" si="15"/>
        <v>2.964546846956754</v>
      </c>
      <c r="F33">
        <v>1.6468226064416369</v>
      </c>
      <c r="G33">
        <f t="shared" si="17"/>
        <v>0.99159732368010367</v>
      </c>
      <c r="H33">
        <f t="shared" si="21"/>
        <v>0.41483417800775974</v>
      </c>
      <c r="I33">
        <f t="shared" si="18"/>
        <v>-1.0590152367006029</v>
      </c>
      <c r="J33">
        <f t="shared" si="19"/>
        <v>-1.4053549609673297</v>
      </c>
      <c r="K33">
        <f t="shared" si="20"/>
        <v>-1.7224640388157637</v>
      </c>
      <c r="L33" s="48">
        <v>-10000</v>
      </c>
    </row>
    <row r="34" spans="2:13" x14ac:dyDescent="0.3">
      <c r="B34" s="4"/>
      <c r="C34" s="17" t="s">
        <v>142</v>
      </c>
      <c r="D34" s="4">
        <f t="shared" si="14"/>
        <v>4.9250385423624792</v>
      </c>
      <c r="E34">
        <f t="shared" si="15"/>
        <v>3.1353505134646005</v>
      </c>
      <c r="F34">
        <v>1.6540332910441791</v>
      </c>
      <c r="G34">
        <f t="shared" si="17"/>
        <v>1.1424918197612592</v>
      </c>
      <c r="H34">
        <f t="shared" si="21"/>
        <v>0.72291645096247537</v>
      </c>
      <c r="I34">
        <f t="shared" si="18"/>
        <v>0.29282717004544884</v>
      </c>
      <c r="J34">
        <f t="shared" si="19"/>
        <v>-1.0065557675964687</v>
      </c>
      <c r="K34">
        <f t="shared" si="20"/>
        <v>-1.4755596101135839</v>
      </c>
      <c r="L34" s="48">
        <v>-10000</v>
      </c>
    </row>
    <row r="35" spans="2:13" ht="15" thickBot="1" x14ac:dyDescent="0.35">
      <c r="B35" s="4"/>
      <c r="C35" s="18" t="s">
        <v>143</v>
      </c>
      <c r="D35" s="6">
        <f t="shared" si="14"/>
        <v>6.5636913785990565</v>
      </c>
      <c r="E35" s="7">
        <f t="shared" si="15"/>
        <v>3.1359816656208359</v>
      </c>
      <c r="F35" s="7">
        <v>1.654064351552341</v>
      </c>
      <c r="G35" s="7">
        <f t="shared" si="17"/>
        <v>1.2131503566051158</v>
      </c>
      <c r="H35" s="7">
        <f t="shared" si="21"/>
        <v>0.76830426710982669</v>
      </c>
      <c r="I35" s="7">
        <f t="shared" si="18"/>
        <v>0.4308880847839538</v>
      </c>
      <c r="J35" s="7">
        <f t="shared" si="19"/>
        <v>0.14219373184539427</v>
      </c>
      <c r="K35" s="7">
        <f t="shared" si="20"/>
        <v>-1.2476797634699066</v>
      </c>
      <c r="L35" s="49">
        <v>-10000</v>
      </c>
    </row>
    <row r="36" spans="2:13" ht="15" thickBot="1" x14ac:dyDescent="0.35">
      <c r="B36" s="6"/>
      <c r="C36" s="7"/>
      <c r="D36" s="7"/>
      <c r="E36" s="7"/>
      <c r="F36" s="7"/>
      <c r="G36" s="7"/>
      <c r="H36" s="7"/>
      <c r="I36" s="7"/>
      <c r="J36" s="7"/>
      <c r="K36" s="7"/>
      <c r="L36" s="8"/>
    </row>
    <row r="37" spans="2:13" x14ac:dyDescent="0.3"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2:13" x14ac:dyDescent="0.3"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</row>
    <row r="39" spans="2:13" ht="15" thickBot="1" x14ac:dyDescent="0.35"/>
    <row r="40" spans="2:13" ht="72.599999999999994" thickBot="1" x14ac:dyDescent="0.35">
      <c r="B40" s="55" t="s">
        <v>168</v>
      </c>
      <c r="C40" s="2"/>
      <c r="D40" s="94" t="s">
        <v>135</v>
      </c>
      <c r="E40" s="2"/>
      <c r="F40" s="2"/>
      <c r="G40" s="2"/>
      <c r="H40" s="2"/>
      <c r="I40" s="2"/>
      <c r="J40" s="2"/>
      <c r="K40" s="2"/>
      <c r="L40" s="2"/>
      <c r="M40" s="3"/>
    </row>
    <row r="41" spans="2:13" ht="15" thickBot="1" x14ac:dyDescent="0.35">
      <c r="B41" s="4"/>
      <c r="C41" s="14"/>
      <c r="D41" s="93" t="s">
        <v>136</v>
      </c>
      <c r="E41" s="15" t="s">
        <v>137</v>
      </c>
      <c r="F41" s="15" t="s">
        <v>138</v>
      </c>
      <c r="G41" s="15" t="s">
        <v>139</v>
      </c>
      <c r="H41" s="15" t="s">
        <v>140</v>
      </c>
      <c r="I41" s="15" t="s">
        <v>141</v>
      </c>
      <c r="J41" s="15" t="s">
        <v>142</v>
      </c>
      <c r="K41" s="15" t="s">
        <v>143</v>
      </c>
      <c r="L41" s="16" t="s">
        <v>144</v>
      </c>
      <c r="M41" s="5"/>
    </row>
    <row r="42" spans="2:13" ht="15" thickBot="1" x14ac:dyDescent="0.35">
      <c r="B42" s="90" t="s">
        <v>146</v>
      </c>
      <c r="C42" s="91" t="s">
        <v>136</v>
      </c>
      <c r="D42" s="19">
        <v>0.55544737451615367</v>
      </c>
      <c r="E42" s="19">
        <v>0.35187410966682942</v>
      </c>
      <c r="F42" s="19">
        <v>8.4525497182928747E-2</v>
      </c>
      <c r="G42" s="19">
        <v>7.2795483836340467E-3</v>
      </c>
      <c r="H42" s="19">
        <v>2.339958768075856E-5</v>
      </c>
      <c r="I42" s="19">
        <v>1.5601272800162741E-5</v>
      </c>
      <c r="J42" s="19">
        <v>7.8010498728032498E-6</v>
      </c>
      <c r="K42" s="19">
        <v>0</v>
      </c>
      <c r="L42" s="20">
        <v>8.2666834010036152E-4</v>
      </c>
      <c r="M42" s="5"/>
    </row>
    <row r="43" spans="2:13" x14ac:dyDescent="0.3">
      <c r="B43" s="4"/>
      <c r="C43" s="17" t="s">
        <v>137</v>
      </c>
      <c r="D43" s="19">
        <v>5.2617535849369679E-3</v>
      </c>
      <c r="E43" s="19">
        <v>0.52551818867003552</v>
      </c>
      <c r="F43" s="19">
        <v>0.3416509875667128</v>
      </c>
      <c r="G43" s="19">
        <v>5.9787469313530697E-2</v>
      </c>
      <c r="H43" s="19">
        <v>4.7012716253074412E-2</v>
      </c>
      <c r="I43" s="19">
        <v>9.5482599102657256E-3</v>
      </c>
      <c r="J43" s="19">
        <v>3.890731632489315E-3</v>
      </c>
      <c r="K43" s="19">
        <v>4.0807160853117306E-3</v>
      </c>
      <c r="L43" s="20">
        <v>3.249176983642822E-3</v>
      </c>
      <c r="M43" s="5"/>
    </row>
    <row r="44" spans="2:13" x14ac:dyDescent="0.3">
      <c r="B44" s="4"/>
      <c r="C44" s="17" t="s">
        <v>138</v>
      </c>
      <c r="D44" s="52">
        <v>1.7825673720439641E-6</v>
      </c>
      <c r="E44" s="19">
        <v>1.612436914410265E-3</v>
      </c>
      <c r="F44" s="19">
        <v>0.41264896180317462</v>
      </c>
      <c r="G44" s="19">
        <v>0.29212476890568573</v>
      </c>
      <c r="H44" s="19">
        <v>0.15533707081680409</v>
      </c>
      <c r="I44" s="19">
        <v>6.5078894048961958E-2</v>
      </c>
      <c r="J44" s="19">
        <v>1.7234987303258929E-2</v>
      </c>
      <c r="K44" s="19">
        <v>1.590736363602974E-2</v>
      </c>
      <c r="L44" s="20">
        <v>4.0053734004302698E-2</v>
      </c>
      <c r="M44" s="5"/>
    </row>
    <row r="45" spans="2:13" x14ac:dyDescent="0.3">
      <c r="B45" s="4"/>
      <c r="C45" s="17" t="s">
        <v>139</v>
      </c>
      <c r="D45" s="52">
        <v>5.9106536443032098E-8</v>
      </c>
      <c r="E45" s="19">
        <v>5.3064195506657967E-5</v>
      </c>
      <c r="F45" s="19">
        <v>3.2783324842025063E-2</v>
      </c>
      <c r="G45" s="19">
        <v>0.41101493657818361</v>
      </c>
      <c r="H45" s="19">
        <v>0.29148998997372089</v>
      </c>
      <c r="I45" s="19">
        <v>0.13990103528605399</v>
      </c>
      <c r="J45" s="19">
        <v>3.8506344579125322E-2</v>
      </c>
      <c r="K45" s="19">
        <v>3.2573229903678953E-2</v>
      </c>
      <c r="L45" s="20">
        <v>5.3678015535169092E-2</v>
      </c>
      <c r="M45" s="5"/>
    </row>
    <row r="46" spans="2:13" x14ac:dyDescent="0.3">
      <c r="B46" s="4"/>
      <c r="C46" s="17" t="s">
        <v>140</v>
      </c>
      <c r="D46" s="52">
        <v>2.3185564579364379E-10</v>
      </c>
      <c r="E46" s="52">
        <v>1.3239812516441241E-5</v>
      </c>
      <c r="F46" s="19">
        <v>8.2746289028660103E-3</v>
      </c>
      <c r="G46" s="19">
        <v>5.0722368305021193E-2</v>
      </c>
      <c r="H46" s="19">
        <v>0.45749617277080462</v>
      </c>
      <c r="I46" s="19">
        <v>0.24227918401931639</v>
      </c>
      <c r="J46" s="19">
        <v>9.7054108759797392E-2</v>
      </c>
      <c r="K46" s="19">
        <v>5.4488326839702991E-2</v>
      </c>
      <c r="L46" s="20">
        <v>8.9671970358119288E-2</v>
      </c>
      <c r="M46" s="5"/>
    </row>
    <row r="47" spans="2:13" x14ac:dyDescent="0.3">
      <c r="B47" s="4"/>
      <c r="C47" s="17" t="s">
        <v>141</v>
      </c>
      <c r="D47" s="52">
        <v>1.194737642151722E-10</v>
      </c>
      <c r="E47" s="52">
        <v>7.9994056731980123E-6</v>
      </c>
      <c r="F47" s="19">
        <v>2.2391805815914489E-3</v>
      </c>
      <c r="G47" s="19">
        <v>1.524067473953439E-2</v>
      </c>
      <c r="H47" s="19">
        <v>5.4136622570707393E-2</v>
      </c>
      <c r="I47" s="19">
        <v>0.50137469026860049</v>
      </c>
      <c r="J47" s="19">
        <v>0.14308052303189861</v>
      </c>
      <c r="K47" s="19">
        <v>0.1066384168420469</v>
      </c>
      <c r="L47" s="20">
        <v>0.17728189244047371</v>
      </c>
      <c r="M47" s="5"/>
    </row>
    <row r="48" spans="2:13" x14ac:dyDescent="0.3">
      <c r="B48" s="4"/>
      <c r="C48" s="17" t="s">
        <v>142</v>
      </c>
      <c r="D48" s="52">
        <v>3.8496650311969922E-11</v>
      </c>
      <c r="E48" s="52">
        <v>3.3119194476904919E-6</v>
      </c>
      <c r="F48" s="19">
        <v>2.1877032585545519E-3</v>
      </c>
      <c r="G48" s="19">
        <v>9.1918099916669105E-3</v>
      </c>
      <c r="H48" s="19">
        <v>2.3901350971583971E-2</v>
      </c>
      <c r="I48" s="19">
        <v>5.6905556278536662E-2</v>
      </c>
      <c r="J48" s="19">
        <v>0.45769239974726189</v>
      </c>
      <c r="K48" s="19">
        <v>0.19218318895649639</v>
      </c>
      <c r="L48" s="20">
        <v>0.25793467883795529</v>
      </c>
      <c r="M48" s="5"/>
    </row>
    <row r="49" spans="2:13" x14ac:dyDescent="0.3">
      <c r="B49" s="4"/>
      <c r="C49" s="17" t="s">
        <v>143</v>
      </c>
      <c r="D49" s="52">
        <v>0</v>
      </c>
      <c r="E49" s="52">
        <v>3.30096884859632E-6</v>
      </c>
      <c r="F49" s="19">
        <v>2.1874750908370539E-3</v>
      </c>
      <c r="G49" s="19">
        <v>7.037149392961406E-3</v>
      </c>
      <c r="H49" s="19">
        <v>2.2286332314846221E-2</v>
      </c>
      <c r="I49" s="19">
        <v>3.7689485552983459E-2</v>
      </c>
      <c r="J49" s="19">
        <v>5.4028950179476509E-2</v>
      </c>
      <c r="K49" s="19">
        <v>0.53032681536703574</v>
      </c>
      <c r="L49" s="20">
        <v>0.34644049113301112</v>
      </c>
      <c r="M49" s="5"/>
    </row>
    <row r="50" spans="2:13" ht="15" thickBot="1" x14ac:dyDescent="0.35">
      <c r="B50" s="4"/>
      <c r="C50" s="18" t="s">
        <v>144</v>
      </c>
      <c r="D50" s="53">
        <v>0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21">
        <v>1</v>
      </c>
      <c r="M50" s="5"/>
    </row>
    <row r="51" spans="2:13" ht="15" thickBot="1" x14ac:dyDescent="0.35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</sheetData>
  <dataValidations disablePrompts="1" count="1">
    <dataValidation type="list" allowBlank="1" showInputMessage="1" showErrorMessage="1" sqref="T5:T13 Q5 O5" xr:uid="{6DFDEF3A-DE16-4682-ACA8-CA18FA2EBB69}">
      <formula1>$T$5:$T$13</formula1>
    </dataValidation>
  </dataValidations>
  <pageMargins left="0.75" right="0.75" top="1" bottom="1" header="0.5" footer="0.5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4EB4-FA8A-4BF3-9C2D-EBE4B2D7ABBA}">
  <dimension ref="C3:L35"/>
  <sheetViews>
    <sheetView workbookViewId="0">
      <selection activeCell="I17" sqref="I17"/>
    </sheetView>
  </sheetViews>
  <sheetFormatPr defaultRowHeight="14.4" x14ac:dyDescent="0.3"/>
  <cols>
    <col min="3" max="3" width="9.6640625" bestFit="1" customWidth="1"/>
    <col min="4" max="4" width="19.6640625" customWidth="1"/>
    <col min="5" max="12" width="12" bestFit="1" customWidth="1"/>
  </cols>
  <sheetData>
    <row r="3" spans="3:12" x14ac:dyDescent="0.3">
      <c r="C3" s="101"/>
      <c r="D3" s="102"/>
      <c r="E3" s="102"/>
      <c r="F3" s="102"/>
      <c r="G3" s="102"/>
      <c r="H3" s="102"/>
      <c r="I3" s="102"/>
      <c r="J3" s="102"/>
      <c r="K3" s="102"/>
      <c r="L3" s="102"/>
    </row>
    <row r="4" spans="3:12" x14ac:dyDescent="0.3"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3:12" x14ac:dyDescent="0.3">
      <c r="C5" s="103"/>
      <c r="D5" s="104"/>
      <c r="E5" s="104"/>
      <c r="F5" s="104"/>
      <c r="G5" s="104"/>
      <c r="H5" s="104"/>
      <c r="I5" s="104"/>
      <c r="J5" s="104"/>
      <c r="K5" s="104"/>
      <c r="L5" s="104"/>
    </row>
    <row r="6" spans="3:12" x14ac:dyDescent="0.3"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7" spans="3:12" x14ac:dyDescent="0.3">
      <c r="C7" s="102"/>
      <c r="D7" s="102"/>
      <c r="E7" s="102"/>
      <c r="F7" s="102"/>
      <c r="G7" s="102"/>
      <c r="H7" s="102"/>
      <c r="I7" s="102"/>
      <c r="J7" s="102"/>
      <c r="K7" s="102"/>
      <c r="L7" s="102"/>
    </row>
    <row r="8" spans="3:12" x14ac:dyDescent="0.3">
      <c r="C8" s="102"/>
      <c r="D8" s="102"/>
      <c r="E8" s="102"/>
      <c r="F8" s="102"/>
      <c r="G8" s="102"/>
      <c r="H8" s="102"/>
      <c r="I8" s="102"/>
      <c r="J8" s="102"/>
      <c r="K8" s="102"/>
      <c r="L8" s="102"/>
    </row>
    <row r="9" spans="3:12" x14ac:dyDescent="0.3">
      <c r="C9" s="102"/>
      <c r="D9" s="102"/>
      <c r="E9" s="102"/>
      <c r="F9" s="102"/>
      <c r="G9" s="102"/>
      <c r="H9" s="102"/>
      <c r="I9" s="102"/>
      <c r="J9" s="102"/>
      <c r="K9" s="102"/>
      <c r="L9" s="102"/>
    </row>
    <row r="10" spans="3:12" x14ac:dyDescent="0.3">
      <c r="C10" s="102"/>
      <c r="D10" s="102"/>
      <c r="E10" s="102"/>
      <c r="F10" s="102"/>
      <c r="G10" s="102"/>
      <c r="H10" s="102"/>
      <c r="I10" s="102"/>
      <c r="J10" s="102"/>
      <c r="K10" s="102"/>
      <c r="L10" s="102"/>
    </row>
    <row r="11" spans="3:12" x14ac:dyDescent="0.3">
      <c r="C11" s="102"/>
      <c r="D11" s="102"/>
      <c r="E11" s="102"/>
      <c r="F11" s="102"/>
      <c r="G11" s="102"/>
      <c r="H11" s="102"/>
      <c r="I11" s="102"/>
      <c r="J11" s="102"/>
      <c r="K11" s="102"/>
      <c r="L11" s="102"/>
    </row>
    <row r="12" spans="3:12" x14ac:dyDescent="0.3">
      <c r="C12" s="102"/>
      <c r="D12" s="102"/>
      <c r="E12" s="102"/>
      <c r="F12" s="102"/>
      <c r="G12" s="102"/>
      <c r="H12" s="102"/>
      <c r="I12" s="102"/>
      <c r="J12" s="102"/>
      <c r="K12" s="102"/>
      <c r="L12" s="102"/>
    </row>
    <row r="13" spans="3:12" x14ac:dyDescent="0.3">
      <c r="C13" s="102"/>
      <c r="D13" s="102"/>
      <c r="E13" s="102"/>
      <c r="F13" s="102"/>
      <c r="G13" s="102"/>
      <c r="H13" s="102"/>
      <c r="I13" s="102"/>
      <c r="J13" s="102"/>
      <c r="K13" s="102"/>
      <c r="L13" s="102"/>
    </row>
    <row r="14" spans="3:12" x14ac:dyDescent="0.3">
      <c r="C14" s="102"/>
      <c r="D14" s="102"/>
      <c r="E14" s="102"/>
      <c r="F14" s="102"/>
      <c r="G14" s="102"/>
      <c r="H14" s="102"/>
      <c r="I14" s="102"/>
      <c r="J14" s="102"/>
      <c r="K14" s="102"/>
      <c r="L14" s="102"/>
    </row>
    <row r="15" spans="3:12" x14ac:dyDescent="0.3">
      <c r="C15" s="102"/>
      <c r="D15" s="102"/>
      <c r="E15" s="102"/>
      <c r="F15" s="102"/>
      <c r="G15" s="102"/>
      <c r="H15" s="102"/>
      <c r="I15" s="102"/>
      <c r="J15" s="102"/>
      <c r="K15" s="102"/>
      <c r="L15" s="102"/>
    </row>
    <row r="16" spans="3:12" x14ac:dyDescent="0.3">
      <c r="C16" s="102"/>
      <c r="D16" s="102"/>
      <c r="E16" s="102"/>
      <c r="F16" s="102"/>
      <c r="G16" s="102"/>
      <c r="H16" s="102"/>
      <c r="I16" s="102"/>
      <c r="J16" s="102"/>
      <c r="K16" s="102"/>
      <c r="L16" s="102"/>
    </row>
    <row r="17" spans="3:12" x14ac:dyDescent="0.3">
      <c r="C17" s="102"/>
      <c r="D17" s="102"/>
      <c r="E17" s="102"/>
      <c r="F17" s="102"/>
      <c r="G17" s="102"/>
      <c r="H17" s="102"/>
      <c r="I17" s="102"/>
      <c r="J17" s="102"/>
      <c r="K17" s="102"/>
      <c r="L17" s="102"/>
    </row>
    <row r="18" spans="3:12" x14ac:dyDescent="0.3">
      <c r="C18" s="102"/>
      <c r="D18" s="102"/>
      <c r="E18" s="102"/>
      <c r="F18" s="102"/>
      <c r="G18" s="102"/>
      <c r="H18" s="102"/>
      <c r="I18" s="102"/>
      <c r="J18" s="102"/>
      <c r="K18" s="102"/>
      <c r="L18" s="102"/>
    </row>
    <row r="19" spans="3:12" x14ac:dyDescent="0.3">
      <c r="C19" s="102"/>
      <c r="D19" s="102"/>
      <c r="E19" s="102"/>
      <c r="F19" s="102"/>
      <c r="G19" s="102"/>
      <c r="H19" s="102"/>
      <c r="I19" s="102"/>
      <c r="J19" s="102"/>
      <c r="K19" s="102"/>
      <c r="L19" s="102"/>
    </row>
    <row r="20" spans="3:12" x14ac:dyDescent="0.3">
      <c r="C20" s="102"/>
      <c r="D20" s="102"/>
      <c r="E20" s="102"/>
      <c r="F20" s="102"/>
      <c r="G20" s="102"/>
      <c r="H20" s="102"/>
      <c r="I20" s="102"/>
      <c r="J20" s="102"/>
      <c r="K20" s="102"/>
      <c r="L20" s="102"/>
    </row>
    <row r="21" spans="3:12" x14ac:dyDescent="0.3">
      <c r="C21" s="102"/>
      <c r="D21" s="102"/>
      <c r="E21" s="102"/>
      <c r="F21" s="102"/>
      <c r="G21" s="102"/>
      <c r="H21" s="102"/>
      <c r="I21" s="102"/>
      <c r="J21" s="102"/>
      <c r="K21" s="102"/>
      <c r="L21" s="102"/>
    </row>
    <row r="22" spans="3:12" x14ac:dyDescent="0.3">
      <c r="C22" s="102"/>
      <c r="D22" s="102"/>
      <c r="E22" s="102"/>
      <c r="F22" s="102"/>
      <c r="G22" s="102"/>
      <c r="H22" s="102"/>
      <c r="I22" s="102"/>
      <c r="J22" s="102"/>
      <c r="K22" s="102"/>
      <c r="L22" s="102"/>
    </row>
    <row r="23" spans="3:12" x14ac:dyDescent="0.3">
      <c r="C23" s="102"/>
      <c r="D23" s="102"/>
      <c r="E23" s="102"/>
      <c r="F23" s="102"/>
      <c r="G23" s="102"/>
      <c r="H23" s="102"/>
      <c r="I23" s="102"/>
      <c r="J23" s="102"/>
      <c r="K23" s="102"/>
      <c r="L23" s="102"/>
    </row>
    <row r="24" spans="3:12" x14ac:dyDescent="0.3">
      <c r="C24" s="102"/>
      <c r="D24" s="102"/>
      <c r="E24" s="102"/>
      <c r="F24" s="102"/>
      <c r="G24" s="102"/>
      <c r="H24" s="102"/>
      <c r="I24" s="102"/>
      <c r="J24" s="102"/>
      <c r="K24" s="102"/>
      <c r="L24" s="102"/>
    </row>
    <row r="25" spans="3:12" x14ac:dyDescent="0.3">
      <c r="C25" s="102"/>
      <c r="D25" s="102"/>
      <c r="E25" s="102"/>
      <c r="F25" s="102"/>
      <c r="G25" s="102"/>
      <c r="H25" s="102"/>
      <c r="I25" s="102"/>
      <c r="J25" s="102"/>
      <c r="K25" s="102"/>
      <c r="L25" s="102"/>
    </row>
    <row r="26" spans="3:12" x14ac:dyDescent="0.3">
      <c r="C26" s="102"/>
      <c r="D26" s="102"/>
      <c r="E26" s="102"/>
      <c r="F26" s="102"/>
      <c r="G26" s="102"/>
      <c r="H26" s="102"/>
      <c r="I26" s="102"/>
      <c r="J26" s="102"/>
      <c r="K26" s="102"/>
      <c r="L26" s="102"/>
    </row>
    <row r="27" spans="3:12" x14ac:dyDescent="0.3">
      <c r="C27" s="102"/>
      <c r="D27" s="102"/>
      <c r="E27" s="102"/>
      <c r="F27" s="102"/>
      <c r="G27" s="102"/>
      <c r="H27" s="102"/>
      <c r="I27" s="102"/>
      <c r="J27" s="102"/>
      <c r="K27" s="102"/>
      <c r="L27" s="102"/>
    </row>
    <row r="28" spans="3:12" x14ac:dyDescent="0.3">
      <c r="C28" s="102"/>
      <c r="D28" s="102"/>
      <c r="E28" s="102"/>
      <c r="F28" s="102"/>
      <c r="G28" s="102"/>
      <c r="H28" s="102"/>
      <c r="I28" s="102"/>
      <c r="J28" s="102"/>
      <c r="K28" s="102"/>
      <c r="L28" s="102"/>
    </row>
    <row r="29" spans="3:12" x14ac:dyDescent="0.3">
      <c r="C29" s="102"/>
      <c r="D29" s="102"/>
      <c r="E29" s="102"/>
      <c r="F29" s="102"/>
      <c r="G29" s="102"/>
      <c r="H29" s="102"/>
      <c r="I29" s="102"/>
      <c r="J29" s="102"/>
      <c r="K29" s="102"/>
      <c r="L29" s="102"/>
    </row>
    <row r="30" spans="3:12" x14ac:dyDescent="0.3">
      <c r="C30" s="102"/>
      <c r="D30" s="102"/>
      <c r="E30" s="102"/>
      <c r="F30" s="102"/>
      <c r="G30" s="102"/>
      <c r="H30" s="102"/>
      <c r="I30" s="102"/>
      <c r="J30" s="102"/>
      <c r="K30" s="102"/>
      <c r="L30" s="102"/>
    </row>
    <row r="31" spans="3:12" x14ac:dyDescent="0.3">
      <c r="C31" s="102"/>
      <c r="D31" s="102"/>
      <c r="E31" s="102"/>
      <c r="F31" s="102"/>
      <c r="G31" s="102"/>
      <c r="H31" s="102"/>
      <c r="I31" s="102"/>
      <c r="J31" s="102"/>
      <c r="K31" s="102"/>
      <c r="L31" s="102"/>
    </row>
    <row r="32" spans="3:12" x14ac:dyDescent="0.3">
      <c r="C32" s="102"/>
      <c r="D32" s="102"/>
      <c r="E32" s="102"/>
      <c r="F32" s="102"/>
      <c r="G32" s="102"/>
      <c r="H32" s="102"/>
      <c r="I32" s="102"/>
      <c r="J32" s="102"/>
      <c r="K32" s="102"/>
      <c r="L32" s="102"/>
    </row>
    <row r="33" spans="3:12" x14ac:dyDescent="0.3">
      <c r="C33" s="102"/>
      <c r="D33" s="102"/>
      <c r="E33" s="102"/>
      <c r="F33" s="102"/>
      <c r="G33" s="102"/>
      <c r="H33" s="102"/>
      <c r="I33" s="102"/>
      <c r="J33" s="102"/>
      <c r="K33" s="102"/>
      <c r="L33" s="102"/>
    </row>
    <row r="34" spans="3:12" x14ac:dyDescent="0.3">
      <c r="C34" s="102"/>
      <c r="D34" s="102"/>
      <c r="E34" s="102"/>
      <c r="F34" s="102"/>
      <c r="G34" s="102"/>
      <c r="H34" s="102"/>
      <c r="I34" s="102"/>
      <c r="J34" s="102"/>
      <c r="K34" s="102"/>
      <c r="L34" s="102"/>
    </row>
    <row r="35" spans="3:12" x14ac:dyDescent="0.3">
      <c r="C35" s="102"/>
      <c r="D35" s="102"/>
      <c r="E35" s="102"/>
      <c r="F35" s="102"/>
      <c r="G35" s="102"/>
      <c r="H35" s="102"/>
      <c r="I35" s="102"/>
      <c r="J35" s="102"/>
      <c r="K35" s="102"/>
      <c r="L35" s="102"/>
    </row>
  </sheetData>
  <mergeCells count="3">
    <mergeCell ref="D5:F5"/>
    <mergeCell ref="G5:I5"/>
    <mergeCell ref="J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Rating-Data</vt:lpstr>
      <vt:lpstr>Transition Matrix</vt:lpstr>
      <vt:lpstr>Multistate_Wholesale_PIT_TM</vt:lpstr>
      <vt:lpstr>Remarks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Rasane</cp:lastModifiedBy>
  <dcterms:created xsi:type="dcterms:W3CDTF">2025-12-03T08:04:05Z</dcterms:created>
  <dcterms:modified xsi:type="dcterms:W3CDTF">2025-12-04T08:01:50Z</dcterms:modified>
</cp:coreProperties>
</file>