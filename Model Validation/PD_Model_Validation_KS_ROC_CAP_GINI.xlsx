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ink/ink1.xml" ContentType="application/inkml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bhishek\CRM\Self\IFRS9\Model Validation\Module 4\ROC_CAP_GINI_AccRatio\"/>
    </mc:Choice>
  </mc:AlternateContent>
  <xr:revisionPtr revIDLastSave="0" documentId="13_ncr:1_{704853F1-64B5-40A4-B3E9-5D0A38415EDE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Objective" sheetId="1" r:id="rId1"/>
    <sheet name="MODEL" sheetId="2" r:id="rId2"/>
    <sheet name="ROC_GINI_AUC_KS" sheetId="7" r:id="rId3"/>
    <sheet name="Score Equation Logic" sheetId="10" r:id="rId4"/>
    <sheet name="Score Equation Example" sheetId="9" r:id="rId5"/>
  </sheets>
  <definedNames>
    <definedName name="_xlnm._FilterDatabase" localSheetId="1" hidden="1">MODEL!$B$3:$S$1503</definedName>
    <definedName name="_xlnm._FilterDatabase" localSheetId="2" hidden="1">ROC_GINI_AUC_KS!$B$2:$C$1502</definedName>
    <definedName name="solver_adj" localSheetId="1" hidden="1">MODEL!$Y$4:$AF$4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MODEL!$V$2</definedName>
    <definedName name="solver_pre" localSheetId="1" hidden="1">0.000001</definedName>
    <definedName name="solver_rbv" localSheetId="1" hidden="1">2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</workbook>
</file>

<file path=xl/calcChain.xml><?xml version="1.0" encoding="utf-8"?>
<calcChain xmlns="http://schemas.openxmlformats.org/spreadsheetml/2006/main">
  <c r="E28" i="9" l="1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H4" i="10"/>
  <c r="H3" i="10" s="1"/>
  <c r="H4" i="9"/>
  <c r="H3" i="9" s="1"/>
  <c r="C5" i="9"/>
  <c r="D5" i="9" s="1"/>
  <c r="C6" i="9"/>
  <c r="D6" i="9" s="1"/>
  <c r="C7" i="9"/>
  <c r="D7" i="9" s="1"/>
  <c r="C8" i="9"/>
  <c r="D8" i="9" s="1"/>
  <c r="C9" i="9"/>
  <c r="D9" i="9" s="1"/>
  <c r="C10" i="9"/>
  <c r="D10" i="9" s="1"/>
  <c r="C11" i="9"/>
  <c r="D11" i="9" s="1"/>
  <c r="C12" i="9"/>
  <c r="D12" i="9" s="1"/>
  <c r="C13" i="9"/>
  <c r="D13" i="9" s="1"/>
  <c r="C14" i="9"/>
  <c r="D14" i="9" s="1"/>
  <c r="C15" i="9"/>
  <c r="D15" i="9" s="1"/>
  <c r="C16" i="9"/>
  <c r="D16" i="9" s="1"/>
  <c r="C17" i="9"/>
  <c r="D17" i="9" s="1"/>
  <c r="C18" i="9"/>
  <c r="D18" i="9" s="1"/>
  <c r="C19" i="9"/>
  <c r="D19" i="9" s="1"/>
  <c r="C20" i="9"/>
  <c r="D20" i="9" s="1"/>
  <c r="C21" i="9"/>
  <c r="D21" i="9" s="1"/>
  <c r="C22" i="9"/>
  <c r="D22" i="9" s="1"/>
  <c r="C23" i="9"/>
  <c r="D23" i="9" s="1"/>
  <c r="C24" i="9"/>
  <c r="D24" i="9" s="1"/>
  <c r="C25" i="9"/>
  <c r="D25" i="9" s="1"/>
  <c r="C26" i="9"/>
  <c r="D26" i="9" s="1"/>
  <c r="C27" i="9"/>
  <c r="D27" i="9" s="1"/>
  <c r="C28" i="9"/>
  <c r="D28" i="9" s="1"/>
  <c r="C4" i="9"/>
  <c r="D4" i="9" s="1"/>
  <c r="C3" i="9"/>
  <c r="AE3" i="7"/>
  <c r="AC2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9" i="7"/>
  <c r="AD8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9" i="7"/>
  <c r="AC8" i="7"/>
  <c r="AC4" i="7"/>
  <c r="AB61" i="7"/>
  <c r="AA61" i="7"/>
  <c r="AB60" i="7"/>
  <c r="AA60" i="7"/>
  <c r="AB59" i="7"/>
  <c r="AA59" i="7"/>
  <c r="AB58" i="7"/>
  <c r="AA58" i="7"/>
  <c r="AB57" i="7"/>
  <c r="AA57" i="7"/>
  <c r="AB56" i="7"/>
  <c r="AA56" i="7"/>
  <c r="AB55" i="7"/>
  <c r="AA55" i="7"/>
  <c r="AB54" i="7"/>
  <c r="AA54" i="7"/>
  <c r="AB53" i="7"/>
  <c r="AA53" i="7"/>
  <c r="AB52" i="7"/>
  <c r="AA52" i="7"/>
  <c r="AB51" i="7"/>
  <c r="AA51" i="7"/>
  <c r="AB50" i="7"/>
  <c r="AA50" i="7"/>
  <c r="AB49" i="7"/>
  <c r="AA49" i="7"/>
  <c r="AB48" i="7"/>
  <c r="AA48" i="7"/>
  <c r="AB47" i="7"/>
  <c r="AA47" i="7"/>
  <c r="AB46" i="7"/>
  <c r="AA46" i="7"/>
  <c r="AB45" i="7"/>
  <c r="AA45" i="7"/>
  <c r="AB44" i="7"/>
  <c r="AA44" i="7"/>
  <c r="AB43" i="7"/>
  <c r="AA43" i="7"/>
  <c r="AB42" i="7"/>
  <c r="AA42" i="7"/>
  <c r="AB41" i="7"/>
  <c r="AA41" i="7"/>
  <c r="AB40" i="7"/>
  <c r="AA40" i="7"/>
  <c r="AB39" i="7"/>
  <c r="AA39" i="7"/>
  <c r="AB38" i="7"/>
  <c r="AA38" i="7"/>
  <c r="AB37" i="7"/>
  <c r="AA37" i="7"/>
  <c r="AB36" i="7"/>
  <c r="AA36" i="7"/>
  <c r="AB35" i="7"/>
  <c r="AA35" i="7"/>
  <c r="AB34" i="7"/>
  <c r="AA34" i="7"/>
  <c r="AB33" i="7"/>
  <c r="AA33" i="7"/>
  <c r="AB32" i="7"/>
  <c r="AA32" i="7"/>
  <c r="AB31" i="7"/>
  <c r="AA31" i="7"/>
  <c r="AB30" i="7"/>
  <c r="AA30" i="7"/>
  <c r="AB29" i="7"/>
  <c r="AA29" i="7"/>
  <c r="AB28" i="7"/>
  <c r="AA28" i="7"/>
  <c r="AB27" i="7"/>
  <c r="AA27" i="7"/>
  <c r="AB26" i="7"/>
  <c r="AA26" i="7"/>
  <c r="AB25" i="7"/>
  <c r="AA25" i="7"/>
  <c r="AB24" i="7"/>
  <c r="AA24" i="7"/>
  <c r="AB23" i="7"/>
  <c r="AA23" i="7"/>
  <c r="AB22" i="7"/>
  <c r="AA22" i="7"/>
  <c r="AB21" i="7"/>
  <c r="AA21" i="7"/>
  <c r="AB20" i="7"/>
  <c r="AA20" i="7"/>
  <c r="AB19" i="7"/>
  <c r="AA19" i="7"/>
  <c r="AB18" i="7"/>
  <c r="AA18" i="7"/>
  <c r="AB17" i="7"/>
  <c r="AA17" i="7"/>
  <c r="AB16" i="7"/>
  <c r="AA16" i="7"/>
  <c r="AB15" i="7"/>
  <c r="AA15" i="7"/>
  <c r="AB14" i="7"/>
  <c r="AA14" i="7"/>
  <c r="AB13" i="7"/>
  <c r="AA13" i="7"/>
  <c r="AB12" i="7"/>
  <c r="AA12" i="7"/>
  <c r="AB11" i="7"/>
  <c r="AA11" i="7"/>
  <c r="AB10" i="7"/>
  <c r="AA10" i="7"/>
  <c r="AB9" i="7"/>
  <c r="AA9" i="7"/>
  <c r="F6" i="7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F53" i="7" s="1"/>
  <c r="F54" i="7" s="1"/>
  <c r="F55" i="7" s="1"/>
  <c r="F56" i="7" s="1"/>
  <c r="F57" i="7" s="1"/>
  <c r="F58" i="7" s="1"/>
  <c r="F59" i="7" s="1"/>
  <c r="F60" i="7" s="1"/>
  <c r="F61" i="7" s="1"/>
  <c r="AK7" i="2"/>
  <c r="AK6" i="2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07" i="7"/>
  <c r="B1208" i="7"/>
  <c r="B1209" i="7"/>
  <c r="B1210" i="7"/>
  <c r="B1211" i="7"/>
  <c r="B1212" i="7"/>
  <c r="B1213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29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45" i="7"/>
  <c r="B1246" i="7"/>
  <c r="B1247" i="7"/>
  <c r="B1248" i="7"/>
  <c r="B1249" i="7"/>
  <c r="B1250" i="7"/>
  <c r="B1251" i="7"/>
  <c r="B1252" i="7"/>
  <c r="B1253" i="7"/>
  <c r="B1254" i="7"/>
  <c r="B1255" i="7"/>
  <c r="B1256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0" i="7"/>
  <c r="B1271" i="7"/>
  <c r="B1272" i="7"/>
  <c r="B1273" i="7"/>
  <c r="B1274" i="7"/>
  <c r="B1275" i="7"/>
  <c r="B1276" i="7"/>
  <c r="B1277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6" i="7"/>
  <c r="B1297" i="7"/>
  <c r="B1298" i="7"/>
  <c r="B1299" i="7"/>
  <c r="B1300" i="7"/>
  <c r="B1301" i="7"/>
  <c r="B1302" i="7"/>
  <c r="B1303" i="7"/>
  <c r="B1304" i="7"/>
  <c r="B1305" i="7"/>
  <c r="B1306" i="7"/>
  <c r="B1307" i="7"/>
  <c r="B1308" i="7"/>
  <c r="B1309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5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7" i="7"/>
  <c r="B1358" i="7"/>
  <c r="B1359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3" i="7"/>
  <c r="B1374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B1402" i="7"/>
  <c r="B1403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B1416" i="7"/>
  <c r="B1417" i="7"/>
  <c r="B1418" i="7"/>
  <c r="B1419" i="7"/>
  <c r="B1420" i="7"/>
  <c r="B1421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4" i="7"/>
  <c r="B1435" i="7"/>
  <c r="B1436" i="7"/>
  <c r="B1437" i="7"/>
  <c r="B1438" i="7"/>
  <c r="B1439" i="7"/>
  <c r="B1440" i="7"/>
  <c r="B1441" i="7"/>
  <c r="B1442" i="7"/>
  <c r="B1443" i="7"/>
  <c r="B1444" i="7"/>
  <c r="B1445" i="7"/>
  <c r="B1446" i="7"/>
  <c r="B1447" i="7"/>
  <c r="B1448" i="7"/>
  <c r="B1449" i="7"/>
  <c r="B1450" i="7"/>
  <c r="B1451" i="7"/>
  <c r="B1452" i="7"/>
  <c r="B1453" i="7"/>
  <c r="B1454" i="7"/>
  <c r="B1455" i="7"/>
  <c r="B1456" i="7"/>
  <c r="B1457" i="7"/>
  <c r="B1458" i="7"/>
  <c r="B1459" i="7"/>
  <c r="B1460" i="7"/>
  <c r="B1461" i="7"/>
  <c r="B1462" i="7"/>
  <c r="B1463" i="7"/>
  <c r="B1464" i="7"/>
  <c r="B1465" i="7"/>
  <c r="B1466" i="7"/>
  <c r="B1467" i="7"/>
  <c r="B1468" i="7"/>
  <c r="B1469" i="7"/>
  <c r="B1470" i="7"/>
  <c r="B1471" i="7"/>
  <c r="B1472" i="7"/>
  <c r="B1473" i="7"/>
  <c r="B1474" i="7"/>
  <c r="B1475" i="7"/>
  <c r="B1476" i="7"/>
  <c r="B1477" i="7"/>
  <c r="B1478" i="7"/>
  <c r="B1479" i="7"/>
  <c r="B1480" i="7"/>
  <c r="B1481" i="7"/>
  <c r="B1482" i="7"/>
  <c r="B1483" i="7"/>
  <c r="B1484" i="7"/>
  <c r="B1485" i="7"/>
  <c r="B1486" i="7"/>
  <c r="B1487" i="7"/>
  <c r="B1488" i="7"/>
  <c r="B1489" i="7"/>
  <c r="B1490" i="7"/>
  <c r="B1491" i="7"/>
  <c r="B1492" i="7"/>
  <c r="B1493" i="7"/>
  <c r="B1494" i="7"/>
  <c r="B1495" i="7"/>
  <c r="B1496" i="7"/>
  <c r="B1497" i="7"/>
  <c r="B1498" i="7"/>
  <c r="B1499" i="7"/>
  <c r="B1500" i="7"/>
  <c r="B1501" i="7"/>
  <c r="B1502" i="7"/>
  <c r="B3" i="7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4" i="2"/>
  <c r="R46" i="2"/>
  <c r="R47" i="2"/>
  <c r="R48" i="2"/>
  <c r="R94" i="2"/>
  <c r="R95" i="2"/>
  <c r="R96" i="2"/>
  <c r="R97" i="2"/>
  <c r="R142" i="2"/>
  <c r="R143" i="2"/>
  <c r="R144" i="2"/>
  <c r="R145" i="2"/>
  <c r="R147" i="2"/>
  <c r="R148" i="2"/>
  <c r="R190" i="2"/>
  <c r="R191" i="2"/>
  <c r="R192" i="2"/>
  <c r="R238" i="2"/>
  <c r="R239" i="2"/>
  <c r="R240" i="2"/>
  <c r="R241" i="2"/>
  <c r="R244" i="2"/>
  <c r="R268" i="2"/>
  <c r="R286" i="2"/>
  <c r="R287" i="2"/>
  <c r="R288" i="2"/>
  <c r="R334" i="2"/>
  <c r="R335" i="2"/>
  <c r="R336" i="2"/>
  <c r="R337" i="2"/>
  <c r="R339" i="2"/>
  <c r="R382" i="2"/>
  <c r="R383" i="2"/>
  <c r="R384" i="2"/>
  <c r="R385" i="2"/>
  <c r="R412" i="2"/>
  <c r="R430" i="2"/>
  <c r="R431" i="2"/>
  <c r="R432" i="2"/>
  <c r="R478" i="2"/>
  <c r="R479" i="2"/>
  <c r="R480" i="2"/>
  <c r="R481" i="2"/>
  <c r="R483" i="2"/>
  <c r="R508" i="2"/>
  <c r="R526" i="2"/>
  <c r="R527" i="2"/>
  <c r="R574" i="2"/>
  <c r="R575" i="2"/>
  <c r="R576" i="2"/>
  <c r="R579" i="2"/>
  <c r="R580" i="2"/>
  <c r="R622" i="2"/>
  <c r="R623" i="2"/>
  <c r="R670" i="2"/>
  <c r="R671" i="2"/>
  <c r="R672" i="2"/>
  <c r="R673" i="2"/>
  <c r="R718" i="2"/>
  <c r="R719" i="2"/>
  <c r="R724" i="2"/>
  <c r="R766" i="2"/>
  <c r="R767" i="2"/>
  <c r="R814" i="2"/>
  <c r="R815" i="2"/>
  <c r="R816" i="2"/>
  <c r="R817" i="2"/>
  <c r="R820" i="2"/>
  <c r="R844" i="2"/>
  <c r="R862" i="2"/>
  <c r="R863" i="2"/>
  <c r="R910" i="2"/>
  <c r="R911" i="2"/>
  <c r="R913" i="2"/>
  <c r="R915" i="2"/>
  <c r="R958" i="2"/>
  <c r="R973" i="2"/>
  <c r="R983" i="2"/>
  <c r="R984" i="2"/>
  <c r="R985" i="2"/>
  <c r="R1017" i="2"/>
  <c r="R1019" i="2"/>
  <c r="R1020" i="2"/>
  <c r="R1033" i="2"/>
  <c r="R1040" i="2"/>
  <c r="R1064" i="2"/>
  <c r="R1065" i="2"/>
  <c r="R1067" i="2"/>
  <c r="R1068" i="2"/>
  <c r="R1069" i="2"/>
  <c r="R1088" i="2"/>
  <c r="R1105" i="2"/>
  <c r="R1112" i="2"/>
  <c r="R1113" i="2"/>
  <c r="R1115" i="2"/>
  <c r="R1136" i="2"/>
  <c r="R1139" i="2"/>
  <c r="R1140" i="2"/>
  <c r="R1141" i="2"/>
  <c r="R1161" i="2"/>
  <c r="R1163" i="2"/>
  <c r="R1185" i="2"/>
  <c r="R1187" i="2"/>
  <c r="R1189" i="2"/>
  <c r="R1200" i="2"/>
  <c r="R1206" i="2"/>
  <c r="R1223" i="2"/>
  <c r="R1224" i="2"/>
  <c r="R1230" i="2"/>
  <c r="R1260" i="2"/>
  <c r="R1266" i="2"/>
  <c r="R1269" i="2"/>
  <c r="R1283" i="2"/>
  <c r="R1284" i="2"/>
  <c r="R1285" i="2"/>
  <c r="R1296" i="2"/>
  <c r="R1297" i="2"/>
  <c r="R1317" i="2"/>
  <c r="R1319" i="2"/>
  <c r="R1321" i="2"/>
  <c r="R1326" i="2"/>
  <c r="R1333" i="2"/>
  <c r="R1353" i="2"/>
  <c r="R1355" i="2"/>
  <c r="R1356" i="2"/>
  <c r="R1362" i="2"/>
  <c r="R1377" i="2"/>
  <c r="R1389" i="2"/>
  <c r="R1390" i="2"/>
  <c r="R1392" i="2"/>
  <c r="R1424" i="2"/>
  <c r="R1441" i="2"/>
  <c r="R1446" i="2"/>
  <c r="R1449" i="2"/>
  <c r="R1476" i="2"/>
  <c r="R1482" i="2"/>
  <c r="R1485" i="2"/>
  <c r="R1501" i="2"/>
  <c r="Q111" i="2"/>
  <c r="Q112" i="2"/>
  <c r="Q114" i="2"/>
  <c r="Q186" i="2"/>
  <c r="Q208" i="2"/>
  <c r="Q210" i="2"/>
  <c r="Q211" i="2"/>
  <c r="Q300" i="2"/>
  <c r="Q336" i="2"/>
  <c r="Q423" i="2"/>
  <c r="Q424" i="2"/>
  <c r="Q432" i="2"/>
  <c r="Q435" i="2"/>
  <c r="Q459" i="2"/>
  <c r="Q579" i="2"/>
  <c r="Q617" i="2"/>
  <c r="Q764" i="2"/>
  <c r="Q768" i="2"/>
  <c r="Q771" i="2"/>
  <c r="Q804" i="2"/>
  <c r="Q856" i="2"/>
  <c r="Q932" i="2"/>
  <c r="Q1022" i="2"/>
  <c r="Q1037" i="2"/>
  <c r="Q1059" i="2"/>
  <c r="Q1093" i="2"/>
  <c r="Q1116" i="2"/>
  <c r="Q1129" i="2"/>
  <c r="Q1130" i="2"/>
  <c r="Q1132" i="2"/>
  <c r="Q1218" i="2"/>
  <c r="Q1225" i="2"/>
  <c r="Q1274" i="2"/>
  <c r="Q1275" i="2"/>
  <c r="Q1368" i="2"/>
  <c r="Q1369" i="2"/>
  <c r="Q1382" i="2"/>
  <c r="Q1383" i="2"/>
  <c r="Q1441" i="2"/>
  <c r="Q1442" i="2"/>
  <c r="Q1464" i="2"/>
  <c r="Q1465" i="2"/>
  <c r="Q1467" i="2"/>
  <c r="L5" i="2"/>
  <c r="M5" i="2" s="1"/>
  <c r="L6" i="2"/>
  <c r="M6" i="2" s="1"/>
  <c r="L7" i="2"/>
  <c r="M7" i="2" s="1"/>
  <c r="L8" i="2"/>
  <c r="M8" i="2" s="1"/>
  <c r="L9" i="2"/>
  <c r="M9" i="2" s="1"/>
  <c r="L10" i="2"/>
  <c r="M10" i="2" s="1"/>
  <c r="R10" i="2" s="1"/>
  <c r="L11" i="2"/>
  <c r="M11" i="2" s="1"/>
  <c r="R11" i="2" s="1"/>
  <c r="L12" i="2"/>
  <c r="M12" i="2" s="1"/>
  <c r="R12" i="2" s="1"/>
  <c r="L13" i="2"/>
  <c r="M13" i="2" s="1"/>
  <c r="L14" i="2"/>
  <c r="M14" i="2" s="1"/>
  <c r="L15" i="2"/>
  <c r="M15" i="2" s="1"/>
  <c r="L16" i="2"/>
  <c r="M16" i="2" s="1"/>
  <c r="L17" i="2"/>
  <c r="M17" i="2" s="1"/>
  <c r="R17" i="2" s="1"/>
  <c r="L18" i="2"/>
  <c r="M18" i="2" s="1"/>
  <c r="L19" i="2"/>
  <c r="M19" i="2" s="1"/>
  <c r="L20" i="2"/>
  <c r="M20" i="2" s="1"/>
  <c r="L21" i="2"/>
  <c r="M21" i="2" s="1"/>
  <c r="L22" i="2"/>
  <c r="M22" i="2" s="1"/>
  <c r="Q22" i="2" s="1"/>
  <c r="L23" i="2"/>
  <c r="M23" i="2" s="1"/>
  <c r="Q23" i="2" s="1"/>
  <c r="L24" i="2"/>
  <c r="M24" i="2" s="1"/>
  <c r="Q24" i="2" s="1"/>
  <c r="L25" i="2"/>
  <c r="M25" i="2" s="1"/>
  <c r="R25" i="2" s="1"/>
  <c r="L26" i="2"/>
  <c r="M26" i="2" s="1"/>
  <c r="L27" i="2"/>
  <c r="M27" i="2" s="1"/>
  <c r="L28" i="2"/>
  <c r="M28" i="2" s="1"/>
  <c r="Q28" i="2" s="1"/>
  <c r="L29" i="2"/>
  <c r="M29" i="2" s="1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R35" i="2" s="1"/>
  <c r="L36" i="2"/>
  <c r="M36" i="2" s="1"/>
  <c r="L37" i="2"/>
  <c r="M37" i="2" s="1"/>
  <c r="L38" i="2"/>
  <c r="M38" i="2" s="1"/>
  <c r="R38" i="2" s="1"/>
  <c r="L39" i="2"/>
  <c r="M39" i="2" s="1"/>
  <c r="R39" i="2" s="1"/>
  <c r="L40" i="2"/>
  <c r="M40" i="2" s="1"/>
  <c r="R40" i="2" s="1"/>
  <c r="L41" i="2"/>
  <c r="M41" i="2" s="1"/>
  <c r="L42" i="2"/>
  <c r="M42" i="2" s="1"/>
  <c r="L43" i="2"/>
  <c r="M43" i="2" s="1"/>
  <c r="L44" i="2"/>
  <c r="M44" i="2" s="1"/>
  <c r="L45" i="2"/>
  <c r="M45" i="2" s="1"/>
  <c r="L46" i="2"/>
  <c r="M46" i="2" s="1"/>
  <c r="Q46" i="2" s="1"/>
  <c r="L47" i="2"/>
  <c r="M47" i="2" s="1"/>
  <c r="Q47" i="2" s="1"/>
  <c r="L48" i="2"/>
  <c r="M48" i="2" s="1"/>
  <c r="Q48" i="2" s="1"/>
  <c r="L49" i="2"/>
  <c r="M49" i="2" s="1"/>
  <c r="Q49" i="2" s="1"/>
  <c r="L50" i="2"/>
  <c r="M50" i="2" s="1"/>
  <c r="R50" i="2" s="1"/>
  <c r="L51" i="2"/>
  <c r="M51" i="2" s="1"/>
  <c r="Q51" i="2" s="1"/>
  <c r="L52" i="2"/>
  <c r="M52" i="2" s="1"/>
  <c r="Q52" i="2" s="1"/>
  <c r="L53" i="2"/>
  <c r="M53" i="2" s="1"/>
  <c r="L54" i="2"/>
  <c r="M54" i="2" s="1"/>
  <c r="L55" i="2"/>
  <c r="M55" i="2" s="1"/>
  <c r="R55" i="2" s="1"/>
  <c r="L56" i="2"/>
  <c r="M56" i="2" s="1"/>
  <c r="R56" i="2" s="1"/>
  <c r="L57" i="2"/>
  <c r="M57" i="2" s="1"/>
  <c r="R57" i="2" s="1"/>
  <c r="L58" i="2"/>
  <c r="M58" i="2" s="1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 s="1"/>
  <c r="R64" i="2" s="1"/>
  <c r="L65" i="2"/>
  <c r="M65" i="2" s="1"/>
  <c r="L66" i="2"/>
  <c r="M66" i="2" s="1"/>
  <c r="L67" i="2"/>
  <c r="M67" i="2" s="1"/>
  <c r="L68" i="2"/>
  <c r="M68" i="2" s="1"/>
  <c r="R68" i="2" s="1"/>
  <c r="L69" i="2"/>
  <c r="M69" i="2" s="1"/>
  <c r="R69" i="2" s="1"/>
  <c r="L70" i="2"/>
  <c r="M70" i="2" s="1"/>
  <c r="Q70" i="2" s="1"/>
  <c r="L71" i="2"/>
  <c r="M71" i="2" s="1"/>
  <c r="Q71" i="2" s="1"/>
  <c r="L72" i="2"/>
  <c r="M72" i="2" s="1"/>
  <c r="Q72" i="2" s="1"/>
  <c r="L73" i="2"/>
  <c r="M73" i="2" s="1"/>
  <c r="R73" i="2" s="1"/>
  <c r="L74" i="2"/>
  <c r="M74" i="2" s="1"/>
  <c r="L75" i="2"/>
  <c r="M75" i="2" s="1"/>
  <c r="L76" i="2"/>
  <c r="M76" i="2" s="1"/>
  <c r="Q76" i="2" s="1"/>
  <c r="L77" i="2"/>
  <c r="M77" i="2" s="1"/>
  <c r="L78" i="2"/>
  <c r="M78" i="2" s="1"/>
  <c r="L79" i="2"/>
  <c r="M79" i="2" s="1"/>
  <c r="L80" i="2"/>
  <c r="M80" i="2" s="1"/>
  <c r="L81" i="2"/>
  <c r="M81" i="2" s="1"/>
  <c r="R81" i="2" s="1"/>
  <c r="L82" i="2"/>
  <c r="M82" i="2" s="1"/>
  <c r="L83" i="2"/>
  <c r="M83" i="2" s="1"/>
  <c r="L84" i="2"/>
  <c r="M84" i="2" s="1"/>
  <c r="L85" i="2"/>
  <c r="M85" i="2" s="1"/>
  <c r="L86" i="2"/>
  <c r="M86" i="2" s="1"/>
  <c r="L87" i="2"/>
  <c r="M87" i="2" s="1"/>
  <c r="L88" i="2"/>
  <c r="M88" i="2" s="1"/>
  <c r="L89" i="2"/>
  <c r="M89" i="2" s="1"/>
  <c r="L90" i="2"/>
  <c r="M90" i="2" s="1"/>
  <c r="L91" i="2"/>
  <c r="M91" i="2" s="1"/>
  <c r="L92" i="2"/>
  <c r="M92" i="2" s="1"/>
  <c r="L93" i="2"/>
  <c r="M93" i="2" s="1"/>
  <c r="L94" i="2"/>
  <c r="M94" i="2" s="1"/>
  <c r="Q94" i="2" s="1"/>
  <c r="L95" i="2"/>
  <c r="M95" i="2" s="1"/>
  <c r="L96" i="2"/>
  <c r="M96" i="2" s="1"/>
  <c r="L97" i="2"/>
  <c r="M97" i="2" s="1"/>
  <c r="Q97" i="2" s="1"/>
  <c r="L98" i="2"/>
  <c r="M98" i="2" s="1"/>
  <c r="L99" i="2"/>
  <c r="M99" i="2" s="1"/>
  <c r="Q99" i="2" s="1"/>
  <c r="L100" i="2"/>
  <c r="M100" i="2" s="1"/>
  <c r="R100" i="2" s="1"/>
  <c r="L101" i="2"/>
  <c r="M101" i="2" s="1"/>
  <c r="R101" i="2" s="1"/>
  <c r="L102" i="2"/>
  <c r="M102" i="2" s="1"/>
  <c r="L103" i="2"/>
  <c r="M103" i="2" s="1"/>
  <c r="R103" i="2" s="1"/>
  <c r="L104" i="2"/>
  <c r="M104" i="2" s="1"/>
  <c r="L105" i="2"/>
  <c r="M105" i="2" s="1"/>
  <c r="R105" i="2" s="1"/>
  <c r="L106" i="2"/>
  <c r="M106" i="2" s="1"/>
  <c r="L107" i="2"/>
  <c r="M107" i="2" s="1"/>
  <c r="L108" i="2"/>
  <c r="M108" i="2" s="1"/>
  <c r="L109" i="2"/>
  <c r="M109" i="2" s="1"/>
  <c r="L110" i="2"/>
  <c r="M110" i="2" s="1"/>
  <c r="L111" i="2"/>
  <c r="M111" i="2" s="1"/>
  <c r="R111" i="2" s="1"/>
  <c r="L112" i="2"/>
  <c r="M112" i="2" s="1"/>
  <c r="R112" i="2" s="1"/>
  <c r="L113" i="2"/>
  <c r="M113" i="2" s="1"/>
  <c r="R113" i="2" s="1"/>
  <c r="L114" i="2"/>
  <c r="M114" i="2" s="1"/>
  <c r="R114" i="2" s="1"/>
  <c r="L115" i="2"/>
  <c r="M115" i="2" s="1"/>
  <c r="L116" i="2"/>
  <c r="M116" i="2" s="1"/>
  <c r="L117" i="2"/>
  <c r="M117" i="2" s="1"/>
  <c r="L118" i="2"/>
  <c r="M118" i="2" s="1"/>
  <c r="Q118" i="2" s="1"/>
  <c r="L119" i="2"/>
  <c r="M119" i="2" s="1"/>
  <c r="Q119" i="2" s="1"/>
  <c r="L120" i="2"/>
  <c r="M120" i="2" s="1"/>
  <c r="R120" i="2" s="1"/>
  <c r="L121" i="2"/>
  <c r="M121" i="2" s="1"/>
  <c r="L122" i="2"/>
  <c r="M122" i="2" s="1"/>
  <c r="L123" i="2"/>
  <c r="M123" i="2" s="1"/>
  <c r="L124" i="2"/>
  <c r="M124" i="2" s="1"/>
  <c r="R124" i="2" s="1"/>
  <c r="L125" i="2"/>
  <c r="M125" i="2" s="1"/>
  <c r="L126" i="2"/>
  <c r="M126" i="2" s="1"/>
  <c r="L127" i="2"/>
  <c r="M127" i="2" s="1"/>
  <c r="L128" i="2"/>
  <c r="M128" i="2" s="1"/>
  <c r="L129" i="2"/>
  <c r="M129" i="2" s="1"/>
  <c r="L130" i="2"/>
  <c r="M130" i="2" s="1"/>
  <c r="L131" i="2"/>
  <c r="M131" i="2" s="1"/>
  <c r="L132" i="2"/>
  <c r="M132" i="2" s="1"/>
  <c r="R132" i="2" s="1"/>
  <c r="L133" i="2"/>
  <c r="M133" i="2" s="1"/>
  <c r="L134" i="2"/>
  <c r="M134" i="2" s="1"/>
  <c r="R134" i="2" s="1"/>
  <c r="L135" i="2"/>
  <c r="M135" i="2" s="1"/>
  <c r="L136" i="2"/>
  <c r="M136" i="2" s="1"/>
  <c r="L137" i="2"/>
  <c r="M137" i="2" s="1"/>
  <c r="L138" i="2"/>
  <c r="M138" i="2" s="1"/>
  <c r="L139" i="2"/>
  <c r="M139" i="2" s="1"/>
  <c r="L140" i="2"/>
  <c r="M140" i="2" s="1"/>
  <c r="L141" i="2"/>
  <c r="M141" i="2" s="1"/>
  <c r="L142" i="2"/>
  <c r="M142" i="2" s="1"/>
  <c r="Q142" i="2" s="1"/>
  <c r="L143" i="2"/>
  <c r="M143" i="2" s="1"/>
  <c r="Q143" i="2" s="1"/>
  <c r="L144" i="2"/>
  <c r="M144" i="2" s="1"/>
  <c r="L145" i="2"/>
  <c r="M145" i="2" s="1"/>
  <c r="Q145" i="2" s="1"/>
  <c r="L146" i="2"/>
  <c r="M146" i="2" s="1"/>
  <c r="R146" i="2" s="1"/>
  <c r="L147" i="2"/>
  <c r="M147" i="2" s="1"/>
  <c r="Q147" i="2" s="1"/>
  <c r="L148" i="2"/>
  <c r="M148" i="2" s="1"/>
  <c r="Q148" i="2" s="1"/>
  <c r="L149" i="2"/>
  <c r="M149" i="2" s="1"/>
  <c r="L150" i="2"/>
  <c r="M150" i="2" s="1"/>
  <c r="L151" i="2"/>
  <c r="M151" i="2" s="1"/>
  <c r="L152" i="2"/>
  <c r="M152" i="2" s="1"/>
  <c r="L153" i="2"/>
  <c r="M153" i="2" s="1"/>
  <c r="R153" i="2" s="1"/>
  <c r="L154" i="2"/>
  <c r="M154" i="2" s="1"/>
  <c r="R154" i="2" s="1"/>
  <c r="L155" i="2"/>
  <c r="M155" i="2" s="1"/>
  <c r="L156" i="2"/>
  <c r="M156" i="2" s="1"/>
  <c r="L157" i="2"/>
  <c r="M157" i="2" s="1"/>
  <c r="L158" i="2"/>
  <c r="M158" i="2" s="1"/>
  <c r="L159" i="2"/>
  <c r="M159" i="2" s="1"/>
  <c r="L160" i="2"/>
  <c r="M160" i="2" s="1"/>
  <c r="L161" i="2"/>
  <c r="M161" i="2" s="1"/>
  <c r="R161" i="2" s="1"/>
  <c r="L162" i="2"/>
  <c r="M162" i="2" s="1"/>
  <c r="L163" i="2"/>
  <c r="M163" i="2" s="1"/>
  <c r="L164" i="2"/>
  <c r="M164" i="2" s="1"/>
  <c r="L165" i="2"/>
  <c r="M165" i="2" s="1"/>
  <c r="L166" i="2"/>
  <c r="M166" i="2" s="1"/>
  <c r="R166" i="2" s="1"/>
  <c r="L167" i="2"/>
  <c r="M167" i="2" s="1"/>
  <c r="R167" i="2" s="1"/>
  <c r="L168" i="2"/>
  <c r="M168" i="2" s="1"/>
  <c r="Q168" i="2" s="1"/>
  <c r="L169" i="2"/>
  <c r="M169" i="2" s="1"/>
  <c r="L170" i="2"/>
  <c r="M170" i="2" s="1"/>
  <c r="L171" i="2"/>
  <c r="M171" i="2" s="1"/>
  <c r="L172" i="2"/>
  <c r="M172" i="2" s="1"/>
  <c r="Q172" i="2" s="1"/>
  <c r="L173" i="2"/>
  <c r="M173" i="2" s="1"/>
  <c r="L174" i="2"/>
  <c r="M174" i="2" s="1"/>
  <c r="L175" i="2"/>
  <c r="M175" i="2" s="1"/>
  <c r="R175" i="2" s="1"/>
  <c r="L176" i="2"/>
  <c r="M176" i="2" s="1"/>
  <c r="L177" i="2"/>
  <c r="M177" i="2" s="1"/>
  <c r="L178" i="2"/>
  <c r="M178" i="2" s="1"/>
  <c r="L179" i="2"/>
  <c r="M179" i="2" s="1"/>
  <c r="L180" i="2"/>
  <c r="M180" i="2" s="1"/>
  <c r="R180" i="2" s="1"/>
  <c r="L181" i="2"/>
  <c r="M181" i="2" s="1"/>
  <c r="R181" i="2" s="1"/>
  <c r="L182" i="2"/>
  <c r="M182" i="2" s="1"/>
  <c r="L183" i="2"/>
  <c r="M183" i="2" s="1"/>
  <c r="L184" i="2"/>
  <c r="M184" i="2" s="1"/>
  <c r="L185" i="2"/>
  <c r="M185" i="2" s="1"/>
  <c r="R185" i="2" s="1"/>
  <c r="L186" i="2"/>
  <c r="M186" i="2" s="1"/>
  <c r="R186" i="2" s="1"/>
  <c r="L187" i="2"/>
  <c r="M187" i="2" s="1"/>
  <c r="L188" i="2"/>
  <c r="M188" i="2" s="1"/>
  <c r="L189" i="2"/>
  <c r="M189" i="2" s="1"/>
  <c r="L190" i="2"/>
  <c r="M190" i="2" s="1"/>
  <c r="Q190" i="2" s="1"/>
  <c r="L191" i="2"/>
  <c r="M191" i="2" s="1"/>
  <c r="Q191" i="2" s="1"/>
  <c r="L192" i="2"/>
  <c r="M192" i="2" s="1"/>
  <c r="Q192" i="2" s="1"/>
  <c r="L193" i="2"/>
  <c r="M193" i="2" s="1"/>
  <c r="Q193" i="2" s="1"/>
  <c r="L194" i="2"/>
  <c r="M194" i="2" s="1"/>
  <c r="L195" i="2"/>
  <c r="M195" i="2" s="1"/>
  <c r="Q195" i="2" s="1"/>
  <c r="L196" i="2"/>
  <c r="M196" i="2" s="1"/>
  <c r="Q196" i="2" s="1"/>
  <c r="L197" i="2"/>
  <c r="M197" i="2" s="1"/>
  <c r="L198" i="2"/>
  <c r="M198" i="2" s="1"/>
  <c r="L199" i="2"/>
  <c r="M199" i="2" s="1"/>
  <c r="L200" i="2"/>
  <c r="M200" i="2" s="1"/>
  <c r="L201" i="2"/>
  <c r="M201" i="2" s="1"/>
  <c r="L202" i="2"/>
  <c r="M202" i="2" s="1"/>
  <c r="L203" i="2"/>
  <c r="M203" i="2" s="1"/>
  <c r="R203" i="2" s="1"/>
  <c r="L204" i="2"/>
  <c r="M204" i="2" s="1"/>
  <c r="L205" i="2"/>
  <c r="M205" i="2" s="1"/>
  <c r="L206" i="2"/>
  <c r="M206" i="2" s="1"/>
  <c r="R206" i="2" s="1"/>
  <c r="L207" i="2"/>
  <c r="M207" i="2" s="1"/>
  <c r="L208" i="2"/>
  <c r="M208" i="2" s="1"/>
  <c r="R208" i="2" s="1"/>
  <c r="L209" i="2"/>
  <c r="M209" i="2" s="1"/>
  <c r="R209" i="2" s="1"/>
  <c r="L210" i="2"/>
  <c r="M210" i="2" s="1"/>
  <c r="R210" i="2" s="1"/>
  <c r="L211" i="2"/>
  <c r="M211" i="2" s="1"/>
  <c r="R211" i="2" s="1"/>
  <c r="L212" i="2"/>
  <c r="M212" i="2" s="1"/>
  <c r="L213" i="2"/>
  <c r="M213" i="2" s="1"/>
  <c r="L214" i="2"/>
  <c r="M214" i="2" s="1"/>
  <c r="Q214" i="2" s="1"/>
  <c r="L215" i="2"/>
  <c r="M215" i="2" s="1"/>
  <c r="R215" i="2" s="1"/>
  <c r="L216" i="2"/>
  <c r="M216" i="2" s="1"/>
  <c r="R216" i="2" s="1"/>
  <c r="L217" i="2"/>
  <c r="M217" i="2" s="1"/>
  <c r="R217" i="2" s="1"/>
  <c r="L218" i="2"/>
  <c r="M218" i="2" s="1"/>
  <c r="L219" i="2"/>
  <c r="M219" i="2" s="1"/>
  <c r="L220" i="2"/>
  <c r="M220" i="2" s="1"/>
  <c r="Q220" i="2" s="1"/>
  <c r="L221" i="2"/>
  <c r="M221" i="2" s="1"/>
  <c r="L222" i="2"/>
  <c r="M222" i="2" s="1"/>
  <c r="L223" i="2"/>
  <c r="M223" i="2" s="1"/>
  <c r="R223" i="2" s="1"/>
  <c r="L224" i="2"/>
  <c r="M224" i="2" s="1"/>
  <c r="L225" i="2"/>
  <c r="M225" i="2" s="1"/>
  <c r="L226" i="2"/>
  <c r="M226" i="2" s="1"/>
  <c r="R226" i="2" s="1"/>
  <c r="L227" i="2"/>
  <c r="M227" i="2" s="1"/>
  <c r="R227" i="2" s="1"/>
  <c r="L228" i="2"/>
  <c r="M228" i="2" s="1"/>
  <c r="L229" i="2"/>
  <c r="M229" i="2" s="1"/>
  <c r="L230" i="2"/>
  <c r="M230" i="2" s="1"/>
  <c r="L231" i="2"/>
  <c r="M231" i="2" s="1"/>
  <c r="L232" i="2"/>
  <c r="M232" i="2" s="1"/>
  <c r="L233" i="2"/>
  <c r="M233" i="2" s="1"/>
  <c r="L234" i="2"/>
  <c r="M234" i="2" s="1"/>
  <c r="L235" i="2"/>
  <c r="M235" i="2" s="1"/>
  <c r="L236" i="2"/>
  <c r="M236" i="2" s="1"/>
  <c r="L237" i="2"/>
  <c r="M237" i="2" s="1"/>
  <c r="L238" i="2"/>
  <c r="M238" i="2" s="1"/>
  <c r="Q238" i="2" s="1"/>
  <c r="L239" i="2"/>
  <c r="M239" i="2" s="1"/>
  <c r="Q239" i="2" s="1"/>
  <c r="L240" i="2"/>
  <c r="M240" i="2" s="1"/>
  <c r="L241" i="2"/>
  <c r="M241" i="2" s="1"/>
  <c r="Q241" i="2" s="1"/>
  <c r="L242" i="2"/>
  <c r="M242" i="2" s="1"/>
  <c r="L243" i="2"/>
  <c r="M243" i="2" s="1"/>
  <c r="Q243" i="2" s="1"/>
  <c r="L244" i="2"/>
  <c r="M244" i="2" s="1"/>
  <c r="L245" i="2"/>
  <c r="M245" i="2" s="1"/>
  <c r="L246" i="2"/>
  <c r="M246" i="2" s="1"/>
  <c r="L247" i="2"/>
  <c r="M247" i="2" s="1"/>
  <c r="L248" i="2"/>
  <c r="M248" i="2" s="1"/>
  <c r="L249" i="2"/>
  <c r="M249" i="2" s="1"/>
  <c r="L250" i="2"/>
  <c r="M250" i="2" s="1"/>
  <c r="L251" i="2"/>
  <c r="M251" i="2" s="1"/>
  <c r="L252" i="2"/>
  <c r="M252" i="2" s="1"/>
  <c r="L253" i="2"/>
  <c r="M253" i="2" s="1"/>
  <c r="L254" i="2"/>
  <c r="M254" i="2" s="1"/>
  <c r="L255" i="2"/>
  <c r="M255" i="2" s="1"/>
  <c r="L256" i="2"/>
  <c r="M256" i="2" s="1"/>
  <c r="L257" i="2"/>
  <c r="M257" i="2" s="1"/>
  <c r="L258" i="2"/>
  <c r="M258" i="2" s="1"/>
  <c r="L259" i="2"/>
  <c r="M259" i="2" s="1"/>
  <c r="L260" i="2"/>
  <c r="M260" i="2" s="1"/>
  <c r="L261" i="2"/>
  <c r="M261" i="2" s="1"/>
  <c r="R261" i="2" s="1"/>
  <c r="L262" i="2"/>
  <c r="M262" i="2" s="1"/>
  <c r="R262" i="2" s="1"/>
  <c r="L263" i="2"/>
  <c r="M263" i="2" s="1"/>
  <c r="Q263" i="2" s="1"/>
  <c r="L264" i="2"/>
  <c r="M264" i="2" s="1"/>
  <c r="Q264" i="2" s="1"/>
  <c r="L265" i="2"/>
  <c r="M265" i="2" s="1"/>
  <c r="R265" i="2" s="1"/>
  <c r="L266" i="2"/>
  <c r="M266" i="2" s="1"/>
  <c r="L267" i="2"/>
  <c r="M267" i="2" s="1"/>
  <c r="L268" i="2"/>
  <c r="M268" i="2" s="1"/>
  <c r="Q268" i="2" s="1"/>
  <c r="L269" i="2"/>
  <c r="M269" i="2" s="1"/>
  <c r="L270" i="2"/>
  <c r="M270" i="2" s="1"/>
  <c r="L271" i="2"/>
  <c r="M271" i="2" s="1"/>
  <c r="R271" i="2" s="1"/>
  <c r="L272" i="2"/>
  <c r="M272" i="2" s="1"/>
  <c r="L273" i="2"/>
  <c r="M273" i="2" s="1"/>
  <c r="L274" i="2"/>
  <c r="M274" i="2" s="1"/>
  <c r="L275" i="2"/>
  <c r="M275" i="2" s="1"/>
  <c r="R275" i="2" s="1"/>
  <c r="L276" i="2"/>
  <c r="M276" i="2" s="1"/>
  <c r="L277" i="2"/>
  <c r="M277" i="2" s="1"/>
  <c r="L278" i="2"/>
  <c r="M278" i="2" s="1"/>
  <c r="L279" i="2"/>
  <c r="M279" i="2" s="1"/>
  <c r="L280" i="2"/>
  <c r="M280" i="2" s="1"/>
  <c r="L281" i="2"/>
  <c r="M281" i="2" s="1"/>
  <c r="L282" i="2"/>
  <c r="M282" i="2" s="1"/>
  <c r="L283" i="2"/>
  <c r="M283" i="2" s="1"/>
  <c r="L284" i="2"/>
  <c r="M284" i="2" s="1"/>
  <c r="R284" i="2" s="1"/>
  <c r="L285" i="2"/>
  <c r="M285" i="2" s="1"/>
  <c r="R285" i="2" s="1"/>
  <c r="L286" i="2"/>
  <c r="M286" i="2" s="1"/>
  <c r="Q286" i="2" s="1"/>
  <c r="L287" i="2"/>
  <c r="M287" i="2" s="1"/>
  <c r="L288" i="2"/>
  <c r="M288" i="2" s="1"/>
  <c r="L289" i="2"/>
  <c r="M289" i="2" s="1"/>
  <c r="Q289" i="2" s="1"/>
  <c r="L290" i="2"/>
  <c r="M290" i="2" s="1"/>
  <c r="L291" i="2"/>
  <c r="M291" i="2" s="1"/>
  <c r="Q291" i="2" s="1"/>
  <c r="L292" i="2"/>
  <c r="M292" i="2" s="1"/>
  <c r="Q292" i="2" s="1"/>
  <c r="L293" i="2"/>
  <c r="M293" i="2" s="1"/>
  <c r="L294" i="2"/>
  <c r="M294" i="2" s="1"/>
  <c r="L295" i="2"/>
  <c r="M295" i="2" s="1"/>
  <c r="R295" i="2" s="1"/>
  <c r="L296" i="2"/>
  <c r="M296" i="2" s="1"/>
  <c r="L297" i="2"/>
  <c r="M297" i="2" s="1"/>
  <c r="L298" i="2"/>
  <c r="M298" i="2" s="1"/>
  <c r="L299" i="2"/>
  <c r="M299" i="2" s="1"/>
  <c r="R299" i="2" s="1"/>
  <c r="L300" i="2"/>
  <c r="M300" i="2" s="1"/>
  <c r="R300" i="2" s="1"/>
  <c r="L301" i="2"/>
  <c r="M301" i="2" s="1"/>
  <c r="R301" i="2" s="1"/>
  <c r="L302" i="2"/>
  <c r="M302" i="2" s="1"/>
  <c r="R302" i="2" s="1"/>
  <c r="L303" i="2"/>
  <c r="M303" i="2" s="1"/>
  <c r="L304" i="2"/>
  <c r="M304" i="2" s="1"/>
  <c r="L305" i="2"/>
  <c r="M305" i="2" s="1"/>
  <c r="L306" i="2"/>
  <c r="M306" i="2" s="1"/>
  <c r="L307" i="2"/>
  <c r="M307" i="2" s="1"/>
  <c r="R307" i="2" s="1"/>
  <c r="L308" i="2"/>
  <c r="M308" i="2" s="1"/>
  <c r="L309" i="2"/>
  <c r="M309" i="2" s="1"/>
  <c r="L310" i="2"/>
  <c r="M310" i="2" s="1"/>
  <c r="Q310" i="2" s="1"/>
  <c r="L311" i="2"/>
  <c r="M311" i="2" s="1"/>
  <c r="R311" i="2" s="1"/>
  <c r="L312" i="2"/>
  <c r="M312" i="2" s="1"/>
  <c r="Q312" i="2" s="1"/>
  <c r="L313" i="2"/>
  <c r="M313" i="2" s="1"/>
  <c r="L314" i="2"/>
  <c r="M314" i="2" s="1"/>
  <c r="L315" i="2"/>
  <c r="M315" i="2" s="1"/>
  <c r="L316" i="2"/>
  <c r="M316" i="2" s="1"/>
  <c r="Q316" i="2" s="1"/>
  <c r="L317" i="2"/>
  <c r="M317" i="2" s="1"/>
  <c r="L318" i="2"/>
  <c r="M318" i="2" s="1"/>
  <c r="L319" i="2"/>
  <c r="M319" i="2" s="1"/>
  <c r="L320" i="2"/>
  <c r="M320" i="2" s="1"/>
  <c r="L321" i="2"/>
  <c r="M321" i="2" s="1"/>
  <c r="R321" i="2" s="1"/>
  <c r="L322" i="2"/>
  <c r="M322" i="2" s="1"/>
  <c r="L323" i="2"/>
  <c r="M323" i="2" s="1"/>
  <c r="R323" i="2" s="1"/>
  <c r="L324" i="2"/>
  <c r="M324" i="2" s="1"/>
  <c r="L325" i="2"/>
  <c r="M325" i="2" s="1"/>
  <c r="L326" i="2"/>
  <c r="M326" i="2" s="1"/>
  <c r="R326" i="2" s="1"/>
  <c r="L327" i="2"/>
  <c r="M327" i="2" s="1"/>
  <c r="L328" i="2"/>
  <c r="M328" i="2" s="1"/>
  <c r="L329" i="2"/>
  <c r="M329" i="2" s="1"/>
  <c r="L330" i="2"/>
  <c r="M330" i="2" s="1"/>
  <c r="L331" i="2"/>
  <c r="M331" i="2" s="1"/>
  <c r="R331" i="2" s="1"/>
  <c r="L332" i="2"/>
  <c r="M332" i="2" s="1"/>
  <c r="L333" i="2"/>
  <c r="M333" i="2" s="1"/>
  <c r="L334" i="2"/>
  <c r="M334" i="2" s="1"/>
  <c r="Q334" i="2" s="1"/>
  <c r="L335" i="2"/>
  <c r="M335" i="2" s="1"/>
  <c r="L336" i="2"/>
  <c r="M336" i="2" s="1"/>
  <c r="L337" i="2"/>
  <c r="M337" i="2" s="1"/>
  <c r="Q337" i="2" s="1"/>
  <c r="L338" i="2"/>
  <c r="M338" i="2" s="1"/>
  <c r="L339" i="2"/>
  <c r="M339" i="2" s="1"/>
  <c r="Q339" i="2" s="1"/>
  <c r="L340" i="2"/>
  <c r="M340" i="2" s="1"/>
  <c r="Q340" i="2" s="1"/>
  <c r="L341" i="2"/>
  <c r="M341" i="2" s="1"/>
  <c r="L342" i="2"/>
  <c r="M342" i="2" s="1"/>
  <c r="L343" i="2"/>
  <c r="M343" i="2" s="1"/>
  <c r="L344" i="2"/>
  <c r="M344" i="2" s="1"/>
  <c r="L345" i="2"/>
  <c r="M345" i="2" s="1"/>
  <c r="L346" i="2"/>
  <c r="M346" i="2" s="1"/>
  <c r="L347" i="2"/>
  <c r="M347" i="2" s="1"/>
  <c r="R347" i="2" s="1"/>
  <c r="L348" i="2"/>
  <c r="M348" i="2" s="1"/>
  <c r="R348" i="2" s="1"/>
  <c r="L349" i="2"/>
  <c r="M349" i="2" s="1"/>
  <c r="L350" i="2"/>
  <c r="M350" i="2" s="1"/>
  <c r="R350" i="2" s="1"/>
  <c r="L351" i="2"/>
  <c r="M351" i="2" s="1"/>
  <c r="L352" i="2"/>
  <c r="M352" i="2" s="1"/>
  <c r="L353" i="2"/>
  <c r="M353" i="2" s="1"/>
  <c r="L354" i="2"/>
  <c r="M354" i="2" s="1"/>
  <c r="R354" i="2" s="1"/>
  <c r="L355" i="2"/>
  <c r="M355" i="2" s="1"/>
  <c r="L356" i="2"/>
  <c r="M356" i="2" s="1"/>
  <c r="R356" i="2" s="1"/>
  <c r="L357" i="2"/>
  <c r="M357" i="2" s="1"/>
  <c r="L358" i="2"/>
  <c r="M358" i="2" s="1"/>
  <c r="Q358" i="2" s="1"/>
  <c r="L359" i="2"/>
  <c r="M359" i="2" s="1"/>
  <c r="Q359" i="2" s="1"/>
  <c r="L360" i="2"/>
  <c r="M360" i="2" s="1"/>
  <c r="N360" i="2" s="1"/>
  <c r="O360" i="2" s="1"/>
  <c r="L361" i="2"/>
  <c r="M361" i="2" s="1"/>
  <c r="L362" i="2"/>
  <c r="M362" i="2" s="1"/>
  <c r="L363" i="2"/>
  <c r="M363" i="2" s="1"/>
  <c r="L364" i="2"/>
  <c r="M364" i="2" s="1"/>
  <c r="Q364" i="2" s="1"/>
  <c r="L365" i="2"/>
  <c r="M365" i="2" s="1"/>
  <c r="L366" i="2"/>
  <c r="M366" i="2" s="1"/>
  <c r="L367" i="2"/>
  <c r="M367" i="2" s="1"/>
  <c r="L368" i="2"/>
  <c r="M368" i="2" s="1"/>
  <c r="L369" i="2"/>
  <c r="M369" i="2" s="1"/>
  <c r="L370" i="2"/>
  <c r="M370" i="2" s="1"/>
  <c r="R370" i="2" s="1"/>
  <c r="L371" i="2"/>
  <c r="M371" i="2" s="1"/>
  <c r="R371" i="2" s="1"/>
  <c r="L372" i="2"/>
  <c r="M372" i="2" s="1"/>
  <c r="L373" i="2"/>
  <c r="M373" i="2" s="1"/>
  <c r="L374" i="2"/>
  <c r="M374" i="2" s="1"/>
  <c r="L375" i="2"/>
  <c r="M375" i="2" s="1"/>
  <c r="L376" i="2"/>
  <c r="M376" i="2" s="1"/>
  <c r="L377" i="2"/>
  <c r="M377" i="2" s="1"/>
  <c r="L378" i="2"/>
  <c r="M378" i="2" s="1"/>
  <c r="R378" i="2" s="1"/>
  <c r="L379" i="2"/>
  <c r="M379" i="2" s="1"/>
  <c r="L380" i="2"/>
  <c r="M380" i="2" s="1"/>
  <c r="L381" i="2"/>
  <c r="M381" i="2" s="1"/>
  <c r="R381" i="2" s="1"/>
  <c r="L382" i="2"/>
  <c r="M382" i="2" s="1"/>
  <c r="L383" i="2"/>
  <c r="M383" i="2" s="1"/>
  <c r="Q383" i="2" s="1"/>
  <c r="L384" i="2"/>
  <c r="M384" i="2" s="1"/>
  <c r="L385" i="2"/>
  <c r="M385" i="2" s="1"/>
  <c r="Q385" i="2" s="1"/>
  <c r="L386" i="2"/>
  <c r="M386" i="2" s="1"/>
  <c r="L387" i="2"/>
  <c r="M387" i="2" s="1"/>
  <c r="Q387" i="2" s="1"/>
  <c r="L388" i="2"/>
  <c r="M388" i="2" s="1"/>
  <c r="Q388" i="2" s="1"/>
  <c r="L389" i="2"/>
  <c r="M389" i="2" s="1"/>
  <c r="L390" i="2"/>
  <c r="M390" i="2" s="1"/>
  <c r="L391" i="2"/>
  <c r="M391" i="2" s="1"/>
  <c r="L392" i="2"/>
  <c r="M392" i="2" s="1"/>
  <c r="L393" i="2"/>
  <c r="M393" i="2" s="1"/>
  <c r="L394" i="2"/>
  <c r="M394" i="2" s="1"/>
  <c r="L395" i="2"/>
  <c r="M395" i="2" s="1"/>
  <c r="R395" i="2" s="1"/>
  <c r="L396" i="2"/>
  <c r="M396" i="2" s="1"/>
  <c r="L397" i="2"/>
  <c r="M397" i="2" s="1"/>
  <c r="L398" i="2"/>
  <c r="M398" i="2" s="1"/>
  <c r="L399" i="2"/>
  <c r="M399" i="2" s="1"/>
  <c r="L400" i="2"/>
  <c r="M400" i="2" s="1"/>
  <c r="L401" i="2"/>
  <c r="M401" i="2" s="1"/>
  <c r="L402" i="2"/>
  <c r="M402" i="2" s="1"/>
  <c r="L403" i="2"/>
  <c r="M403" i="2" s="1"/>
  <c r="L404" i="2"/>
  <c r="M404" i="2" s="1"/>
  <c r="L405" i="2"/>
  <c r="M405" i="2" s="1"/>
  <c r="L406" i="2"/>
  <c r="M406" i="2" s="1"/>
  <c r="R406" i="2" s="1"/>
  <c r="L407" i="2"/>
  <c r="M407" i="2" s="1"/>
  <c r="R407" i="2" s="1"/>
  <c r="L408" i="2"/>
  <c r="M408" i="2" s="1"/>
  <c r="R408" i="2" s="1"/>
  <c r="L409" i="2"/>
  <c r="M409" i="2" s="1"/>
  <c r="R409" i="2" s="1"/>
  <c r="L410" i="2"/>
  <c r="M410" i="2" s="1"/>
  <c r="L411" i="2"/>
  <c r="M411" i="2" s="1"/>
  <c r="L412" i="2"/>
  <c r="M412" i="2" s="1"/>
  <c r="Q412" i="2" s="1"/>
  <c r="L413" i="2"/>
  <c r="M413" i="2" s="1"/>
  <c r="L414" i="2"/>
  <c r="M414" i="2" s="1"/>
  <c r="L415" i="2"/>
  <c r="M415" i="2" s="1"/>
  <c r="L416" i="2"/>
  <c r="M416" i="2" s="1"/>
  <c r="R416" i="2" s="1"/>
  <c r="L417" i="2"/>
  <c r="M417" i="2" s="1"/>
  <c r="R417" i="2" s="1"/>
  <c r="L418" i="2"/>
  <c r="M418" i="2" s="1"/>
  <c r="L419" i="2"/>
  <c r="M419" i="2" s="1"/>
  <c r="L420" i="2"/>
  <c r="M420" i="2" s="1"/>
  <c r="L421" i="2"/>
  <c r="M421" i="2" s="1"/>
  <c r="L422" i="2"/>
  <c r="M422" i="2" s="1"/>
  <c r="L423" i="2"/>
  <c r="M423" i="2" s="1"/>
  <c r="R423" i="2" s="1"/>
  <c r="L424" i="2"/>
  <c r="M424" i="2" s="1"/>
  <c r="R424" i="2" s="1"/>
  <c r="L425" i="2"/>
  <c r="M425" i="2" s="1"/>
  <c r="L426" i="2"/>
  <c r="M426" i="2" s="1"/>
  <c r="L427" i="2"/>
  <c r="M427" i="2" s="1"/>
  <c r="L428" i="2"/>
  <c r="M428" i="2" s="1"/>
  <c r="L429" i="2"/>
  <c r="M429" i="2" s="1"/>
  <c r="L430" i="2"/>
  <c r="M430" i="2" s="1"/>
  <c r="Q430" i="2" s="1"/>
  <c r="L431" i="2"/>
  <c r="M431" i="2" s="1"/>
  <c r="Q431" i="2" s="1"/>
  <c r="L432" i="2"/>
  <c r="M432" i="2" s="1"/>
  <c r="P432" i="2" s="1"/>
  <c r="L433" i="2"/>
  <c r="M433" i="2" s="1"/>
  <c r="Q433" i="2" s="1"/>
  <c r="L434" i="2"/>
  <c r="M434" i="2" s="1"/>
  <c r="R434" i="2" s="1"/>
  <c r="L435" i="2"/>
  <c r="M435" i="2" s="1"/>
  <c r="R435" i="2" s="1"/>
  <c r="L436" i="2"/>
  <c r="M436" i="2" s="1"/>
  <c r="Q436" i="2" s="1"/>
  <c r="L437" i="2"/>
  <c r="M437" i="2" s="1"/>
  <c r="L438" i="2"/>
  <c r="M438" i="2" s="1"/>
  <c r="L439" i="2"/>
  <c r="M439" i="2" s="1"/>
  <c r="L440" i="2"/>
  <c r="M440" i="2" s="1"/>
  <c r="L441" i="2"/>
  <c r="M441" i="2" s="1"/>
  <c r="L442" i="2"/>
  <c r="M442" i="2" s="1"/>
  <c r="L443" i="2"/>
  <c r="M443" i="2" s="1"/>
  <c r="L444" i="2"/>
  <c r="M444" i="2" s="1"/>
  <c r="R444" i="2" s="1"/>
  <c r="L445" i="2"/>
  <c r="M445" i="2" s="1"/>
  <c r="L446" i="2"/>
  <c r="M446" i="2" s="1"/>
  <c r="L447" i="2"/>
  <c r="M447" i="2" s="1"/>
  <c r="L448" i="2"/>
  <c r="M448" i="2" s="1"/>
  <c r="L449" i="2"/>
  <c r="M449" i="2" s="1"/>
  <c r="R449" i="2" s="1"/>
  <c r="L450" i="2"/>
  <c r="M450" i="2" s="1"/>
  <c r="L451" i="2"/>
  <c r="M451" i="2" s="1"/>
  <c r="L452" i="2"/>
  <c r="M452" i="2" s="1"/>
  <c r="L453" i="2"/>
  <c r="M453" i="2" s="1"/>
  <c r="L454" i="2"/>
  <c r="M454" i="2" s="1"/>
  <c r="R454" i="2" s="1"/>
  <c r="L455" i="2"/>
  <c r="M455" i="2" s="1"/>
  <c r="Q455" i="2" s="1"/>
  <c r="L456" i="2"/>
  <c r="M456" i="2" s="1"/>
  <c r="L457" i="2"/>
  <c r="M457" i="2" s="1"/>
  <c r="R457" i="2" s="1"/>
  <c r="L458" i="2"/>
  <c r="M458" i="2" s="1"/>
  <c r="L459" i="2"/>
  <c r="M459" i="2" s="1"/>
  <c r="R459" i="2" s="1"/>
  <c r="L460" i="2"/>
  <c r="M460" i="2" s="1"/>
  <c r="Q460" i="2" s="1"/>
  <c r="L461" i="2"/>
  <c r="M461" i="2" s="1"/>
  <c r="R461" i="2" s="1"/>
  <c r="L462" i="2"/>
  <c r="M462" i="2" s="1"/>
  <c r="L463" i="2"/>
  <c r="M463" i="2" s="1"/>
  <c r="L464" i="2"/>
  <c r="M464" i="2" s="1"/>
  <c r="L465" i="2"/>
  <c r="M465" i="2" s="1"/>
  <c r="L466" i="2"/>
  <c r="M466" i="2" s="1"/>
  <c r="L467" i="2"/>
  <c r="M467" i="2" s="1"/>
  <c r="L468" i="2"/>
  <c r="M468" i="2" s="1"/>
  <c r="L469" i="2"/>
  <c r="M469" i="2" s="1"/>
  <c r="L470" i="2"/>
  <c r="M470" i="2" s="1"/>
  <c r="L471" i="2"/>
  <c r="M471" i="2" s="1"/>
  <c r="L472" i="2"/>
  <c r="M472" i="2" s="1"/>
  <c r="L473" i="2"/>
  <c r="M473" i="2" s="1"/>
  <c r="L474" i="2"/>
  <c r="M474" i="2" s="1"/>
  <c r="L475" i="2"/>
  <c r="M475" i="2" s="1"/>
  <c r="L476" i="2"/>
  <c r="M476" i="2" s="1"/>
  <c r="R476" i="2" s="1"/>
  <c r="L477" i="2"/>
  <c r="M477" i="2" s="1"/>
  <c r="L478" i="2"/>
  <c r="M478" i="2" s="1"/>
  <c r="Q478" i="2" s="1"/>
  <c r="L479" i="2"/>
  <c r="M479" i="2" s="1"/>
  <c r="L480" i="2"/>
  <c r="M480" i="2" s="1"/>
  <c r="L481" i="2"/>
  <c r="M481" i="2" s="1"/>
  <c r="Q481" i="2" s="1"/>
  <c r="L482" i="2"/>
  <c r="M482" i="2" s="1"/>
  <c r="L483" i="2"/>
  <c r="M483" i="2" s="1"/>
  <c r="Q483" i="2" s="1"/>
  <c r="L484" i="2"/>
  <c r="M484" i="2" s="1"/>
  <c r="Q484" i="2" s="1"/>
  <c r="L485" i="2"/>
  <c r="M485" i="2" s="1"/>
  <c r="L486" i="2"/>
  <c r="M486" i="2" s="1"/>
  <c r="L487" i="2"/>
  <c r="M487" i="2" s="1"/>
  <c r="L488" i="2"/>
  <c r="M488" i="2" s="1"/>
  <c r="L489" i="2"/>
  <c r="M489" i="2" s="1"/>
  <c r="L490" i="2"/>
  <c r="M490" i="2" s="1"/>
  <c r="L491" i="2"/>
  <c r="M491" i="2" s="1"/>
  <c r="L492" i="2"/>
  <c r="M492" i="2" s="1"/>
  <c r="R492" i="2" s="1"/>
  <c r="L493" i="2"/>
  <c r="M493" i="2" s="1"/>
  <c r="R493" i="2" s="1"/>
  <c r="L494" i="2"/>
  <c r="M494" i="2" s="1"/>
  <c r="L495" i="2"/>
  <c r="M495" i="2" s="1"/>
  <c r="L496" i="2"/>
  <c r="M496" i="2" s="1"/>
  <c r="L497" i="2"/>
  <c r="M497" i="2" s="1"/>
  <c r="L498" i="2"/>
  <c r="M498" i="2" s="1"/>
  <c r="L499" i="2"/>
  <c r="M499" i="2" s="1"/>
  <c r="L500" i="2"/>
  <c r="M500" i="2" s="1"/>
  <c r="L501" i="2"/>
  <c r="M501" i="2" s="1"/>
  <c r="L502" i="2"/>
  <c r="M502" i="2" s="1"/>
  <c r="Q502" i="2" s="1"/>
  <c r="L503" i="2"/>
  <c r="M503" i="2" s="1"/>
  <c r="Q503" i="2" s="1"/>
  <c r="L504" i="2"/>
  <c r="M504" i="2" s="1"/>
  <c r="L505" i="2"/>
  <c r="M505" i="2" s="1"/>
  <c r="L506" i="2"/>
  <c r="M506" i="2" s="1"/>
  <c r="L507" i="2"/>
  <c r="M507" i="2" s="1"/>
  <c r="L508" i="2"/>
  <c r="M508" i="2" s="1"/>
  <c r="Q508" i="2" s="1"/>
  <c r="L509" i="2"/>
  <c r="M509" i="2" s="1"/>
  <c r="L510" i="2"/>
  <c r="M510" i="2" s="1"/>
  <c r="L511" i="2"/>
  <c r="M511" i="2" s="1"/>
  <c r="L512" i="2"/>
  <c r="M512" i="2" s="1"/>
  <c r="L513" i="2"/>
  <c r="M513" i="2" s="1"/>
  <c r="L514" i="2"/>
  <c r="M514" i="2" s="1"/>
  <c r="L515" i="2"/>
  <c r="M515" i="2" s="1"/>
  <c r="L516" i="2"/>
  <c r="M516" i="2" s="1"/>
  <c r="L517" i="2"/>
  <c r="M517" i="2" s="1"/>
  <c r="L518" i="2"/>
  <c r="M518" i="2" s="1"/>
  <c r="R518" i="2" s="1"/>
  <c r="L519" i="2"/>
  <c r="M519" i="2" s="1"/>
  <c r="R519" i="2" s="1"/>
  <c r="L520" i="2"/>
  <c r="M520" i="2" s="1"/>
  <c r="L521" i="2"/>
  <c r="M521" i="2" s="1"/>
  <c r="R521" i="2" s="1"/>
  <c r="L522" i="2"/>
  <c r="M522" i="2" s="1"/>
  <c r="L523" i="2"/>
  <c r="M523" i="2" s="1"/>
  <c r="L524" i="2"/>
  <c r="M524" i="2" s="1"/>
  <c r="L525" i="2"/>
  <c r="M525" i="2" s="1"/>
  <c r="L526" i="2"/>
  <c r="M526" i="2" s="1"/>
  <c r="Q526" i="2" s="1"/>
  <c r="L527" i="2"/>
  <c r="M527" i="2" s="1"/>
  <c r="Q527" i="2" s="1"/>
  <c r="L528" i="2"/>
  <c r="M528" i="2" s="1"/>
  <c r="Q528" i="2" s="1"/>
  <c r="L529" i="2"/>
  <c r="M529" i="2" s="1"/>
  <c r="Q529" i="2" s="1"/>
  <c r="L530" i="2"/>
  <c r="M530" i="2" s="1"/>
  <c r="L531" i="2"/>
  <c r="M531" i="2" s="1"/>
  <c r="Q531" i="2" s="1"/>
  <c r="L532" i="2"/>
  <c r="M532" i="2" s="1"/>
  <c r="Q532" i="2" s="1"/>
  <c r="L533" i="2"/>
  <c r="M533" i="2" s="1"/>
  <c r="L534" i="2"/>
  <c r="M534" i="2" s="1"/>
  <c r="L535" i="2"/>
  <c r="M535" i="2" s="1"/>
  <c r="L536" i="2"/>
  <c r="M536" i="2" s="1"/>
  <c r="L537" i="2"/>
  <c r="M537" i="2" s="1"/>
  <c r="L538" i="2"/>
  <c r="M538" i="2" s="1"/>
  <c r="L539" i="2"/>
  <c r="M539" i="2" s="1"/>
  <c r="R539" i="2" s="1"/>
  <c r="L540" i="2"/>
  <c r="M540" i="2" s="1"/>
  <c r="R540" i="2" s="1"/>
  <c r="L541" i="2"/>
  <c r="M541" i="2" s="1"/>
  <c r="L542" i="2"/>
  <c r="M542" i="2" s="1"/>
  <c r="L543" i="2"/>
  <c r="M543" i="2" s="1"/>
  <c r="L544" i="2"/>
  <c r="M544" i="2" s="1"/>
  <c r="L545" i="2"/>
  <c r="M545" i="2" s="1"/>
  <c r="R545" i="2" s="1"/>
  <c r="L546" i="2"/>
  <c r="M546" i="2" s="1"/>
  <c r="L547" i="2"/>
  <c r="M547" i="2" s="1"/>
  <c r="L548" i="2"/>
  <c r="M548" i="2" s="1"/>
  <c r="L549" i="2"/>
  <c r="M549" i="2" s="1"/>
  <c r="L550" i="2"/>
  <c r="M550" i="2" s="1"/>
  <c r="R550" i="2" s="1"/>
  <c r="L551" i="2"/>
  <c r="M551" i="2" s="1"/>
  <c r="R551" i="2" s="1"/>
  <c r="L552" i="2"/>
  <c r="M552" i="2" s="1"/>
  <c r="R552" i="2" s="1"/>
  <c r="L553" i="2"/>
  <c r="M553" i="2" s="1"/>
  <c r="L554" i="2"/>
  <c r="M554" i="2" s="1"/>
  <c r="L555" i="2"/>
  <c r="M555" i="2" s="1"/>
  <c r="L556" i="2"/>
  <c r="M556" i="2" s="1"/>
  <c r="R556" i="2" s="1"/>
  <c r="L557" i="2"/>
  <c r="M557" i="2" s="1"/>
  <c r="R557" i="2" s="1"/>
  <c r="L558" i="2"/>
  <c r="M558" i="2" s="1"/>
  <c r="R558" i="2" s="1"/>
  <c r="L559" i="2"/>
  <c r="M559" i="2" s="1"/>
  <c r="L560" i="2"/>
  <c r="M560" i="2" s="1"/>
  <c r="R560" i="2" s="1"/>
  <c r="L561" i="2"/>
  <c r="M561" i="2" s="1"/>
  <c r="L562" i="2"/>
  <c r="M562" i="2" s="1"/>
  <c r="L563" i="2"/>
  <c r="M563" i="2" s="1"/>
  <c r="L564" i="2"/>
  <c r="M564" i="2" s="1"/>
  <c r="L565" i="2"/>
  <c r="M565" i="2" s="1"/>
  <c r="L566" i="2"/>
  <c r="M566" i="2" s="1"/>
  <c r="L567" i="2"/>
  <c r="M567" i="2" s="1"/>
  <c r="L568" i="2"/>
  <c r="M568" i="2" s="1"/>
  <c r="L569" i="2"/>
  <c r="M569" i="2" s="1"/>
  <c r="L570" i="2"/>
  <c r="M570" i="2" s="1"/>
  <c r="L571" i="2"/>
  <c r="M571" i="2" s="1"/>
  <c r="L572" i="2"/>
  <c r="M572" i="2" s="1"/>
  <c r="R572" i="2" s="1"/>
  <c r="L573" i="2"/>
  <c r="M573" i="2" s="1"/>
  <c r="L574" i="2"/>
  <c r="M574" i="2" s="1"/>
  <c r="L575" i="2"/>
  <c r="M575" i="2" s="1"/>
  <c r="L576" i="2"/>
  <c r="M576" i="2" s="1"/>
  <c r="Q576" i="2" s="1"/>
  <c r="L577" i="2"/>
  <c r="M577" i="2" s="1"/>
  <c r="Q577" i="2" s="1"/>
  <c r="L578" i="2"/>
  <c r="M578" i="2" s="1"/>
  <c r="L579" i="2"/>
  <c r="M579" i="2" s="1"/>
  <c r="L580" i="2"/>
  <c r="M580" i="2" s="1"/>
  <c r="Q580" i="2" s="1"/>
  <c r="L581" i="2"/>
  <c r="M581" i="2" s="1"/>
  <c r="L582" i="2"/>
  <c r="M582" i="2" s="1"/>
  <c r="L583" i="2"/>
  <c r="M583" i="2" s="1"/>
  <c r="L584" i="2"/>
  <c r="M584" i="2" s="1"/>
  <c r="L585" i="2"/>
  <c r="M585" i="2" s="1"/>
  <c r="L586" i="2"/>
  <c r="M586" i="2" s="1"/>
  <c r="L587" i="2"/>
  <c r="M587" i="2" s="1"/>
  <c r="L588" i="2"/>
  <c r="M588" i="2" s="1"/>
  <c r="L589" i="2"/>
  <c r="M589" i="2" s="1"/>
  <c r="L590" i="2"/>
  <c r="M590" i="2" s="1"/>
  <c r="L591" i="2"/>
  <c r="M591" i="2" s="1"/>
  <c r="R591" i="2" s="1"/>
  <c r="L592" i="2"/>
  <c r="M592" i="2" s="1"/>
  <c r="L593" i="2"/>
  <c r="M593" i="2" s="1"/>
  <c r="L594" i="2"/>
  <c r="M594" i="2" s="1"/>
  <c r="L595" i="2"/>
  <c r="M595" i="2" s="1"/>
  <c r="L596" i="2"/>
  <c r="M596" i="2" s="1"/>
  <c r="L597" i="2"/>
  <c r="M597" i="2" s="1"/>
  <c r="L598" i="2"/>
  <c r="M598" i="2" s="1"/>
  <c r="R598" i="2" s="1"/>
  <c r="L599" i="2"/>
  <c r="M599" i="2" s="1"/>
  <c r="R599" i="2" s="1"/>
  <c r="L600" i="2"/>
  <c r="M600" i="2" s="1"/>
  <c r="R600" i="2" s="1"/>
  <c r="L601" i="2"/>
  <c r="M601" i="2" s="1"/>
  <c r="R601" i="2" s="1"/>
  <c r="L602" i="2"/>
  <c r="M602" i="2" s="1"/>
  <c r="L603" i="2"/>
  <c r="M603" i="2" s="1"/>
  <c r="L604" i="2"/>
  <c r="M604" i="2" s="1"/>
  <c r="Q604" i="2" s="1"/>
  <c r="L605" i="2"/>
  <c r="M605" i="2" s="1"/>
  <c r="L606" i="2"/>
  <c r="M606" i="2" s="1"/>
  <c r="R606" i="2" s="1"/>
  <c r="L607" i="2"/>
  <c r="M607" i="2" s="1"/>
  <c r="L608" i="2"/>
  <c r="M608" i="2" s="1"/>
  <c r="L609" i="2"/>
  <c r="M609" i="2" s="1"/>
  <c r="L610" i="2"/>
  <c r="M610" i="2" s="1"/>
  <c r="L611" i="2"/>
  <c r="M611" i="2" s="1"/>
  <c r="L612" i="2"/>
  <c r="M612" i="2" s="1"/>
  <c r="L613" i="2"/>
  <c r="M613" i="2" s="1"/>
  <c r="L614" i="2"/>
  <c r="M614" i="2" s="1"/>
  <c r="L615" i="2"/>
  <c r="M615" i="2" s="1"/>
  <c r="R615" i="2" s="1"/>
  <c r="L616" i="2"/>
  <c r="M616" i="2" s="1"/>
  <c r="L617" i="2"/>
  <c r="M617" i="2" s="1"/>
  <c r="L618" i="2"/>
  <c r="M618" i="2" s="1"/>
  <c r="L619" i="2"/>
  <c r="M619" i="2" s="1"/>
  <c r="L620" i="2"/>
  <c r="M620" i="2" s="1"/>
  <c r="L621" i="2"/>
  <c r="M621" i="2" s="1"/>
  <c r="L622" i="2"/>
  <c r="M622" i="2" s="1"/>
  <c r="L623" i="2"/>
  <c r="M623" i="2" s="1"/>
  <c r="L624" i="2"/>
  <c r="M624" i="2" s="1"/>
  <c r="R624" i="2" s="1"/>
  <c r="L625" i="2"/>
  <c r="M625" i="2" s="1"/>
  <c r="Q625" i="2" s="1"/>
  <c r="L626" i="2"/>
  <c r="M626" i="2" s="1"/>
  <c r="L627" i="2"/>
  <c r="M627" i="2" s="1"/>
  <c r="Q627" i="2" s="1"/>
  <c r="L628" i="2"/>
  <c r="M628" i="2" s="1"/>
  <c r="Q628" i="2" s="1"/>
  <c r="L629" i="2"/>
  <c r="M629" i="2" s="1"/>
  <c r="L630" i="2"/>
  <c r="M630" i="2" s="1"/>
  <c r="L631" i="2"/>
  <c r="M631" i="2" s="1"/>
  <c r="L632" i="2"/>
  <c r="M632" i="2" s="1"/>
  <c r="R632" i="2" s="1"/>
  <c r="L633" i="2"/>
  <c r="M633" i="2" s="1"/>
  <c r="L634" i="2"/>
  <c r="M634" i="2" s="1"/>
  <c r="L635" i="2"/>
  <c r="M635" i="2" s="1"/>
  <c r="R635" i="2" s="1"/>
  <c r="L636" i="2"/>
  <c r="M636" i="2" s="1"/>
  <c r="R636" i="2" s="1"/>
  <c r="L637" i="2"/>
  <c r="M637" i="2" s="1"/>
  <c r="R637" i="2" s="1"/>
  <c r="L638" i="2"/>
  <c r="M638" i="2" s="1"/>
  <c r="L639" i="2"/>
  <c r="M639" i="2" s="1"/>
  <c r="L640" i="2"/>
  <c r="M640" i="2" s="1"/>
  <c r="L641" i="2"/>
  <c r="M641" i="2" s="1"/>
  <c r="R641" i="2" s="1"/>
  <c r="L642" i="2"/>
  <c r="M642" i="2" s="1"/>
  <c r="L643" i="2"/>
  <c r="M643" i="2" s="1"/>
  <c r="R643" i="2" s="1"/>
  <c r="L644" i="2"/>
  <c r="M644" i="2" s="1"/>
  <c r="L645" i="2"/>
  <c r="M645" i="2" s="1"/>
  <c r="L646" i="2"/>
  <c r="M646" i="2" s="1"/>
  <c r="Q646" i="2" s="1"/>
  <c r="L647" i="2"/>
  <c r="M647" i="2" s="1"/>
  <c r="Q647" i="2" s="1"/>
  <c r="L648" i="2"/>
  <c r="M648" i="2" s="1"/>
  <c r="L649" i="2"/>
  <c r="M649" i="2" s="1"/>
  <c r="L650" i="2"/>
  <c r="M650" i="2" s="1"/>
  <c r="L651" i="2"/>
  <c r="M651" i="2" s="1"/>
  <c r="L652" i="2"/>
  <c r="M652" i="2" s="1"/>
  <c r="Q652" i="2" s="1"/>
  <c r="L653" i="2"/>
  <c r="M653" i="2" s="1"/>
  <c r="L654" i="2"/>
  <c r="M654" i="2" s="1"/>
  <c r="R654" i="2" s="1"/>
  <c r="L655" i="2"/>
  <c r="M655" i="2" s="1"/>
  <c r="R655" i="2" s="1"/>
  <c r="L656" i="2"/>
  <c r="M656" i="2" s="1"/>
  <c r="L657" i="2"/>
  <c r="M657" i="2" s="1"/>
  <c r="L658" i="2"/>
  <c r="M658" i="2" s="1"/>
  <c r="L659" i="2"/>
  <c r="M659" i="2" s="1"/>
  <c r="L660" i="2"/>
  <c r="M660" i="2" s="1"/>
  <c r="L661" i="2"/>
  <c r="M661" i="2" s="1"/>
  <c r="L662" i="2"/>
  <c r="M662" i="2" s="1"/>
  <c r="R662" i="2" s="1"/>
  <c r="L663" i="2"/>
  <c r="M663" i="2" s="1"/>
  <c r="L664" i="2"/>
  <c r="M664" i="2" s="1"/>
  <c r="L665" i="2"/>
  <c r="M665" i="2" s="1"/>
  <c r="L666" i="2"/>
  <c r="M666" i="2" s="1"/>
  <c r="R666" i="2" s="1"/>
  <c r="L667" i="2"/>
  <c r="M667" i="2" s="1"/>
  <c r="R667" i="2" s="1"/>
  <c r="L668" i="2"/>
  <c r="M668" i="2" s="1"/>
  <c r="L669" i="2"/>
  <c r="M669" i="2" s="1"/>
  <c r="R669" i="2" s="1"/>
  <c r="L670" i="2"/>
  <c r="M670" i="2" s="1"/>
  <c r="L671" i="2"/>
  <c r="M671" i="2" s="1"/>
  <c r="Q671" i="2" s="1"/>
  <c r="L672" i="2"/>
  <c r="M672" i="2" s="1"/>
  <c r="Q672" i="2" s="1"/>
  <c r="L673" i="2"/>
  <c r="M673" i="2" s="1"/>
  <c r="Q673" i="2" s="1"/>
  <c r="L674" i="2"/>
  <c r="M674" i="2" s="1"/>
  <c r="L675" i="2"/>
  <c r="M675" i="2" s="1"/>
  <c r="Q675" i="2" s="1"/>
  <c r="L676" i="2"/>
  <c r="M676" i="2" s="1"/>
  <c r="Q676" i="2" s="1"/>
  <c r="L677" i="2"/>
  <c r="M677" i="2" s="1"/>
  <c r="L678" i="2"/>
  <c r="M678" i="2" s="1"/>
  <c r="R678" i="2" s="1"/>
  <c r="L679" i="2"/>
  <c r="M679" i="2" s="1"/>
  <c r="L680" i="2"/>
  <c r="M680" i="2" s="1"/>
  <c r="L681" i="2"/>
  <c r="M681" i="2" s="1"/>
  <c r="L682" i="2"/>
  <c r="M682" i="2" s="1"/>
  <c r="L683" i="2"/>
  <c r="M683" i="2" s="1"/>
  <c r="R683" i="2" s="1"/>
  <c r="L684" i="2"/>
  <c r="M684" i="2" s="1"/>
  <c r="R684" i="2" s="1"/>
  <c r="L685" i="2"/>
  <c r="M685" i="2" s="1"/>
  <c r="R685" i="2" s="1"/>
  <c r="L686" i="2"/>
  <c r="M686" i="2" s="1"/>
  <c r="L687" i="2"/>
  <c r="M687" i="2" s="1"/>
  <c r="L688" i="2"/>
  <c r="M688" i="2" s="1"/>
  <c r="L689" i="2"/>
  <c r="M689" i="2" s="1"/>
  <c r="L690" i="2"/>
  <c r="M690" i="2" s="1"/>
  <c r="L691" i="2"/>
  <c r="M691" i="2" s="1"/>
  <c r="L692" i="2"/>
  <c r="M692" i="2" s="1"/>
  <c r="L693" i="2"/>
  <c r="M693" i="2" s="1"/>
  <c r="L694" i="2"/>
  <c r="M694" i="2" s="1"/>
  <c r="R694" i="2" s="1"/>
  <c r="L695" i="2"/>
  <c r="M695" i="2" s="1"/>
  <c r="R695" i="2" s="1"/>
  <c r="L696" i="2"/>
  <c r="M696" i="2" s="1"/>
  <c r="L697" i="2"/>
  <c r="M697" i="2" s="1"/>
  <c r="L698" i="2"/>
  <c r="M698" i="2" s="1"/>
  <c r="L699" i="2"/>
  <c r="M699" i="2" s="1"/>
  <c r="R699" i="2" s="1"/>
  <c r="L700" i="2"/>
  <c r="M700" i="2" s="1"/>
  <c r="Q700" i="2" s="1"/>
  <c r="L701" i="2"/>
  <c r="M701" i="2" s="1"/>
  <c r="L702" i="2"/>
  <c r="M702" i="2" s="1"/>
  <c r="L703" i="2"/>
  <c r="M703" i="2" s="1"/>
  <c r="L704" i="2"/>
  <c r="M704" i="2" s="1"/>
  <c r="L705" i="2"/>
  <c r="M705" i="2" s="1"/>
  <c r="L706" i="2"/>
  <c r="M706" i="2" s="1"/>
  <c r="L707" i="2"/>
  <c r="M707" i="2" s="1"/>
  <c r="R707" i="2" s="1"/>
  <c r="L708" i="2"/>
  <c r="M708" i="2" s="1"/>
  <c r="L709" i="2"/>
  <c r="M709" i="2" s="1"/>
  <c r="L710" i="2"/>
  <c r="M710" i="2" s="1"/>
  <c r="L711" i="2"/>
  <c r="M711" i="2" s="1"/>
  <c r="L712" i="2"/>
  <c r="M712" i="2" s="1"/>
  <c r="L713" i="2"/>
  <c r="M713" i="2" s="1"/>
  <c r="L714" i="2"/>
  <c r="M714" i="2" s="1"/>
  <c r="L715" i="2"/>
  <c r="M715" i="2" s="1"/>
  <c r="L716" i="2"/>
  <c r="M716" i="2" s="1"/>
  <c r="L717" i="2"/>
  <c r="M717" i="2" s="1"/>
  <c r="L718" i="2"/>
  <c r="M718" i="2" s="1"/>
  <c r="L719" i="2"/>
  <c r="M719" i="2" s="1"/>
  <c r="L720" i="2"/>
  <c r="M720" i="2" s="1"/>
  <c r="R720" i="2" s="1"/>
  <c r="L721" i="2"/>
  <c r="M721" i="2" s="1"/>
  <c r="Q721" i="2" s="1"/>
  <c r="L722" i="2"/>
  <c r="M722" i="2" s="1"/>
  <c r="L723" i="2"/>
  <c r="M723" i="2" s="1"/>
  <c r="Q723" i="2" s="1"/>
  <c r="L724" i="2"/>
  <c r="M724" i="2" s="1"/>
  <c r="Q724" i="2" s="1"/>
  <c r="L725" i="2"/>
  <c r="M725" i="2" s="1"/>
  <c r="L726" i="2"/>
  <c r="M726" i="2" s="1"/>
  <c r="L727" i="2"/>
  <c r="M727" i="2" s="1"/>
  <c r="L728" i="2"/>
  <c r="M728" i="2" s="1"/>
  <c r="L729" i="2"/>
  <c r="M729" i="2" s="1"/>
  <c r="L730" i="2"/>
  <c r="M730" i="2" s="1"/>
  <c r="R730" i="2" s="1"/>
  <c r="L731" i="2"/>
  <c r="M731" i="2" s="1"/>
  <c r="R731" i="2" s="1"/>
  <c r="L732" i="2"/>
  <c r="M732" i="2" s="1"/>
  <c r="L733" i="2"/>
  <c r="M733" i="2" s="1"/>
  <c r="L734" i="2"/>
  <c r="M734" i="2" s="1"/>
  <c r="L735" i="2"/>
  <c r="M735" i="2" s="1"/>
  <c r="L736" i="2"/>
  <c r="M736" i="2" s="1"/>
  <c r="L737" i="2"/>
  <c r="M737" i="2" s="1"/>
  <c r="L738" i="2"/>
  <c r="M738" i="2" s="1"/>
  <c r="L739" i="2"/>
  <c r="M739" i="2" s="1"/>
  <c r="R739" i="2" s="1"/>
  <c r="L740" i="2"/>
  <c r="M740" i="2" s="1"/>
  <c r="L741" i="2"/>
  <c r="M741" i="2" s="1"/>
  <c r="R741" i="2" s="1"/>
  <c r="L742" i="2"/>
  <c r="M742" i="2" s="1"/>
  <c r="R742" i="2" s="1"/>
  <c r="L743" i="2"/>
  <c r="M743" i="2" s="1"/>
  <c r="R743" i="2" s="1"/>
  <c r="L744" i="2"/>
  <c r="M744" i="2" s="1"/>
  <c r="R744" i="2" s="1"/>
  <c r="L745" i="2"/>
  <c r="M745" i="2" s="1"/>
  <c r="L746" i="2"/>
  <c r="M746" i="2" s="1"/>
  <c r="L747" i="2"/>
  <c r="M747" i="2" s="1"/>
  <c r="L748" i="2"/>
  <c r="M748" i="2" s="1"/>
  <c r="Q748" i="2" s="1"/>
  <c r="L749" i="2"/>
  <c r="M749" i="2" s="1"/>
  <c r="L750" i="2"/>
  <c r="M750" i="2" s="1"/>
  <c r="L751" i="2"/>
  <c r="M751" i="2" s="1"/>
  <c r="L752" i="2"/>
  <c r="M752" i="2" s="1"/>
  <c r="L753" i="2"/>
  <c r="M753" i="2" s="1"/>
  <c r="L754" i="2"/>
  <c r="M754" i="2" s="1"/>
  <c r="L755" i="2"/>
  <c r="M755" i="2" s="1"/>
  <c r="L756" i="2"/>
  <c r="M756" i="2" s="1"/>
  <c r="L757" i="2"/>
  <c r="M757" i="2" s="1"/>
  <c r="L758" i="2"/>
  <c r="M758" i="2" s="1"/>
  <c r="L759" i="2"/>
  <c r="M759" i="2" s="1"/>
  <c r="R759" i="2" s="1"/>
  <c r="L760" i="2"/>
  <c r="M760" i="2" s="1"/>
  <c r="R760" i="2" s="1"/>
  <c r="L761" i="2"/>
  <c r="M761" i="2" s="1"/>
  <c r="L762" i="2"/>
  <c r="M762" i="2" s="1"/>
  <c r="L763" i="2"/>
  <c r="M763" i="2" s="1"/>
  <c r="L764" i="2"/>
  <c r="M764" i="2" s="1"/>
  <c r="R764" i="2" s="1"/>
  <c r="L765" i="2"/>
  <c r="M765" i="2" s="1"/>
  <c r="L766" i="2"/>
  <c r="M766" i="2" s="1"/>
  <c r="Q766" i="2" s="1"/>
  <c r="L767" i="2"/>
  <c r="M767" i="2" s="1"/>
  <c r="Q767" i="2" s="1"/>
  <c r="L768" i="2"/>
  <c r="M768" i="2" s="1"/>
  <c r="P768" i="2" s="1"/>
  <c r="L769" i="2"/>
  <c r="M769" i="2" s="1"/>
  <c r="Q769" i="2" s="1"/>
  <c r="L770" i="2"/>
  <c r="M770" i="2" s="1"/>
  <c r="L771" i="2"/>
  <c r="M771" i="2" s="1"/>
  <c r="P771" i="2" s="1"/>
  <c r="L772" i="2"/>
  <c r="M772" i="2" s="1"/>
  <c r="Q772" i="2" s="1"/>
  <c r="L773" i="2"/>
  <c r="M773" i="2" s="1"/>
  <c r="L774" i="2"/>
  <c r="M774" i="2" s="1"/>
  <c r="L775" i="2"/>
  <c r="M775" i="2" s="1"/>
  <c r="L776" i="2"/>
  <c r="M776" i="2" s="1"/>
  <c r="L777" i="2"/>
  <c r="M777" i="2" s="1"/>
  <c r="L778" i="2"/>
  <c r="M778" i="2" s="1"/>
  <c r="L779" i="2"/>
  <c r="M779" i="2" s="1"/>
  <c r="R779" i="2" s="1"/>
  <c r="L780" i="2"/>
  <c r="M780" i="2" s="1"/>
  <c r="L781" i="2"/>
  <c r="M781" i="2" s="1"/>
  <c r="L782" i="2"/>
  <c r="M782" i="2" s="1"/>
  <c r="R782" i="2" s="1"/>
  <c r="L783" i="2"/>
  <c r="M783" i="2" s="1"/>
  <c r="L784" i="2"/>
  <c r="M784" i="2" s="1"/>
  <c r="L785" i="2"/>
  <c r="M785" i="2" s="1"/>
  <c r="L786" i="2"/>
  <c r="M786" i="2" s="1"/>
  <c r="L787" i="2"/>
  <c r="M787" i="2" s="1"/>
  <c r="L788" i="2"/>
  <c r="M788" i="2" s="1"/>
  <c r="R788" i="2" s="1"/>
  <c r="L789" i="2"/>
  <c r="M789" i="2" s="1"/>
  <c r="L790" i="2"/>
  <c r="M790" i="2" s="1"/>
  <c r="Q790" i="2" s="1"/>
  <c r="L791" i="2"/>
  <c r="M791" i="2" s="1"/>
  <c r="R791" i="2" s="1"/>
  <c r="L792" i="2"/>
  <c r="M792" i="2" s="1"/>
  <c r="L793" i="2"/>
  <c r="M793" i="2" s="1"/>
  <c r="R793" i="2" s="1"/>
  <c r="L794" i="2"/>
  <c r="M794" i="2" s="1"/>
  <c r="L795" i="2"/>
  <c r="M795" i="2" s="1"/>
  <c r="R795" i="2" s="1"/>
  <c r="L796" i="2"/>
  <c r="M796" i="2" s="1"/>
  <c r="R796" i="2" s="1"/>
  <c r="L797" i="2"/>
  <c r="M797" i="2" s="1"/>
  <c r="R797" i="2" s="1"/>
  <c r="L798" i="2"/>
  <c r="M798" i="2" s="1"/>
  <c r="L799" i="2"/>
  <c r="M799" i="2" s="1"/>
  <c r="L800" i="2"/>
  <c r="M800" i="2" s="1"/>
  <c r="L801" i="2"/>
  <c r="M801" i="2" s="1"/>
  <c r="L802" i="2"/>
  <c r="M802" i="2" s="1"/>
  <c r="L803" i="2"/>
  <c r="M803" i="2" s="1"/>
  <c r="L804" i="2"/>
  <c r="M804" i="2" s="1"/>
  <c r="R804" i="2" s="1"/>
  <c r="L805" i="2"/>
  <c r="M805" i="2" s="1"/>
  <c r="L806" i="2"/>
  <c r="M806" i="2" s="1"/>
  <c r="L807" i="2"/>
  <c r="M807" i="2" s="1"/>
  <c r="L808" i="2"/>
  <c r="M808" i="2" s="1"/>
  <c r="L809" i="2"/>
  <c r="M809" i="2" s="1"/>
  <c r="L810" i="2"/>
  <c r="M810" i="2" s="1"/>
  <c r="L811" i="2"/>
  <c r="M811" i="2" s="1"/>
  <c r="L812" i="2"/>
  <c r="M812" i="2" s="1"/>
  <c r="L813" i="2"/>
  <c r="M813" i="2" s="1"/>
  <c r="L814" i="2"/>
  <c r="M814" i="2" s="1"/>
  <c r="Q814" i="2" s="1"/>
  <c r="L815" i="2"/>
  <c r="M815" i="2" s="1"/>
  <c r="Q815" i="2" s="1"/>
  <c r="L816" i="2"/>
  <c r="M816" i="2" s="1"/>
  <c r="L817" i="2"/>
  <c r="M817" i="2" s="1"/>
  <c r="Q817" i="2" s="1"/>
  <c r="L818" i="2"/>
  <c r="M818" i="2" s="1"/>
  <c r="L819" i="2"/>
  <c r="M819" i="2" s="1"/>
  <c r="Q819" i="2" s="1"/>
  <c r="L820" i="2"/>
  <c r="M820" i="2" s="1"/>
  <c r="Q820" i="2" s="1"/>
  <c r="L821" i="2"/>
  <c r="M821" i="2" s="1"/>
  <c r="R821" i="2" s="1"/>
  <c r="L822" i="2"/>
  <c r="M822" i="2" s="1"/>
  <c r="L823" i="2"/>
  <c r="M823" i="2" s="1"/>
  <c r="L824" i="2"/>
  <c r="M824" i="2" s="1"/>
  <c r="L825" i="2"/>
  <c r="M825" i="2" s="1"/>
  <c r="L826" i="2"/>
  <c r="M826" i="2" s="1"/>
  <c r="L827" i="2"/>
  <c r="M827" i="2" s="1"/>
  <c r="L828" i="2"/>
  <c r="M828" i="2" s="1"/>
  <c r="L829" i="2"/>
  <c r="M829" i="2" s="1"/>
  <c r="R829" i="2" s="1"/>
  <c r="L830" i="2"/>
  <c r="M830" i="2" s="1"/>
  <c r="R830" i="2" s="1"/>
  <c r="L831" i="2"/>
  <c r="M831" i="2" s="1"/>
  <c r="L832" i="2"/>
  <c r="M832" i="2" s="1"/>
  <c r="L833" i="2"/>
  <c r="M833" i="2" s="1"/>
  <c r="L834" i="2"/>
  <c r="M834" i="2" s="1"/>
  <c r="L835" i="2"/>
  <c r="M835" i="2" s="1"/>
  <c r="L836" i="2"/>
  <c r="M836" i="2" s="1"/>
  <c r="L837" i="2"/>
  <c r="M837" i="2" s="1"/>
  <c r="R837" i="2" s="1"/>
  <c r="L838" i="2"/>
  <c r="M838" i="2" s="1"/>
  <c r="Q838" i="2" s="1"/>
  <c r="L839" i="2"/>
  <c r="M839" i="2" s="1"/>
  <c r="R839" i="2" s="1"/>
  <c r="L840" i="2"/>
  <c r="M840" i="2" s="1"/>
  <c r="R840" i="2" s="1"/>
  <c r="L841" i="2"/>
  <c r="M841" i="2" s="1"/>
  <c r="R841" i="2" s="1"/>
  <c r="L842" i="2"/>
  <c r="M842" i="2" s="1"/>
  <c r="L843" i="2"/>
  <c r="M843" i="2" s="1"/>
  <c r="L844" i="2"/>
  <c r="M844" i="2" s="1"/>
  <c r="Q844" i="2" s="1"/>
  <c r="L845" i="2"/>
  <c r="M845" i="2" s="1"/>
  <c r="L846" i="2"/>
  <c r="M846" i="2" s="1"/>
  <c r="L847" i="2"/>
  <c r="M847" i="2" s="1"/>
  <c r="L848" i="2"/>
  <c r="M848" i="2" s="1"/>
  <c r="L849" i="2"/>
  <c r="M849" i="2" s="1"/>
  <c r="L850" i="2"/>
  <c r="M850" i="2" s="1"/>
  <c r="R850" i="2" s="1"/>
  <c r="L851" i="2"/>
  <c r="M851" i="2" s="1"/>
  <c r="L852" i="2"/>
  <c r="M852" i="2" s="1"/>
  <c r="L853" i="2"/>
  <c r="M853" i="2" s="1"/>
  <c r="L854" i="2"/>
  <c r="M854" i="2" s="1"/>
  <c r="L855" i="2"/>
  <c r="M855" i="2" s="1"/>
  <c r="L856" i="2"/>
  <c r="M856" i="2" s="1"/>
  <c r="R856" i="2" s="1"/>
  <c r="L857" i="2"/>
  <c r="M857" i="2" s="1"/>
  <c r="L858" i="2"/>
  <c r="M858" i="2" s="1"/>
  <c r="L859" i="2"/>
  <c r="M859" i="2" s="1"/>
  <c r="L860" i="2"/>
  <c r="M860" i="2" s="1"/>
  <c r="L861" i="2"/>
  <c r="M861" i="2" s="1"/>
  <c r="L862" i="2"/>
  <c r="M862" i="2" s="1"/>
  <c r="L863" i="2"/>
  <c r="M863" i="2" s="1"/>
  <c r="Q863" i="2" s="1"/>
  <c r="L864" i="2"/>
  <c r="M864" i="2" s="1"/>
  <c r="Q864" i="2" s="1"/>
  <c r="L865" i="2"/>
  <c r="M865" i="2" s="1"/>
  <c r="Q865" i="2" s="1"/>
  <c r="L866" i="2"/>
  <c r="M866" i="2" s="1"/>
  <c r="R866" i="2" s="1"/>
  <c r="L867" i="2"/>
  <c r="M867" i="2" s="1"/>
  <c r="Q867" i="2" s="1"/>
  <c r="L868" i="2"/>
  <c r="M868" i="2" s="1"/>
  <c r="Q868" i="2" s="1"/>
  <c r="L869" i="2"/>
  <c r="M869" i="2" s="1"/>
  <c r="L870" i="2"/>
  <c r="M870" i="2" s="1"/>
  <c r="R870" i="2" s="1"/>
  <c r="L871" i="2"/>
  <c r="M871" i="2" s="1"/>
  <c r="L872" i="2"/>
  <c r="M872" i="2" s="1"/>
  <c r="L873" i="2"/>
  <c r="M873" i="2" s="1"/>
  <c r="L874" i="2"/>
  <c r="M874" i="2" s="1"/>
  <c r="L875" i="2"/>
  <c r="M875" i="2" s="1"/>
  <c r="L876" i="2"/>
  <c r="M876" i="2" s="1"/>
  <c r="R876" i="2" s="1"/>
  <c r="L877" i="2"/>
  <c r="M877" i="2" s="1"/>
  <c r="R877" i="2" s="1"/>
  <c r="L878" i="2"/>
  <c r="M878" i="2" s="1"/>
  <c r="L879" i="2"/>
  <c r="M879" i="2" s="1"/>
  <c r="L880" i="2"/>
  <c r="M880" i="2" s="1"/>
  <c r="L881" i="2"/>
  <c r="M881" i="2" s="1"/>
  <c r="L882" i="2"/>
  <c r="M882" i="2" s="1"/>
  <c r="L883" i="2"/>
  <c r="M883" i="2" s="1"/>
  <c r="L884" i="2"/>
  <c r="M884" i="2" s="1"/>
  <c r="L885" i="2"/>
  <c r="M885" i="2" s="1"/>
  <c r="L886" i="2"/>
  <c r="M886" i="2" s="1"/>
  <c r="R886" i="2" s="1"/>
  <c r="L887" i="2"/>
  <c r="M887" i="2" s="1"/>
  <c r="N887" i="2" s="1"/>
  <c r="O887" i="2" s="1"/>
  <c r="L888" i="2"/>
  <c r="M888" i="2" s="1"/>
  <c r="R888" i="2" s="1"/>
  <c r="L889" i="2"/>
  <c r="M889" i="2" s="1"/>
  <c r="L890" i="2"/>
  <c r="M890" i="2" s="1"/>
  <c r="L891" i="2"/>
  <c r="M891" i="2" s="1"/>
  <c r="L892" i="2"/>
  <c r="M892" i="2" s="1"/>
  <c r="Q892" i="2" s="1"/>
  <c r="L893" i="2"/>
  <c r="M893" i="2" s="1"/>
  <c r="R893" i="2" s="1"/>
  <c r="L894" i="2"/>
  <c r="M894" i="2" s="1"/>
  <c r="L895" i="2"/>
  <c r="M895" i="2" s="1"/>
  <c r="L896" i="2"/>
  <c r="M896" i="2" s="1"/>
  <c r="L897" i="2"/>
  <c r="M897" i="2" s="1"/>
  <c r="L898" i="2"/>
  <c r="M898" i="2" s="1"/>
  <c r="L899" i="2"/>
  <c r="M899" i="2" s="1"/>
  <c r="L900" i="2"/>
  <c r="M900" i="2" s="1"/>
  <c r="L901" i="2"/>
  <c r="M901" i="2" s="1"/>
  <c r="L902" i="2"/>
  <c r="M902" i="2" s="1"/>
  <c r="R902" i="2" s="1"/>
  <c r="L903" i="2"/>
  <c r="M903" i="2" s="1"/>
  <c r="L904" i="2"/>
  <c r="M904" i="2" s="1"/>
  <c r="L905" i="2"/>
  <c r="M905" i="2" s="1"/>
  <c r="R905" i="2" s="1"/>
  <c r="L906" i="2"/>
  <c r="M906" i="2" s="1"/>
  <c r="L907" i="2"/>
  <c r="M907" i="2" s="1"/>
  <c r="L908" i="2"/>
  <c r="M908" i="2" s="1"/>
  <c r="L909" i="2"/>
  <c r="M909" i="2" s="1"/>
  <c r="R909" i="2" s="1"/>
  <c r="L910" i="2"/>
  <c r="M910" i="2" s="1"/>
  <c r="L911" i="2"/>
  <c r="M911" i="2" s="1"/>
  <c r="L912" i="2"/>
  <c r="M912" i="2" s="1"/>
  <c r="P912" i="2" s="1"/>
  <c r="L913" i="2"/>
  <c r="M913" i="2" s="1"/>
  <c r="Q913" i="2" s="1"/>
  <c r="L914" i="2"/>
  <c r="M914" i="2" s="1"/>
  <c r="L915" i="2"/>
  <c r="M915" i="2" s="1"/>
  <c r="Q915" i="2" s="1"/>
  <c r="L916" i="2"/>
  <c r="M916" i="2" s="1"/>
  <c r="Q916" i="2" s="1"/>
  <c r="L917" i="2"/>
  <c r="M917" i="2" s="1"/>
  <c r="L918" i="2"/>
  <c r="M918" i="2" s="1"/>
  <c r="R918" i="2" s="1"/>
  <c r="L919" i="2"/>
  <c r="M919" i="2" s="1"/>
  <c r="L920" i="2"/>
  <c r="M920" i="2" s="1"/>
  <c r="R920" i="2" s="1"/>
  <c r="L921" i="2"/>
  <c r="M921" i="2" s="1"/>
  <c r="L922" i="2"/>
  <c r="M922" i="2" s="1"/>
  <c r="L923" i="2"/>
  <c r="M923" i="2" s="1"/>
  <c r="L924" i="2"/>
  <c r="M924" i="2" s="1"/>
  <c r="R924" i="2" s="1"/>
  <c r="L925" i="2"/>
  <c r="M925" i="2" s="1"/>
  <c r="R925" i="2" s="1"/>
  <c r="L926" i="2"/>
  <c r="M926" i="2" s="1"/>
  <c r="L927" i="2"/>
  <c r="M927" i="2" s="1"/>
  <c r="L928" i="2"/>
  <c r="M928" i="2" s="1"/>
  <c r="L929" i="2"/>
  <c r="M929" i="2" s="1"/>
  <c r="L930" i="2"/>
  <c r="M930" i="2" s="1"/>
  <c r="L931" i="2"/>
  <c r="M931" i="2" s="1"/>
  <c r="L932" i="2"/>
  <c r="M932" i="2" s="1"/>
  <c r="R932" i="2" s="1"/>
  <c r="L933" i="2"/>
  <c r="M933" i="2" s="1"/>
  <c r="L934" i="2"/>
  <c r="M934" i="2" s="1"/>
  <c r="R934" i="2" s="1"/>
  <c r="L935" i="2"/>
  <c r="M935" i="2" s="1"/>
  <c r="L936" i="2"/>
  <c r="M936" i="2" s="1"/>
  <c r="R936" i="2" s="1"/>
  <c r="L937" i="2"/>
  <c r="M937" i="2" s="1"/>
  <c r="R937" i="2" s="1"/>
  <c r="L938" i="2"/>
  <c r="M938" i="2" s="1"/>
  <c r="Q938" i="2" s="1"/>
  <c r="L939" i="2"/>
  <c r="M939" i="2" s="1"/>
  <c r="L940" i="2"/>
  <c r="M940" i="2" s="1"/>
  <c r="L941" i="2"/>
  <c r="M941" i="2" s="1"/>
  <c r="R941" i="2" s="1"/>
  <c r="L942" i="2"/>
  <c r="M942" i="2" s="1"/>
  <c r="L943" i="2"/>
  <c r="M943" i="2" s="1"/>
  <c r="L944" i="2"/>
  <c r="M944" i="2" s="1"/>
  <c r="L945" i="2"/>
  <c r="M945" i="2" s="1"/>
  <c r="L946" i="2"/>
  <c r="M946" i="2" s="1"/>
  <c r="R946" i="2" s="1"/>
  <c r="L947" i="2"/>
  <c r="M947" i="2" s="1"/>
  <c r="L948" i="2"/>
  <c r="M948" i="2" s="1"/>
  <c r="R948" i="2" s="1"/>
  <c r="L949" i="2"/>
  <c r="M949" i="2" s="1"/>
  <c r="Q949" i="2" s="1"/>
  <c r="L950" i="2"/>
  <c r="M950" i="2" s="1"/>
  <c r="Q950" i="2" s="1"/>
  <c r="L951" i="2"/>
  <c r="M951" i="2" s="1"/>
  <c r="Q951" i="2" s="1"/>
  <c r="L952" i="2"/>
  <c r="M952" i="2" s="1"/>
  <c r="Q952" i="2" s="1"/>
  <c r="L953" i="2"/>
  <c r="M953" i="2" s="1"/>
  <c r="L954" i="2"/>
  <c r="M954" i="2" s="1"/>
  <c r="L955" i="2"/>
  <c r="M955" i="2" s="1"/>
  <c r="L956" i="2"/>
  <c r="M956" i="2" s="1"/>
  <c r="L957" i="2"/>
  <c r="M957" i="2" s="1"/>
  <c r="R957" i="2" s="1"/>
  <c r="L958" i="2"/>
  <c r="M958" i="2" s="1"/>
  <c r="L959" i="2"/>
  <c r="M959" i="2" s="1"/>
  <c r="L960" i="2"/>
  <c r="M960" i="2" s="1"/>
  <c r="L961" i="2"/>
  <c r="M961" i="2" s="1"/>
  <c r="L962" i="2"/>
  <c r="M962" i="2" s="1"/>
  <c r="L963" i="2"/>
  <c r="M963" i="2" s="1"/>
  <c r="L964" i="2"/>
  <c r="M964" i="2" s="1"/>
  <c r="L965" i="2"/>
  <c r="M965" i="2" s="1"/>
  <c r="L966" i="2"/>
  <c r="M966" i="2" s="1"/>
  <c r="L967" i="2"/>
  <c r="M967" i="2" s="1"/>
  <c r="L968" i="2"/>
  <c r="M968" i="2" s="1"/>
  <c r="L969" i="2"/>
  <c r="M969" i="2" s="1"/>
  <c r="R969" i="2" s="1"/>
  <c r="L970" i="2"/>
  <c r="M970" i="2" s="1"/>
  <c r="R970" i="2" s="1"/>
  <c r="L971" i="2"/>
  <c r="M971" i="2" s="1"/>
  <c r="R971" i="2" s="1"/>
  <c r="L972" i="2"/>
  <c r="M972" i="2" s="1"/>
  <c r="R972" i="2" s="1"/>
  <c r="L973" i="2"/>
  <c r="M973" i="2" s="1"/>
  <c r="Q973" i="2" s="1"/>
  <c r="L974" i="2"/>
  <c r="M974" i="2" s="1"/>
  <c r="L975" i="2"/>
  <c r="M975" i="2" s="1"/>
  <c r="L976" i="2"/>
  <c r="M976" i="2" s="1"/>
  <c r="L977" i="2"/>
  <c r="M977" i="2" s="1"/>
  <c r="L978" i="2"/>
  <c r="M978" i="2" s="1"/>
  <c r="L979" i="2"/>
  <c r="M979" i="2" s="1"/>
  <c r="L980" i="2"/>
  <c r="M980" i="2" s="1"/>
  <c r="L981" i="2"/>
  <c r="M981" i="2" s="1"/>
  <c r="L982" i="2"/>
  <c r="M982" i="2" s="1"/>
  <c r="L983" i="2"/>
  <c r="M983" i="2" s="1"/>
  <c r="L984" i="2"/>
  <c r="M984" i="2" s="1"/>
  <c r="Q984" i="2" s="1"/>
  <c r="L985" i="2"/>
  <c r="M985" i="2" s="1"/>
  <c r="Q985" i="2" s="1"/>
  <c r="L986" i="2"/>
  <c r="M986" i="2" s="1"/>
  <c r="Q986" i="2" s="1"/>
  <c r="L987" i="2"/>
  <c r="M987" i="2" s="1"/>
  <c r="Q987" i="2" s="1"/>
  <c r="L988" i="2"/>
  <c r="M988" i="2" s="1"/>
  <c r="Q988" i="2" s="1"/>
  <c r="L989" i="2"/>
  <c r="M989" i="2" s="1"/>
  <c r="L990" i="2"/>
  <c r="M990" i="2" s="1"/>
  <c r="L991" i="2"/>
  <c r="M991" i="2" s="1"/>
  <c r="L992" i="2"/>
  <c r="M992" i="2" s="1"/>
  <c r="L993" i="2"/>
  <c r="M993" i="2" s="1"/>
  <c r="L994" i="2"/>
  <c r="M994" i="2" s="1"/>
  <c r="R994" i="2" s="1"/>
  <c r="L995" i="2"/>
  <c r="M995" i="2" s="1"/>
  <c r="L996" i="2"/>
  <c r="M996" i="2" s="1"/>
  <c r="L997" i="2"/>
  <c r="M997" i="2" s="1"/>
  <c r="L998" i="2"/>
  <c r="M998" i="2" s="1"/>
  <c r="Q998" i="2" s="1"/>
  <c r="L999" i="2"/>
  <c r="M999" i="2" s="1"/>
  <c r="R999" i="2" s="1"/>
  <c r="L1000" i="2"/>
  <c r="M1000" i="2" s="1"/>
  <c r="L1001" i="2"/>
  <c r="M1001" i="2" s="1"/>
  <c r="R1001" i="2" s="1"/>
  <c r="L1002" i="2"/>
  <c r="M1002" i="2" s="1"/>
  <c r="L1003" i="2"/>
  <c r="M1003" i="2" s="1"/>
  <c r="L1004" i="2"/>
  <c r="M1004" i="2" s="1"/>
  <c r="L1005" i="2"/>
  <c r="M1005" i="2" s="1"/>
  <c r="L1006" i="2"/>
  <c r="M1006" i="2" s="1"/>
  <c r="Q1006" i="2" s="1"/>
  <c r="L1007" i="2"/>
  <c r="M1007" i="2" s="1"/>
  <c r="L1008" i="2"/>
  <c r="M1008" i="2" s="1"/>
  <c r="R1008" i="2" s="1"/>
  <c r="L1009" i="2"/>
  <c r="M1009" i="2" s="1"/>
  <c r="R1009" i="2" s="1"/>
  <c r="L1010" i="2"/>
  <c r="M1010" i="2" s="1"/>
  <c r="L1011" i="2"/>
  <c r="M1011" i="2" s="1"/>
  <c r="L1012" i="2"/>
  <c r="M1012" i="2" s="1"/>
  <c r="L1013" i="2"/>
  <c r="M1013" i="2" s="1"/>
  <c r="L1014" i="2"/>
  <c r="M1014" i="2" s="1"/>
  <c r="L1015" i="2"/>
  <c r="M1015" i="2" s="1"/>
  <c r="L1016" i="2"/>
  <c r="M1016" i="2" s="1"/>
  <c r="L1017" i="2"/>
  <c r="M1017" i="2" s="1"/>
  <c r="Q1017" i="2" s="1"/>
  <c r="L1018" i="2"/>
  <c r="M1018" i="2" s="1"/>
  <c r="R1018" i="2" s="1"/>
  <c r="L1019" i="2"/>
  <c r="M1019" i="2" s="1"/>
  <c r="Q1019" i="2" s="1"/>
  <c r="L1020" i="2"/>
  <c r="M1020" i="2" s="1"/>
  <c r="L1021" i="2"/>
  <c r="M1021" i="2" s="1"/>
  <c r="R1021" i="2" s="1"/>
  <c r="L1022" i="2"/>
  <c r="M1022" i="2" s="1"/>
  <c r="R1022" i="2" s="1"/>
  <c r="L1023" i="2"/>
  <c r="M1023" i="2" s="1"/>
  <c r="R1023" i="2" s="1"/>
  <c r="L1024" i="2"/>
  <c r="M1024" i="2" s="1"/>
  <c r="L1025" i="2"/>
  <c r="M1025" i="2" s="1"/>
  <c r="R1025" i="2" s="1"/>
  <c r="L1026" i="2"/>
  <c r="M1026" i="2" s="1"/>
  <c r="L1027" i="2"/>
  <c r="M1027" i="2" s="1"/>
  <c r="L1028" i="2"/>
  <c r="M1028" i="2" s="1"/>
  <c r="Q1028" i="2" s="1"/>
  <c r="L1029" i="2"/>
  <c r="M1029" i="2" s="1"/>
  <c r="L1030" i="2"/>
  <c r="M1030" i="2" s="1"/>
  <c r="R1030" i="2" s="1"/>
  <c r="L1031" i="2"/>
  <c r="M1031" i="2" s="1"/>
  <c r="R1031" i="2" s="1"/>
  <c r="L1032" i="2"/>
  <c r="M1032" i="2" s="1"/>
  <c r="L1033" i="2"/>
  <c r="M1033" i="2" s="1"/>
  <c r="Q1033" i="2" s="1"/>
  <c r="L1034" i="2"/>
  <c r="M1034" i="2" s="1"/>
  <c r="L1035" i="2"/>
  <c r="M1035" i="2" s="1"/>
  <c r="L1036" i="2"/>
  <c r="M1036" i="2" s="1"/>
  <c r="L1037" i="2"/>
  <c r="M1037" i="2" s="1"/>
  <c r="L1038" i="2"/>
  <c r="M1038" i="2" s="1"/>
  <c r="R1038" i="2" s="1"/>
  <c r="L1039" i="2"/>
  <c r="M1039" i="2" s="1"/>
  <c r="L1040" i="2"/>
  <c r="M1040" i="2" s="1"/>
  <c r="Q1040" i="2" s="1"/>
  <c r="L1041" i="2"/>
  <c r="M1041" i="2" s="1"/>
  <c r="Q1041" i="2" s="1"/>
  <c r="L1042" i="2"/>
  <c r="M1042" i="2" s="1"/>
  <c r="Q1042" i="2" s="1"/>
  <c r="L1043" i="2"/>
  <c r="M1043" i="2" s="1"/>
  <c r="Q1043" i="2" s="1"/>
  <c r="L1044" i="2"/>
  <c r="M1044" i="2" s="1"/>
  <c r="Q1044" i="2" s="1"/>
  <c r="L1045" i="2"/>
  <c r="M1045" i="2" s="1"/>
  <c r="Q1045" i="2" s="1"/>
  <c r="L1046" i="2"/>
  <c r="M1046" i="2" s="1"/>
  <c r="L1047" i="2"/>
  <c r="M1047" i="2" s="1"/>
  <c r="L1048" i="2"/>
  <c r="M1048" i="2" s="1"/>
  <c r="L1049" i="2"/>
  <c r="M1049" i="2" s="1"/>
  <c r="L1050" i="2"/>
  <c r="M1050" i="2" s="1"/>
  <c r="R1050" i="2" s="1"/>
  <c r="L1051" i="2"/>
  <c r="M1051" i="2" s="1"/>
  <c r="L1052" i="2"/>
  <c r="M1052" i="2" s="1"/>
  <c r="Q1052" i="2" s="1"/>
  <c r="L1053" i="2"/>
  <c r="M1053" i="2" s="1"/>
  <c r="R1053" i="2" s="1"/>
  <c r="L1054" i="2"/>
  <c r="M1054" i="2" s="1"/>
  <c r="L1055" i="2"/>
  <c r="M1055" i="2" s="1"/>
  <c r="L1056" i="2"/>
  <c r="M1056" i="2" s="1"/>
  <c r="L1057" i="2"/>
  <c r="M1057" i="2" s="1"/>
  <c r="R1057" i="2" s="1"/>
  <c r="L1058" i="2"/>
  <c r="M1058" i="2" s="1"/>
  <c r="L1059" i="2"/>
  <c r="M1059" i="2" s="1"/>
  <c r="R1059" i="2" s="1"/>
  <c r="L1060" i="2"/>
  <c r="M1060" i="2" s="1"/>
  <c r="L1061" i="2"/>
  <c r="M1061" i="2" s="1"/>
  <c r="L1062" i="2"/>
  <c r="M1062" i="2" s="1"/>
  <c r="L1063" i="2"/>
  <c r="M1063" i="2" s="1"/>
  <c r="L1064" i="2"/>
  <c r="M1064" i="2" s="1"/>
  <c r="Q1064" i="2" s="1"/>
  <c r="L1065" i="2"/>
  <c r="M1065" i="2" s="1"/>
  <c r="Q1065" i="2" s="1"/>
  <c r="L1066" i="2"/>
  <c r="M1066" i="2" s="1"/>
  <c r="R1066" i="2" s="1"/>
  <c r="L1067" i="2"/>
  <c r="M1067" i="2" s="1"/>
  <c r="L1068" i="2"/>
  <c r="M1068" i="2" s="1"/>
  <c r="Q1068" i="2" s="1"/>
  <c r="L1069" i="2"/>
  <c r="M1069" i="2" s="1"/>
  <c r="Q1069" i="2" s="1"/>
  <c r="L1070" i="2"/>
  <c r="M1070" i="2" s="1"/>
  <c r="L1071" i="2"/>
  <c r="M1071" i="2" s="1"/>
  <c r="L1072" i="2"/>
  <c r="M1072" i="2" s="1"/>
  <c r="L1073" i="2"/>
  <c r="M1073" i="2" s="1"/>
  <c r="L1074" i="2"/>
  <c r="M1074" i="2" s="1"/>
  <c r="L1075" i="2"/>
  <c r="M1075" i="2" s="1"/>
  <c r="L1076" i="2"/>
  <c r="M1076" i="2" s="1"/>
  <c r="Q1076" i="2" s="1"/>
  <c r="L1077" i="2"/>
  <c r="M1077" i="2" s="1"/>
  <c r="L1078" i="2"/>
  <c r="M1078" i="2" s="1"/>
  <c r="L1079" i="2"/>
  <c r="M1079" i="2" s="1"/>
  <c r="L1080" i="2"/>
  <c r="M1080" i="2" s="1"/>
  <c r="R1080" i="2" s="1"/>
  <c r="L1081" i="2"/>
  <c r="M1081" i="2" s="1"/>
  <c r="R1081" i="2" s="1"/>
  <c r="L1082" i="2"/>
  <c r="M1082" i="2" s="1"/>
  <c r="L1083" i="2"/>
  <c r="M1083" i="2" s="1"/>
  <c r="L1084" i="2"/>
  <c r="M1084" i="2" s="1"/>
  <c r="L1085" i="2"/>
  <c r="M1085" i="2" s="1"/>
  <c r="L1086" i="2"/>
  <c r="M1086" i="2" s="1"/>
  <c r="L1087" i="2"/>
  <c r="M1087" i="2" s="1"/>
  <c r="L1088" i="2"/>
  <c r="M1088" i="2" s="1"/>
  <c r="Q1088" i="2" s="1"/>
  <c r="L1089" i="2"/>
  <c r="M1089" i="2" s="1"/>
  <c r="R1089" i="2" s="1"/>
  <c r="L1090" i="2"/>
  <c r="M1090" i="2" s="1"/>
  <c r="Q1090" i="2" s="1"/>
  <c r="L1091" i="2"/>
  <c r="M1091" i="2" s="1"/>
  <c r="Q1091" i="2" s="1"/>
  <c r="L1092" i="2"/>
  <c r="M1092" i="2" s="1"/>
  <c r="R1092" i="2" s="1"/>
  <c r="L1093" i="2"/>
  <c r="M1093" i="2" s="1"/>
  <c r="R1093" i="2" s="1"/>
  <c r="L1094" i="2"/>
  <c r="M1094" i="2" s="1"/>
  <c r="L1095" i="2"/>
  <c r="M1095" i="2" s="1"/>
  <c r="L1096" i="2"/>
  <c r="M1096" i="2" s="1"/>
  <c r="L1097" i="2"/>
  <c r="M1097" i="2" s="1"/>
  <c r="L1098" i="2"/>
  <c r="M1098" i="2" s="1"/>
  <c r="L1099" i="2"/>
  <c r="M1099" i="2" s="1"/>
  <c r="L1100" i="2"/>
  <c r="M1100" i="2" s="1"/>
  <c r="Q1100" i="2" s="1"/>
  <c r="L1101" i="2"/>
  <c r="M1101" i="2" s="1"/>
  <c r="R1101" i="2" s="1"/>
  <c r="L1102" i="2"/>
  <c r="M1102" i="2" s="1"/>
  <c r="L1103" i="2"/>
  <c r="M1103" i="2" s="1"/>
  <c r="L1104" i="2"/>
  <c r="M1104" i="2" s="1"/>
  <c r="R1104" i="2" s="1"/>
  <c r="L1105" i="2"/>
  <c r="M1105" i="2" s="1"/>
  <c r="P1105" i="2" s="1"/>
  <c r="L1106" i="2"/>
  <c r="M1106" i="2" s="1"/>
  <c r="L1107" i="2"/>
  <c r="M1107" i="2" s="1"/>
  <c r="L1108" i="2"/>
  <c r="M1108" i="2" s="1"/>
  <c r="L1109" i="2"/>
  <c r="M1109" i="2" s="1"/>
  <c r="L1110" i="2"/>
  <c r="M1110" i="2" s="1"/>
  <c r="L1111" i="2"/>
  <c r="M1111" i="2" s="1"/>
  <c r="L1112" i="2"/>
  <c r="M1112" i="2" s="1"/>
  <c r="Q1112" i="2" s="1"/>
  <c r="L1113" i="2"/>
  <c r="M1113" i="2" s="1"/>
  <c r="Q1113" i="2" s="1"/>
  <c r="L1114" i="2"/>
  <c r="M1114" i="2" s="1"/>
  <c r="Q1114" i="2" s="1"/>
  <c r="L1115" i="2"/>
  <c r="M1115" i="2" s="1"/>
  <c r="Q1115" i="2" s="1"/>
  <c r="L1116" i="2"/>
  <c r="M1116" i="2" s="1"/>
  <c r="P1116" i="2" s="1"/>
  <c r="L1117" i="2"/>
  <c r="M1117" i="2" s="1"/>
  <c r="R1117" i="2" s="1"/>
  <c r="L1118" i="2"/>
  <c r="M1118" i="2" s="1"/>
  <c r="L1119" i="2"/>
  <c r="M1119" i="2" s="1"/>
  <c r="L1120" i="2"/>
  <c r="M1120" i="2" s="1"/>
  <c r="L1121" i="2"/>
  <c r="M1121" i="2" s="1"/>
  <c r="L1122" i="2"/>
  <c r="M1122" i="2" s="1"/>
  <c r="L1123" i="2"/>
  <c r="M1123" i="2" s="1"/>
  <c r="L1124" i="2"/>
  <c r="M1124" i="2" s="1"/>
  <c r="Q1124" i="2" s="1"/>
  <c r="L1125" i="2"/>
  <c r="M1125" i="2" s="1"/>
  <c r="L1126" i="2"/>
  <c r="M1126" i="2" s="1"/>
  <c r="L1127" i="2"/>
  <c r="M1127" i="2" s="1"/>
  <c r="L1128" i="2"/>
  <c r="M1128" i="2" s="1"/>
  <c r="L1129" i="2"/>
  <c r="M1129" i="2" s="1"/>
  <c r="N1129" i="2" s="1"/>
  <c r="O1129" i="2" s="1"/>
  <c r="L1130" i="2"/>
  <c r="M1130" i="2" s="1"/>
  <c r="R1130" i="2" s="1"/>
  <c r="L1131" i="2"/>
  <c r="M1131" i="2" s="1"/>
  <c r="R1131" i="2" s="1"/>
  <c r="L1132" i="2"/>
  <c r="M1132" i="2" s="1"/>
  <c r="R1132" i="2" s="1"/>
  <c r="L1133" i="2"/>
  <c r="M1133" i="2" s="1"/>
  <c r="L1134" i="2"/>
  <c r="M1134" i="2" s="1"/>
  <c r="L1135" i="2"/>
  <c r="M1135" i="2" s="1"/>
  <c r="L1136" i="2"/>
  <c r="M1136" i="2" s="1"/>
  <c r="Q1136" i="2" s="1"/>
  <c r="L1137" i="2"/>
  <c r="M1137" i="2" s="1"/>
  <c r="R1137" i="2" s="1"/>
  <c r="L1138" i="2"/>
  <c r="M1138" i="2" s="1"/>
  <c r="Q1138" i="2" s="1"/>
  <c r="L1139" i="2"/>
  <c r="M1139" i="2" s="1"/>
  <c r="Q1139" i="2" s="1"/>
  <c r="L1140" i="2"/>
  <c r="M1140" i="2" s="1"/>
  <c r="Q1140" i="2" s="1"/>
  <c r="L1141" i="2"/>
  <c r="M1141" i="2" s="1"/>
  <c r="Q1141" i="2" s="1"/>
  <c r="L1142" i="2"/>
  <c r="M1142" i="2" s="1"/>
  <c r="L1143" i="2"/>
  <c r="M1143" i="2" s="1"/>
  <c r="L1144" i="2"/>
  <c r="M1144" i="2" s="1"/>
  <c r="L1145" i="2"/>
  <c r="M1145" i="2" s="1"/>
  <c r="L1146" i="2"/>
  <c r="M1146" i="2" s="1"/>
  <c r="L1147" i="2"/>
  <c r="M1147" i="2" s="1"/>
  <c r="L1148" i="2"/>
  <c r="M1148" i="2" s="1"/>
  <c r="L1149" i="2"/>
  <c r="M1149" i="2" s="1"/>
  <c r="R1149" i="2" s="1"/>
  <c r="L1150" i="2"/>
  <c r="M1150" i="2" s="1"/>
  <c r="R1150" i="2" s="1"/>
  <c r="L1151" i="2"/>
  <c r="M1151" i="2" s="1"/>
  <c r="R1151" i="2" s="1"/>
  <c r="L1152" i="2"/>
  <c r="M1152" i="2" s="1"/>
  <c r="L1153" i="2"/>
  <c r="M1153" i="2" s="1"/>
  <c r="Q1153" i="2" s="1"/>
  <c r="L1154" i="2"/>
  <c r="M1154" i="2" s="1"/>
  <c r="L1155" i="2"/>
  <c r="M1155" i="2" s="1"/>
  <c r="L1156" i="2"/>
  <c r="M1156" i="2" s="1"/>
  <c r="L1157" i="2"/>
  <c r="M1157" i="2" s="1"/>
  <c r="L1158" i="2"/>
  <c r="M1158" i="2" s="1"/>
  <c r="L1159" i="2"/>
  <c r="M1159" i="2" s="1"/>
  <c r="L1160" i="2"/>
  <c r="M1160" i="2" s="1"/>
  <c r="L1161" i="2"/>
  <c r="M1161" i="2" s="1"/>
  <c r="Q1161" i="2" s="1"/>
  <c r="L1162" i="2"/>
  <c r="M1162" i="2" s="1"/>
  <c r="Q1162" i="2" s="1"/>
  <c r="L1163" i="2"/>
  <c r="M1163" i="2" s="1"/>
  <c r="L1164" i="2"/>
  <c r="M1164" i="2" s="1"/>
  <c r="R1164" i="2" s="1"/>
  <c r="L1165" i="2"/>
  <c r="M1165" i="2" s="1"/>
  <c r="Q1165" i="2" s="1"/>
  <c r="L1166" i="2"/>
  <c r="M1166" i="2" s="1"/>
  <c r="R1166" i="2" s="1"/>
  <c r="L1167" i="2"/>
  <c r="M1167" i="2" s="1"/>
  <c r="R1167" i="2" s="1"/>
  <c r="L1168" i="2"/>
  <c r="M1168" i="2" s="1"/>
  <c r="R1168" i="2" s="1"/>
  <c r="L1169" i="2"/>
  <c r="M1169" i="2" s="1"/>
  <c r="R1169" i="2" s="1"/>
  <c r="L1170" i="2"/>
  <c r="M1170" i="2" s="1"/>
  <c r="L1171" i="2"/>
  <c r="M1171" i="2" s="1"/>
  <c r="L1172" i="2"/>
  <c r="M1172" i="2" s="1"/>
  <c r="L1173" i="2"/>
  <c r="M1173" i="2" s="1"/>
  <c r="L1174" i="2"/>
  <c r="M1174" i="2" s="1"/>
  <c r="L1175" i="2"/>
  <c r="M1175" i="2" s="1"/>
  <c r="L1176" i="2"/>
  <c r="M1176" i="2" s="1"/>
  <c r="R1176" i="2" s="1"/>
  <c r="L1177" i="2"/>
  <c r="M1177" i="2" s="1"/>
  <c r="Q1177" i="2" s="1"/>
  <c r="L1178" i="2"/>
  <c r="M1178" i="2" s="1"/>
  <c r="L1179" i="2"/>
  <c r="M1179" i="2" s="1"/>
  <c r="L1180" i="2"/>
  <c r="M1180" i="2" s="1"/>
  <c r="L1181" i="2"/>
  <c r="M1181" i="2" s="1"/>
  <c r="R1181" i="2" s="1"/>
  <c r="L1182" i="2"/>
  <c r="M1182" i="2" s="1"/>
  <c r="L1183" i="2"/>
  <c r="M1183" i="2" s="1"/>
  <c r="L1184" i="2"/>
  <c r="M1184" i="2" s="1"/>
  <c r="L1185" i="2"/>
  <c r="M1185" i="2" s="1"/>
  <c r="Q1185" i="2" s="1"/>
  <c r="L1186" i="2"/>
  <c r="M1186" i="2" s="1"/>
  <c r="Q1186" i="2" s="1"/>
  <c r="L1187" i="2"/>
  <c r="M1187" i="2" s="1"/>
  <c r="Q1187" i="2" s="1"/>
  <c r="L1188" i="2"/>
  <c r="M1188" i="2" s="1"/>
  <c r="Q1188" i="2" s="1"/>
  <c r="L1189" i="2"/>
  <c r="M1189" i="2" s="1"/>
  <c r="Q1189" i="2" s="1"/>
  <c r="L1190" i="2"/>
  <c r="M1190" i="2" s="1"/>
  <c r="L1191" i="2"/>
  <c r="M1191" i="2" s="1"/>
  <c r="L1192" i="2"/>
  <c r="M1192" i="2" s="1"/>
  <c r="L1193" i="2"/>
  <c r="M1193" i="2" s="1"/>
  <c r="L1194" i="2"/>
  <c r="M1194" i="2" s="1"/>
  <c r="L1195" i="2"/>
  <c r="M1195" i="2" s="1"/>
  <c r="L1196" i="2"/>
  <c r="M1196" i="2" s="1"/>
  <c r="L1197" i="2"/>
  <c r="M1197" i="2" s="1"/>
  <c r="L1198" i="2"/>
  <c r="M1198" i="2" s="1"/>
  <c r="L1199" i="2"/>
  <c r="M1199" i="2" s="1"/>
  <c r="R1199" i="2" s="1"/>
  <c r="L1200" i="2"/>
  <c r="M1200" i="2" s="1"/>
  <c r="L1201" i="2"/>
  <c r="M1201" i="2" s="1"/>
  <c r="Q1201" i="2" s="1"/>
  <c r="L1202" i="2"/>
  <c r="M1202" i="2" s="1"/>
  <c r="L1203" i="2"/>
  <c r="M1203" i="2" s="1"/>
  <c r="L1204" i="2"/>
  <c r="M1204" i="2" s="1"/>
  <c r="L1205" i="2"/>
  <c r="M1205" i="2" s="1"/>
  <c r="L1206" i="2"/>
  <c r="M1206" i="2" s="1"/>
  <c r="Q1206" i="2" s="1"/>
  <c r="L1207" i="2"/>
  <c r="M1207" i="2" s="1"/>
  <c r="L1208" i="2"/>
  <c r="M1208" i="2" s="1"/>
  <c r="L1209" i="2"/>
  <c r="M1209" i="2" s="1"/>
  <c r="Q1209" i="2" s="1"/>
  <c r="L1210" i="2"/>
  <c r="M1210" i="2" s="1"/>
  <c r="Q1210" i="2" s="1"/>
  <c r="L1211" i="2"/>
  <c r="M1211" i="2" s="1"/>
  <c r="R1211" i="2" s="1"/>
  <c r="L1212" i="2"/>
  <c r="M1212" i="2" s="1"/>
  <c r="L1213" i="2"/>
  <c r="M1213" i="2" s="1"/>
  <c r="L1214" i="2"/>
  <c r="M1214" i="2" s="1"/>
  <c r="L1215" i="2"/>
  <c r="M1215" i="2" s="1"/>
  <c r="L1216" i="2"/>
  <c r="M1216" i="2" s="1"/>
  <c r="L1217" i="2"/>
  <c r="M1217" i="2" s="1"/>
  <c r="R1217" i="2" s="1"/>
  <c r="L1218" i="2"/>
  <c r="M1218" i="2" s="1"/>
  <c r="R1218" i="2" s="1"/>
  <c r="L1219" i="2"/>
  <c r="M1219" i="2" s="1"/>
  <c r="L1220" i="2"/>
  <c r="M1220" i="2" s="1"/>
  <c r="L1221" i="2"/>
  <c r="M1221" i="2" s="1"/>
  <c r="L1222" i="2"/>
  <c r="M1222" i="2" s="1"/>
  <c r="R1222" i="2" s="1"/>
  <c r="L1223" i="2"/>
  <c r="M1223" i="2" s="1"/>
  <c r="Q1223" i="2" s="1"/>
  <c r="L1224" i="2"/>
  <c r="M1224" i="2" s="1"/>
  <c r="Q1224" i="2" s="1"/>
  <c r="L1225" i="2"/>
  <c r="M1225" i="2" s="1"/>
  <c r="P1225" i="2" s="1"/>
  <c r="L1226" i="2"/>
  <c r="M1226" i="2" s="1"/>
  <c r="L1227" i="2"/>
  <c r="M1227" i="2" s="1"/>
  <c r="L1228" i="2"/>
  <c r="M1228" i="2" s="1"/>
  <c r="L1229" i="2"/>
  <c r="M1229" i="2" s="1"/>
  <c r="L1230" i="2"/>
  <c r="M1230" i="2" s="1"/>
  <c r="Q1230" i="2" s="1"/>
  <c r="L1231" i="2"/>
  <c r="M1231" i="2" s="1"/>
  <c r="L1232" i="2"/>
  <c r="M1232" i="2" s="1"/>
  <c r="Q1232" i="2" s="1"/>
  <c r="L1233" i="2"/>
  <c r="M1233" i="2" s="1"/>
  <c r="R1233" i="2" s="1"/>
  <c r="L1234" i="2"/>
  <c r="M1234" i="2" s="1"/>
  <c r="R1234" i="2" s="1"/>
  <c r="L1235" i="2"/>
  <c r="M1235" i="2" s="1"/>
  <c r="L1236" i="2"/>
  <c r="M1236" i="2" s="1"/>
  <c r="L1237" i="2"/>
  <c r="M1237" i="2" s="1"/>
  <c r="R1237" i="2" s="1"/>
  <c r="L1238" i="2"/>
  <c r="M1238" i="2" s="1"/>
  <c r="L1239" i="2"/>
  <c r="M1239" i="2" s="1"/>
  <c r="L1240" i="2"/>
  <c r="M1240" i="2" s="1"/>
  <c r="L1241" i="2"/>
  <c r="M1241" i="2" s="1"/>
  <c r="L1242" i="2"/>
  <c r="M1242" i="2" s="1"/>
  <c r="L1243" i="2"/>
  <c r="M1243" i="2" s="1"/>
  <c r="L1244" i="2"/>
  <c r="M1244" i="2" s="1"/>
  <c r="L1245" i="2"/>
  <c r="M1245" i="2" s="1"/>
  <c r="Q1245" i="2" s="1"/>
  <c r="L1246" i="2"/>
  <c r="M1246" i="2" s="1"/>
  <c r="Q1246" i="2" s="1"/>
  <c r="L1247" i="2"/>
  <c r="M1247" i="2" s="1"/>
  <c r="R1247" i="2" s="1"/>
  <c r="L1248" i="2"/>
  <c r="M1248" i="2" s="1"/>
  <c r="R1248" i="2" s="1"/>
  <c r="L1249" i="2"/>
  <c r="M1249" i="2" s="1"/>
  <c r="Q1249" i="2" s="1"/>
  <c r="L1250" i="2"/>
  <c r="M1250" i="2" s="1"/>
  <c r="L1251" i="2"/>
  <c r="M1251" i="2" s="1"/>
  <c r="L1252" i="2"/>
  <c r="M1252" i="2" s="1"/>
  <c r="L1253" i="2"/>
  <c r="M1253" i="2" s="1"/>
  <c r="L1254" i="2"/>
  <c r="M1254" i="2" s="1"/>
  <c r="Q1254" i="2" s="1"/>
  <c r="L1255" i="2"/>
  <c r="M1255" i="2" s="1"/>
  <c r="L1256" i="2"/>
  <c r="M1256" i="2" s="1"/>
  <c r="L1257" i="2"/>
  <c r="M1257" i="2" s="1"/>
  <c r="L1258" i="2"/>
  <c r="M1258" i="2" s="1"/>
  <c r="L1259" i="2"/>
  <c r="M1259" i="2" s="1"/>
  <c r="L1260" i="2"/>
  <c r="M1260" i="2" s="1"/>
  <c r="L1261" i="2"/>
  <c r="M1261" i="2" s="1"/>
  <c r="Q1261" i="2" s="1"/>
  <c r="L1262" i="2"/>
  <c r="M1262" i="2" s="1"/>
  <c r="L1263" i="2"/>
  <c r="M1263" i="2" s="1"/>
  <c r="L1264" i="2"/>
  <c r="M1264" i="2" s="1"/>
  <c r="L1265" i="2"/>
  <c r="M1265" i="2" s="1"/>
  <c r="L1266" i="2"/>
  <c r="M1266" i="2" s="1"/>
  <c r="Q1266" i="2" s="1"/>
  <c r="L1267" i="2"/>
  <c r="M1267" i="2" s="1"/>
  <c r="Q1267" i="2" s="1"/>
  <c r="L1268" i="2"/>
  <c r="M1268" i="2" s="1"/>
  <c r="L1269" i="2"/>
  <c r="M1269" i="2" s="1"/>
  <c r="Q1269" i="2" s="1"/>
  <c r="L1270" i="2"/>
  <c r="M1270" i="2" s="1"/>
  <c r="Q1270" i="2" s="1"/>
  <c r="L1271" i="2"/>
  <c r="M1271" i="2" s="1"/>
  <c r="L1272" i="2"/>
  <c r="M1272" i="2" s="1"/>
  <c r="L1273" i="2"/>
  <c r="M1273" i="2" s="1"/>
  <c r="Q1273" i="2" s="1"/>
  <c r="L1274" i="2"/>
  <c r="M1274" i="2" s="1"/>
  <c r="R1274" i="2" s="1"/>
  <c r="L1275" i="2"/>
  <c r="M1275" i="2" s="1"/>
  <c r="R1275" i="2" s="1"/>
  <c r="L1276" i="2"/>
  <c r="M1276" i="2" s="1"/>
  <c r="L1277" i="2"/>
  <c r="M1277" i="2" s="1"/>
  <c r="R1277" i="2" s="1"/>
  <c r="L1278" i="2"/>
  <c r="M1278" i="2" s="1"/>
  <c r="L1279" i="2"/>
  <c r="M1279" i="2" s="1"/>
  <c r="L1280" i="2"/>
  <c r="M1280" i="2" s="1"/>
  <c r="L1281" i="2"/>
  <c r="M1281" i="2" s="1"/>
  <c r="Q1281" i="2" s="1"/>
  <c r="L1282" i="2"/>
  <c r="M1282" i="2" s="1"/>
  <c r="Q1282" i="2" s="1"/>
  <c r="L1283" i="2"/>
  <c r="M1283" i="2" s="1"/>
  <c r="L1284" i="2"/>
  <c r="M1284" i="2" s="1"/>
  <c r="Q1284" i="2" s="1"/>
  <c r="L1285" i="2"/>
  <c r="M1285" i="2" s="1"/>
  <c r="Q1285" i="2" s="1"/>
  <c r="L1286" i="2"/>
  <c r="M1286" i="2" s="1"/>
  <c r="L1287" i="2"/>
  <c r="M1287" i="2" s="1"/>
  <c r="L1288" i="2"/>
  <c r="M1288" i="2" s="1"/>
  <c r="L1289" i="2"/>
  <c r="M1289" i="2" s="1"/>
  <c r="Q1289" i="2" s="1"/>
  <c r="L1290" i="2"/>
  <c r="M1290" i="2" s="1"/>
  <c r="Q1290" i="2" s="1"/>
  <c r="L1291" i="2"/>
  <c r="M1291" i="2" s="1"/>
  <c r="R1291" i="2" s="1"/>
  <c r="L1292" i="2"/>
  <c r="M1292" i="2" s="1"/>
  <c r="L1293" i="2"/>
  <c r="M1293" i="2" s="1"/>
  <c r="L1294" i="2"/>
  <c r="M1294" i="2" s="1"/>
  <c r="L1295" i="2"/>
  <c r="M1295" i="2" s="1"/>
  <c r="L1296" i="2"/>
  <c r="M1296" i="2" s="1"/>
  <c r="L1297" i="2"/>
  <c r="M1297" i="2" s="1"/>
  <c r="Q1297" i="2" s="1"/>
  <c r="L1298" i="2"/>
  <c r="M1298" i="2" s="1"/>
  <c r="L1299" i="2"/>
  <c r="M1299" i="2" s="1"/>
  <c r="L1300" i="2"/>
  <c r="M1300" i="2" s="1"/>
  <c r="L1301" i="2"/>
  <c r="M1301" i="2" s="1"/>
  <c r="L1302" i="2"/>
  <c r="M1302" i="2" s="1"/>
  <c r="Q1302" i="2" s="1"/>
  <c r="L1303" i="2"/>
  <c r="M1303" i="2" s="1"/>
  <c r="L1304" i="2"/>
  <c r="M1304" i="2" s="1"/>
  <c r="L1305" i="2"/>
  <c r="M1305" i="2" s="1"/>
  <c r="Q1305" i="2" s="1"/>
  <c r="L1306" i="2"/>
  <c r="M1306" i="2" s="1"/>
  <c r="Q1306" i="2" s="1"/>
  <c r="L1307" i="2"/>
  <c r="M1307" i="2" s="1"/>
  <c r="R1307" i="2" s="1"/>
  <c r="L1308" i="2"/>
  <c r="M1308" i="2" s="1"/>
  <c r="R1308" i="2" s="1"/>
  <c r="L1309" i="2"/>
  <c r="M1309" i="2" s="1"/>
  <c r="L1310" i="2"/>
  <c r="M1310" i="2" s="1"/>
  <c r="L1311" i="2"/>
  <c r="M1311" i="2" s="1"/>
  <c r="L1312" i="2"/>
  <c r="M1312" i="2" s="1"/>
  <c r="L1313" i="2"/>
  <c r="M1313" i="2" s="1"/>
  <c r="R1313" i="2" s="1"/>
  <c r="L1314" i="2"/>
  <c r="M1314" i="2" s="1"/>
  <c r="L1315" i="2"/>
  <c r="M1315" i="2" s="1"/>
  <c r="L1316" i="2"/>
  <c r="M1316" i="2" s="1"/>
  <c r="L1317" i="2"/>
  <c r="M1317" i="2" s="1"/>
  <c r="L1318" i="2"/>
  <c r="M1318" i="2" s="1"/>
  <c r="R1318" i="2" s="1"/>
  <c r="L1319" i="2"/>
  <c r="M1319" i="2" s="1"/>
  <c r="L1320" i="2"/>
  <c r="M1320" i="2" s="1"/>
  <c r="Q1320" i="2" s="1"/>
  <c r="L1321" i="2"/>
  <c r="M1321" i="2" s="1"/>
  <c r="Q1321" i="2" s="1"/>
  <c r="L1322" i="2"/>
  <c r="M1322" i="2" s="1"/>
  <c r="L1323" i="2"/>
  <c r="M1323" i="2" s="1"/>
  <c r="L1324" i="2"/>
  <c r="M1324" i="2" s="1"/>
  <c r="L1325" i="2"/>
  <c r="M1325" i="2" s="1"/>
  <c r="L1326" i="2"/>
  <c r="M1326" i="2" s="1"/>
  <c r="Q1326" i="2" s="1"/>
  <c r="L1327" i="2"/>
  <c r="M1327" i="2" s="1"/>
  <c r="L1328" i="2"/>
  <c r="M1328" i="2" s="1"/>
  <c r="L1329" i="2"/>
  <c r="M1329" i="2" s="1"/>
  <c r="R1329" i="2" s="1"/>
  <c r="L1330" i="2"/>
  <c r="M1330" i="2" s="1"/>
  <c r="L1331" i="2"/>
  <c r="M1331" i="2" s="1"/>
  <c r="R1331" i="2" s="1"/>
  <c r="L1332" i="2"/>
  <c r="M1332" i="2" s="1"/>
  <c r="R1332" i="2" s="1"/>
  <c r="L1333" i="2"/>
  <c r="M1333" i="2" s="1"/>
  <c r="Q1333" i="2" s="1"/>
  <c r="L1334" i="2"/>
  <c r="M1334" i="2" s="1"/>
  <c r="L1335" i="2"/>
  <c r="M1335" i="2" s="1"/>
  <c r="L1336" i="2"/>
  <c r="M1336" i="2" s="1"/>
  <c r="R1336" i="2" s="1"/>
  <c r="L1337" i="2"/>
  <c r="M1337" i="2" s="1"/>
  <c r="L1338" i="2"/>
  <c r="M1338" i="2" s="1"/>
  <c r="Q1338" i="2" s="1"/>
  <c r="L1339" i="2"/>
  <c r="M1339" i="2" s="1"/>
  <c r="L1340" i="2"/>
  <c r="M1340" i="2" s="1"/>
  <c r="R1340" i="2" s="1"/>
  <c r="L1341" i="2"/>
  <c r="M1341" i="2" s="1"/>
  <c r="Q1341" i="2" s="1"/>
  <c r="L1342" i="2"/>
  <c r="M1342" i="2" s="1"/>
  <c r="Q1342" i="2" s="1"/>
  <c r="L1343" i="2"/>
  <c r="M1343" i="2" s="1"/>
  <c r="R1343" i="2" s="1"/>
  <c r="L1344" i="2"/>
  <c r="M1344" i="2" s="1"/>
  <c r="R1344" i="2" s="1"/>
  <c r="L1345" i="2"/>
  <c r="M1345" i="2" s="1"/>
  <c r="Q1345" i="2" s="1"/>
  <c r="L1346" i="2"/>
  <c r="M1346" i="2" s="1"/>
  <c r="Q1346" i="2" s="1"/>
  <c r="L1347" i="2"/>
  <c r="M1347" i="2" s="1"/>
  <c r="L1348" i="2"/>
  <c r="M1348" i="2" s="1"/>
  <c r="L1349" i="2"/>
  <c r="M1349" i="2" s="1"/>
  <c r="L1350" i="2"/>
  <c r="M1350" i="2" s="1"/>
  <c r="L1351" i="2"/>
  <c r="M1351" i="2" s="1"/>
  <c r="L1352" i="2"/>
  <c r="M1352" i="2" s="1"/>
  <c r="L1353" i="2"/>
  <c r="M1353" i="2" s="1"/>
  <c r="L1354" i="2"/>
  <c r="M1354" i="2" s="1"/>
  <c r="Q1354" i="2" s="1"/>
  <c r="L1355" i="2"/>
  <c r="M1355" i="2" s="1"/>
  <c r="Q1355" i="2" s="1"/>
  <c r="L1356" i="2"/>
  <c r="M1356" i="2" s="1"/>
  <c r="Q1356" i="2" s="1"/>
  <c r="L1357" i="2"/>
  <c r="M1357" i="2" s="1"/>
  <c r="Q1357" i="2" s="1"/>
  <c r="L1358" i="2"/>
  <c r="M1358" i="2" s="1"/>
  <c r="L1359" i="2"/>
  <c r="M1359" i="2" s="1"/>
  <c r="L1360" i="2"/>
  <c r="M1360" i="2" s="1"/>
  <c r="L1361" i="2"/>
  <c r="M1361" i="2" s="1"/>
  <c r="L1362" i="2"/>
  <c r="M1362" i="2" s="1"/>
  <c r="Q1362" i="2" s="1"/>
  <c r="L1363" i="2"/>
  <c r="M1363" i="2" s="1"/>
  <c r="L1364" i="2"/>
  <c r="M1364" i="2" s="1"/>
  <c r="L1365" i="2"/>
  <c r="M1365" i="2" s="1"/>
  <c r="L1366" i="2"/>
  <c r="M1366" i="2" s="1"/>
  <c r="R1366" i="2" s="1"/>
  <c r="L1367" i="2"/>
  <c r="M1367" i="2" s="1"/>
  <c r="L1368" i="2"/>
  <c r="M1368" i="2" s="1"/>
  <c r="R1368" i="2" s="1"/>
  <c r="L1369" i="2"/>
  <c r="M1369" i="2" s="1"/>
  <c r="R1369" i="2" s="1"/>
  <c r="L1370" i="2"/>
  <c r="M1370" i="2" s="1"/>
  <c r="L1371" i="2"/>
  <c r="M1371" i="2" s="1"/>
  <c r="L1372" i="2"/>
  <c r="M1372" i="2" s="1"/>
  <c r="L1373" i="2"/>
  <c r="M1373" i="2" s="1"/>
  <c r="L1374" i="2"/>
  <c r="M1374" i="2" s="1"/>
  <c r="Q1374" i="2" s="1"/>
  <c r="L1375" i="2"/>
  <c r="M1375" i="2" s="1"/>
  <c r="L1376" i="2"/>
  <c r="M1376" i="2" s="1"/>
  <c r="L1377" i="2"/>
  <c r="M1377" i="2" s="1"/>
  <c r="Q1377" i="2" s="1"/>
  <c r="L1378" i="2"/>
  <c r="M1378" i="2" s="1"/>
  <c r="R1378" i="2" s="1"/>
  <c r="L1379" i="2"/>
  <c r="M1379" i="2" s="1"/>
  <c r="R1379" i="2" s="1"/>
  <c r="L1380" i="2"/>
  <c r="M1380" i="2" s="1"/>
  <c r="L1381" i="2"/>
  <c r="M1381" i="2" s="1"/>
  <c r="R1381" i="2" s="1"/>
  <c r="L1382" i="2"/>
  <c r="M1382" i="2" s="1"/>
  <c r="R1382" i="2" s="1"/>
  <c r="L1383" i="2"/>
  <c r="M1383" i="2" s="1"/>
  <c r="L1384" i="2"/>
  <c r="M1384" i="2" s="1"/>
  <c r="L1385" i="2"/>
  <c r="M1385" i="2" s="1"/>
  <c r="R1385" i="2" s="1"/>
  <c r="L1386" i="2"/>
  <c r="M1386" i="2" s="1"/>
  <c r="L1387" i="2"/>
  <c r="M1387" i="2" s="1"/>
  <c r="L1388" i="2"/>
  <c r="M1388" i="2" s="1"/>
  <c r="L1389" i="2"/>
  <c r="M1389" i="2" s="1"/>
  <c r="L1390" i="2"/>
  <c r="M1390" i="2" s="1"/>
  <c r="Q1390" i="2" s="1"/>
  <c r="L1391" i="2"/>
  <c r="M1391" i="2" s="1"/>
  <c r="Q1391" i="2" s="1"/>
  <c r="L1392" i="2"/>
  <c r="M1392" i="2" s="1"/>
  <c r="L1393" i="2"/>
  <c r="M1393" i="2" s="1"/>
  <c r="Q1393" i="2" s="1"/>
  <c r="L1394" i="2"/>
  <c r="M1394" i="2" s="1"/>
  <c r="L1395" i="2"/>
  <c r="M1395" i="2" s="1"/>
  <c r="L1396" i="2"/>
  <c r="M1396" i="2" s="1"/>
  <c r="L1397" i="2"/>
  <c r="M1397" i="2" s="1"/>
  <c r="L1398" i="2"/>
  <c r="M1398" i="2" s="1"/>
  <c r="Q1398" i="2" s="1"/>
  <c r="L1399" i="2"/>
  <c r="M1399" i="2" s="1"/>
  <c r="L1400" i="2"/>
  <c r="M1400" i="2" s="1"/>
  <c r="R1400" i="2" s="1"/>
  <c r="L1401" i="2"/>
  <c r="M1401" i="2" s="1"/>
  <c r="L1402" i="2"/>
  <c r="M1402" i="2" s="1"/>
  <c r="L1403" i="2"/>
  <c r="M1403" i="2" s="1"/>
  <c r="L1404" i="2"/>
  <c r="M1404" i="2" s="1"/>
  <c r="P1404" i="2" s="1"/>
  <c r="L1405" i="2"/>
  <c r="M1405" i="2" s="1"/>
  <c r="Q1405" i="2" s="1"/>
  <c r="L1406" i="2"/>
  <c r="M1406" i="2" s="1"/>
  <c r="L1407" i="2"/>
  <c r="M1407" i="2" s="1"/>
  <c r="L1408" i="2"/>
  <c r="M1408" i="2" s="1"/>
  <c r="L1409" i="2"/>
  <c r="M1409" i="2" s="1"/>
  <c r="L1410" i="2"/>
  <c r="M1410" i="2" s="1"/>
  <c r="R1410" i="2" s="1"/>
  <c r="L1411" i="2"/>
  <c r="M1411" i="2" s="1"/>
  <c r="L1412" i="2"/>
  <c r="M1412" i="2" s="1"/>
  <c r="R1412" i="2" s="1"/>
  <c r="L1413" i="2"/>
  <c r="M1413" i="2" s="1"/>
  <c r="Q1413" i="2" s="1"/>
  <c r="L1414" i="2"/>
  <c r="M1414" i="2" s="1"/>
  <c r="R1414" i="2" s="1"/>
  <c r="L1415" i="2"/>
  <c r="M1415" i="2" s="1"/>
  <c r="L1416" i="2"/>
  <c r="M1416" i="2" s="1"/>
  <c r="L1417" i="2"/>
  <c r="M1417" i="2" s="1"/>
  <c r="L1418" i="2"/>
  <c r="M1418" i="2" s="1"/>
  <c r="L1419" i="2"/>
  <c r="M1419" i="2" s="1"/>
  <c r="R1419" i="2" s="1"/>
  <c r="L1420" i="2"/>
  <c r="M1420" i="2" s="1"/>
  <c r="L1421" i="2"/>
  <c r="M1421" i="2" s="1"/>
  <c r="L1422" i="2"/>
  <c r="M1422" i="2" s="1"/>
  <c r="L1423" i="2"/>
  <c r="M1423" i="2" s="1"/>
  <c r="L1424" i="2"/>
  <c r="M1424" i="2" s="1"/>
  <c r="Q1424" i="2" s="1"/>
  <c r="L1425" i="2"/>
  <c r="M1425" i="2" s="1"/>
  <c r="Q1425" i="2" s="1"/>
  <c r="L1426" i="2"/>
  <c r="M1426" i="2" s="1"/>
  <c r="Q1426" i="2" s="1"/>
  <c r="L1427" i="2"/>
  <c r="M1427" i="2" s="1"/>
  <c r="Q1427" i="2" s="1"/>
  <c r="L1428" i="2"/>
  <c r="M1428" i="2" s="1"/>
  <c r="R1428" i="2" s="1"/>
  <c r="L1429" i="2"/>
  <c r="M1429" i="2" s="1"/>
  <c r="P1429" i="2" s="1"/>
  <c r="L1430" i="2"/>
  <c r="M1430" i="2" s="1"/>
  <c r="R1430" i="2" s="1"/>
  <c r="L1431" i="2"/>
  <c r="M1431" i="2" s="1"/>
  <c r="L1432" i="2"/>
  <c r="M1432" i="2" s="1"/>
  <c r="L1433" i="2"/>
  <c r="M1433" i="2" s="1"/>
  <c r="L1434" i="2"/>
  <c r="M1434" i="2" s="1"/>
  <c r="Q1434" i="2" s="1"/>
  <c r="L1435" i="2"/>
  <c r="M1435" i="2" s="1"/>
  <c r="L1436" i="2"/>
  <c r="M1436" i="2" s="1"/>
  <c r="L1437" i="2"/>
  <c r="M1437" i="2" s="1"/>
  <c r="L1438" i="2"/>
  <c r="M1438" i="2" s="1"/>
  <c r="L1439" i="2"/>
  <c r="M1439" i="2" s="1"/>
  <c r="L1440" i="2"/>
  <c r="M1440" i="2" s="1"/>
  <c r="P1440" i="2" s="1"/>
  <c r="L1441" i="2"/>
  <c r="M1441" i="2" s="1"/>
  <c r="P1441" i="2" s="1"/>
  <c r="L1442" i="2"/>
  <c r="M1442" i="2" s="1"/>
  <c r="R1442" i="2" s="1"/>
  <c r="L1443" i="2"/>
  <c r="M1443" i="2" s="1"/>
  <c r="L1444" i="2"/>
  <c r="M1444" i="2" s="1"/>
  <c r="L1445" i="2"/>
  <c r="M1445" i="2" s="1"/>
  <c r="L1446" i="2"/>
  <c r="M1446" i="2" s="1"/>
  <c r="Q1446" i="2" s="1"/>
  <c r="L1447" i="2"/>
  <c r="M1447" i="2" s="1"/>
  <c r="L1448" i="2"/>
  <c r="M1448" i="2" s="1"/>
  <c r="L1449" i="2"/>
  <c r="M1449" i="2" s="1"/>
  <c r="Q1449" i="2" s="1"/>
  <c r="L1450" i="2"/>
  <c r="M1450" i="2" s="1"/>
  <c r="R1450" i="2" s="1"/>
  <c r="L1451" i="2"/>
  <c r="M1451" i="2" s="1"/>
  <c r="R1451" i="2" s="1"/>
  <c r="L1452" i="2"/>
  <c r="M1452" i="2" s="1"/>
  <c r="L1453" i="2"/>
  <c r="M1453" i="2" s="1"/>
  <c r="L1454" i="2"/>
  <c r="M1454" i="2" s="1"/>
  <c r="L1455" i="2"/>
  <c r="M1455" i="2" s="1"/>
  <c r="L1456" i="2"/>
  <c r="M1456" i="2" s="1"/>
  <c r="R1456" i="2" s="1"/>
  <c r="L1457" i="2"/>
  <c r="M1457" i="2" s="1"/>
  <c r="L1458" i="2"/>
  <c r="M1458" i="2" s="1"/>
  <c r="L1459" i="2"/>
  <c r="M1459" i="2" s="1"/>
  <c r="L1460" i="2"/>
  <c r="M1460" i="2" s="1"/>
  <c r="L1461" i="2"/>
  <c r="M1461" i="2" s="1"/>
  <c r="Q1461" i="2" s="1"/>
  <c r="L1462" i="2"/>
  <c r="M1462" i="2" s="1"/>
  <c r="Q1462" i="2" s="1"/>
  <c r="L1463" i="2"/>
  <c r="M1463" i="2" s="1"/>
  <c r="Q1463" i="2" s="1"/>
  <c r="L1464" i="2"/>
  <c r="M1464" i="2" s="1"/>
  <c r="P1464" i="2" s="1"/>
  <c r="L1465" i="2"/>
  <c r="M1465" i="2" s="1"/>
  <c r="P1465" i="2" s="1"/>
  <c r="L1466" i="2"/>
  <c r="M1466" i="2" s="1"/>
  <c r="R1466" i="2" s="1"/>
  <c r="L1467" i="2"/>
  <c r="M1467" i="2" s="1"/>
  <c r="L1468" i="2"/>
  <c r="M1468" i="2" s="1"/>
  <c r="L1469" i="2"/>
  <c r="M1469" i="2" s="1"/>
  <c r="L1470" i="2"/>
  <c r="M1470" i="2" s="1"/>
  <c r="Q1470" i="2" s="1"/>
  <c r="L1471" i="2"/>
  <c r="M1471" i="2" s="1"/>
  <c r="L1472" i="2"/>
  <c r="M1472" i="2" s="1"/>
  <c r="R1472" i="2" s="1"/>
  <c r="L1473" i="2"/>
  <c r="M1473" i="2" s="1"/>
  <c r="L1474" i="2"/>
  <c r="M1474" i="2" s="1"/>
  <c r="L1475" i="2"/>
  <c r="M1475" i="2" s="1"/>
  <c r="L1476" i="2"/>
  <c r="M1476" i="2" s="1"/>
  <c r="N1476" i="2" s="1"/>
  <c r="O1476" i="2" s="1"/>
  <c r="L1477" i="2"/>
  <c r="M1477" i="2" s="1"/>
  <c r="Q1477" i="2" s="1"/>
  <c r="L1478" i="2"/>
  <c r="M1478" i="2" s="1"/>
  <c r="R1478" i="2" s="1"/>
  <c r="L1479" i="2"/>
  <c r="M1479" i="2" s="1"/>
  <c r="L1480" i="2"/>
  <c r="M1480" i="2" s="1"/>
  <c r="L1481" i="2"/>
  <c r="M1481" i="2" s="1"/>
  <c r="L1482" i="2"/>
  <c r="M1482" i="2" s="1"/>
  <c r="Q1482" i="2" s="1"/>
  <c r="L1483" i="2"/>
  <c r="M1483" i="2" s="1"/>
  <c r="Q1483" i="2" s="1"/>
  <c r="L1484" i="2"/>
  <c r="M1484" i="2" s="1"/>
  <c r="L1485" i="2"/>
  <c r="M1485" i="2" s="1"/>
  <c r="Q1485" i="2" s="1"/>
  <c r="L1486" i="2"/>
  <c r="M1486" i="2" s="1"/>
  <c r="Q1486" i="2" s="1"/>
  <c r="L1487" i="2"/>
  <c r="M1487" i="2" s="1"/>
  <c r="L1488" i="2"/>
  <c r="M1488" i="2" s="1"/>
  <c r="L1489" i="2"/>
  <c r="M1489" i="2" s="1"/>
  <c r="L1490" i="2"/>
  <c r="M1490" i="2" s="1"/>
  <c r="L1491" i="2"/>
  <c r="M1491" i="2" s="1"/>
  <c r="R1491" i="2" s="1"/>
  <c r="L1492" i="2"/>
  <c r="M1492" i="2" s="1"/>
  <c r="L1493" i="2"/>
  <c r="M1493" i="2" s="1"/>
  <c r="L1494" i="2"/>
  <c r="M1494" i="2" s="1"/>
  <c r="R1494" i="2" s="1"/>
  <c r="L1495" i="2"/>
  <c r="M1495" i="2" s="1"/>
  <c r="L1496" i="2"/>
  <c r="M1496" i="2" s="1"/>
  <c r="L1497" i="2"/>
  <c r="M1497" i="2" s="1"/>
  <c r="R1497" i="2" s="1"/>
  <c r="L1498" i="2"/>
  <c r="M1498" i="2" s="1"/>
  <c r="Q1498" i="2" s="1"/>
  <c r="L1499" i="2"/>
  <c r="M1499" i="2" s="1"/>
  <c r="Q1499" i="2" s="1"/>
  <c r="L1500" i="2"/>
  <c r="M1500" i="2" s="1"/>
  <c r="Q1500" i="2" s="1"/>
  <c r="L1501" i="2"/>
  <c r="M1501" i="2" s="1"/>
  <c r="Q1501" i="2" s="1"/>
  <c r="L1502" i="2"/>
  <c r="M1502" i="2" s="1"/>
  <c r="R1502" i="2" s="1"/>
  <c r="L1503" i="2"/>
  <c r="M1503" i="2" s="1"/>
  <c r="Q1503" i="2" s="1"/>
  <c r="L4" i="2"/>
  <c r="M4" i="2" s="1"/>
  <c r="R4" i="2" s="1"/>
  <c r="E3" i="7" l="1"/>
  <c r="E4" i="7" s="1"/>
  <c r="G3" i="7"/>
  <c r="I8" i="7"/>
  <c r="H8" i="7"/>
  <c r="H61" i="7"/>
  <c r="I59" i="7"/>
  <c r="I53" i="7"/>
  <c r="I41" i="7"/>
  <c r="I29" i="7"/>
  <c r="I17" i="7"/>
  <c r="I40" i="7"/>
  <c r="I16" i="7"/>
  <c r="H39" i="7"/>
  <c r="H15" i="7"/>
  <c r="H59" i="7"/>
  <c r="H41" i="7"/>
  <c r="H29" i="7"/>
  <c r="H17" i="7"/>
  <c r="I46" i="7"/>
  <c r="I22" i="7"/>
  <c r="I57" i="7"/>
  <c r="I45" i="7"/>
  <c r="I33" i="7"/>
  <c r="I15" i="7"/>
  <c r="H45" i="7"/>
  <c r="H27" i="7"/>
  <c r="I56" i="7"/>
  <c r="I38" i="7"/>
  <c r="I20" i="7"/>
  <c r="H50" i="7"/>
  <c r="H38" i="7"/>
  <c r="H26" i="7"/>
  <c r="H14" i="7"/>
  <c r="I61" i="7"/>
  <c r="I55" i="7"/>
  <c r="I49" i="7"/>
  <c r="I43" i="7"/>
  <c r="I37" i="7"/>
  <c r="I31" i="7"/>
  <c r="I25" i="7"/>
  <c r="I19" i="7"/>
  <c r="I13" i="7"/>
  <c r="H55" i="7"/>
  <c r="H49" i="7"/>
  <c r="H43" i="7"/>
  <c r="H37" i="7"/>
  <c r="H31" i="7"/>
  <c r="H25" i="7"/>
  <c r="H19" i="7"/>
  <c r="H13" i="7"/>
  <c r="H47" i="7"/>
  <c r="H35" i="7"/>
  <c r="H23" i="7"/>
  <c r="H11" i="7"/>
  <c r="I58" i="7"/>
  <c r="I52" i="7"/>
  <c r="I28" i="7"/>
  <c r="H58" i="7"/>
  <c r="H52" i="7"/>
  <c r="H46" i="7"/>
  <c r="H40" i="7"/>
  <c r="H34" i="7"/>
  <c r="H28" i="7"/>
  <c r="H22" i="7"/>
  <c r="H16" i="7"/>
  <c r="H10" i="7"/>
  <c r="I51" i="7"/>
  <c r="I39" i="7"/>
  <c r="I27" i="7"/>
  <c r="I21" i="7"/>
  <c r="I9" i="7"/>
  <c r="H51" i="7"/>
  <c r="H21" i="7"/>
  <c r="I44" i="7"/>
  <c r="I32" i="7"/>
  <c r="I14" i="7"/>
  <c r="H56" i="7"/>
  <c r="H44" i="7"/>
  <c r="H32" i="7"/>
  <c r="H20" i="7"/>
  <c r="I60" i="7"/>
  <c r="I54" i="7"/>
  <c r="I48" i="7"/>
  <c r="I42" i="7"/>
  <c r="I36" i="7"/>
  <c r="I30" i="7"/>
  <c r="I24" i="7"/>
  <c r="I18" i="7"/>
  <c r="I12" i="7"/>
  <c r="I47" i="7"/>
  <c r="I35" i="7"/>
  <c r="I23" i="7"/>
  <c r="I11" i="7"/>
  <c r="H53" i="7"/>
  <c r="I34" i="7"/>
  <c r="I10" i="7"/>
  <c r="H57" i="7"/>
  <c r="H33" i="7"/>
  <c r="H9" i="7"/>
  <c r="I50" i="7"/>
  <c r="I26" i="7"/>
  <c r="H60" i="7"/>
  <c r="H54" i="7"/>
  <c r="H48" i="7"/>
  <c r="H42" i="7"/>
  <c r="H36" i="7"/>
  <c r="H30" i="7"/>
  <c r="H24" i="7"/>
  <c r="H18" i="7"/>
  <c r="H12" i="7"/>
  <c r="R1255" i="2"/>
  <c r="Q1255" i="2"/>
  <c r="Q1243" i="2"/>
  <c r="R1243" i="2"/>
  <c r="Q1231" i="2"/>
  <c r="R1231" i="2"/>
  <c r="R1219" i="2"/>
  <c r="Q1219" i="2"/>
  <c r="Q1207" i="2"/>
  <c r="R1207" i="2"/>
  <c r="Q1195" i="2"/>
  <c r="R1195" i="2"/>
  <c r="R1183" i="2"/>
  <c r="Q1183" i="2"/>
  <c r="Q1171" i="2"/>
  <c r="R1171" i="2"/>
  <c r="Q1159" i="2"/>
  <c r="R1159" i="2"/>
  <c r="P1147" i="2"/>
  <c r="R1147" i="2"/>
  <c r="Q1147" i="2"/>
  <c r="Q1135" i="2"/>
  <c r="R1135" i="2"/>
  <c r="Q1123" i="2"/>
  <c r="R1123" i="2"/>
  <c r="P1111" i="2"/>
  <c r="R1111" i="2"/>
  <c r="Q1111" i="2"/>
  <c r="Q1099" i="2"/>
  <c r="R1099" i="2"/>
  <c r="Q1087" i="2"/>
  <c r="R1087" i="2"/>
  <c r="R1075" i="2"/>
  <c r="Q1075" i="2"/>
  <c r="Q1063" i="2"/>
  <c r="R1063" i="2"/>
  <c r="Q1051" i="2"/>
  <c r="R1051" i="2"/>
  <c r="R1039" i="2"/>
  <c r="Q1039" i="2"/>
  <c r="Q1027" i="2"/>
  <c r="R1027" i="2"/>
  <c r="Q1015" i="2"/>
  <c r="R1015" i="2"/>
  <c r="Q1003" i="2"/>
  <c r="R1003" i="2"/>
  <c r="Q991" i="2"/>
  <c r="R991" i="2"/>
  <c r="P979" i="2"/>
  <c r="R979" i="2"/>
  <c r="Q979" i="2"/>
  <c r="Q967" i="2"/>
  <c r="R967" i="2"/>
  <c r="Q955" i="2"/>
  <c r="R955" i="2"/>
  <c r="Q943" i="2"/>
  <c r="R943" i="2"/>
  <c r="R931" i="2"/>
  <c r="Q931" i="2"/>
  <c r="Q919" i="2"/>
  <c r="R919" i="2"/>
  <c r="Q907" i="2"/>
  <c r="R907" i="2"/>
  <c r="Q895" i="2"/>
  <c r="R895" i="2"/>
  <c r="R883" i="2"/>
  <c r="Q883" i="2"/>
  <c r="Q871" i="2"/>
  <c r="R871" i="2"/>
  <c r="Q859" i="2"/>
  <c r="R859" i="2"/>
  <c r="Q847" i="2"/>
  <c r="R847" i="2"/>
  <c r="Q835" i="2"/>
  <c r="R835" i="2"/>
  <c r="R823" i="2"/>
  <c r="Q823" i="2"/>
  <c r="Q811" i="2"/>
  <c r="R811" i="2"/>
  <c r="Q799" i="2"/>
  <c r="R799" i="2"/>
  <c r="Q787" i="2"/>
  <c r="R787" i="2"/>
  <c r="Q775" i="2"/>
  <c r="R775" i="2"/>
  <c r="R763" i="2"/>
  <c r="Q763" i="2"/>
  <c r="Q1291" i="2"/>
  <c r="Q1279" i="2"/>
  <c r="R1279" i="2"/>
  <c r="R1483" i="2"/>
  <c r="Q1496" i="2"/>
  <c r="R1496" i="2"/>
  <c r="Q1484" i="2"/>
  <c r="R1484" i="2"/>
  <c r="Q1460" i="2"/>
  <c r="R1460" i="2"/>
  <c r="Q1448" i="2"/>
  <c r="R1448" i="2"/>
  <c r="Q1436" i="2"/>
  <c r="R1436" i="2"/>
  <c r="Q1388" i="2"/>
  <c r="R1388" i="2"/>
  <c r="Q1376" i="2"/>
  <c r="R1376" i="2"/>
  <c r="Q1364" i="2"/>
  <c r="R1364" i="2"/>
  <c r="Q1352" i="2"/>
  <c r="R1352" i="2"/>
  <c r="Q1328" i="2"/>
  <c r="R1328" i="2"/>
  <c r="Q1316" i="2"/>
  <c r="R1316" i="2"/>
  <c r="Q1304" i="2"/>
  <c r="R1304" i="2"/>
  <c r="Q1292" i="2"/>
  <c r="R1292" i="2"/>
  <c r="Q1280" i="2"/>
  <c r="R1280" i="2"/>
  <c r="Q1268" i="2"/>
  <c r="R1268" i="2"/>
  <c r="Q1256" i="2"/>
  <c r="R1256" i="2"/>
  <c r="Q1244" i="2"/>
  <c r="R1244" i="2"/>
  <c r="Q1220" i="2"/>
  <c r="R1220" i="2"/>
  <c r="Q1208" i="2"/>
  <c r="R1208" i="2"/>
  <c r="Q1196" i="2"/>
  <c r="R1196" i="2"/>
  <c r="Q1184" i="2"/>
  <c r="R1184" i="2"/>
  <c r="Q1172" i="2"/>
  <c r="R1172" i="2"/>
  <c r="Q1160" i="2"/>
  <c r="R1160" i="2"/>
  <c r="Q1148" i="2"/>
  <c r="R1148" i="2"/>
  <c r="Q1495" i="2"/>
  <c r="R1495" i="2"/>
  <c r="Q1471" i="2"/>
  <c r="R1471" i="2"/>
  <c r="Q1459" i="2"/>
  <c r="R1459" i="2"/>
  <c r="Q1447" i="2"/>
  <c r="R1447" i="2"/>
  <c r="Q1435" i="2"/>
  <c r="R1435" i="2"/>
  <c r="Q1423" i="2"/>
  <c r="R1423" i="2"/>
  <c r="N1411" i="2"/>
  <c r="O1411" i="2" s="1"/>
  <c r="R1411" i="2"/>
  <c r="R1399" i="2"/>
  <c r="Q1399" i="2"/>
  <c r="Q1387" i="2"/>
  <c r="R1387" i="2"/>
  <c r="Q1375" i="2"/>
  <c r="R1375" i="2"/>
  <c r="R1363" i="2"/>
  <c r="Q1363" i="2"/>
  <c r="Q1351" i="2"/>
  <c r="R1351" i="2"/>
  <c r="Q1315" i="2"/>
  <c r="R1315" i="2"/>
  <c r="R1267" i="2"/>
  <c r="Q1303" i="2"/>
  <c r="R1303" i="2"/>
  <c r="R1327" i="2"/>
  <c r="Q1327" i="2"/>
  <c r="Q1339" i="2"/>
  <c r="R1339" i="2"/>
  <c r="R1232" i="2"/>
  <c r="Q751" i="2"/>
  <c r="R751" i="2"/>
  <c r="R727" i="2"/>
  <c r="Q727" i="2"/>
  <c r="Q715" i="2"/>
  <c r="R715" i="2"/>
  <c r="R703" i="2"/>
  <c r="Q703" i="2"/>
  <c r="Q691" i="2"/>
  <c r="R691" i="2"/>
  <c r="R679" i="2"/>
  <c r="Q679" i="2"/>
  <c r="Q631" i="2"/>
  <c r="R631" i="2"/>
  <c r="Q619" i="2"/>
  <c r="R619" i="2"/>
  <c r="P607" i="2"/>
  <c r="R607" i="2"/>
  <c r="Q595" i="2"/>
  <c r="R595" i="2"/>
  <c r="R583" i="2"/>
  <c r="Q583" i="2"/>
  <c r="Q571" i="2"/>
  <c r="R571" i="2"/>
  <c r="Q559" i="2"/>
  <c r="R559" i="2"/>
  <c r="Q547" i="2"/>
  <c r="R547" i="2"/>
  <c r="Q535" i="2"/>
  <c r="R535" i="2"/>
  <c r="Q523" i="2"/>
  <c r="R523" i="2"/>
  <c r="Q511" i="2"/>
  <c r="R511" i="2"/>
  <c r="Q499" i="2"/>
  <c r="R499" i="2"/>
  <c r="Q487" i="2"/>
  <c r="R487" i="2"/>
  <c r="Q475" i="2"/>
  <c r="R475" i="2"/>
  <c r="Q463" i="2"/>
  <c r="R463" i="2"/>
  <c r="Q451" i="2"/>
  <c r="R451" i="2"/>
  <c r="Q439" i="2"/>
  <c r="R439" i="2"/>
  <c r="Q427" i="2"/>
  <c r="R427" i="2"/>
  <c r="P415" i="2"/>
  <c r="R415" i="2"/>
  <c r="Q403" i="2"/>
  <c r="R403" i="2"/>
  <c r="R391" i="2"/>
  <c r="Q391" i="2"/>
  <c r="Q379" i="2"/>
  <c r="R379" i="2"/>
  <c r="Q367" i="2"/>
  <c r="R367" i="2"/>
  <c r="Q355" i="2"/>
  <c r="R355" i="2"/>
  <c r="Q343" i="2"/>
  <c r="R343" i="2"/>
  <c r="Q319" i="2"/>
  <c r="R319" i="2"/>
  <c r="Q283" i="2"/>
  <c r="R283" i="2"/>
  <c r="Q259" i="2"/>
  <c r="R259" i="2"/>
  <c r="R247" i="2"/>
  <c r="Q247" i="2"/>
  <c r="R235" i="2"/>
  <c r="Q235" i="2"/>
  <c r="Q199" i="2"/>
  <c r="R199" i="2"/>
  <c r="Q187" i="2"/>
  <c r="R187" i="2"/>
  <c r="Q163" i="2"/>
  <c r="R163" i="2"/>
  <c r="R151" i="2"/>
  <c r="Q151" i="2"/>
  <c r="Q139" i="2"/>
  <c r="R139" i="2"/>
  <c r="Q127" i="2"/>
  <c r="R127" i="2"/>
  <c r="Q115" i="2"/>
  <c r="R115" i="2"/>
  <c r="Q91" i="2"/>
  <c r="R91" i="2"/>
  <c r="Q79" i="2"/>
  <c r="R79" i="2"/>
  <c r="Q67" i="2"/>
  <c r="R67" i="2"/>
  <c r="R43" i="2"/>
  <c r="Q43" i="2"/>
  <c r="P31" i="2"/>
  <c r="R31" i="2"/>
  <c r="Q19" i="2"/>
  <c r="R19" i="2"/>
  <c r="Q7" i="2"/>
  <c r="R7" i="2"/>
  <c r="Q1217" i="2"/>
  <c r="Q1025" i="2"/>
  <c r="Q607" i="2"/>
  <c r="R1114" i="2"/>
  <c r="Q1458" i="2"/>
  <c r="R1458" i="2"/>
  <c r="Q1422" i="2"/>
  <c r="R1422" i="2"/>
  <c r="Q1386" i="2"/>
  <c r="R1386" i="2"/>
  <c r="Q1350" i="2"/>
  <c r="R1350" i="2"/>
  <c r="Q1314" i="2"/>
  <c r="R1314" i="2"/>
  <c r="Q1278" i="2"/>
  <c r="R1278" i="2"/>
  <c r="Q1242" i="2"/>
  <c r="R1242" i="2"/>
  <c r="Q1194" i="2"/>
  <c r="R1194" i="2"/>
  <c r="Q1182" i="2"/>
  <c r="R1182" i="2"/>
  <c r="Q1170" i="2"/>
  <c r="R1170" i="2"/>
  <c r="Q1158" i="2"/>
  <c r="R1158" i="2"/>
  <c r="P1146" i="2"/>
  <c r="R1146" i="2"/>
  <c r="Q1134" i="2"/>
  <c r="R1134" i="2"/>
  <c r="Q1122" i="2"/>
  <c r="R1122" i="2"/>
  <c r="Q1110" i="2"/>
  <c r="R1110" i="2"/>
  <c r="Q1098" i="2"/>
  <c r="R1098" i="2"/>
  <c r="Q1086" i="2"/>
  <c r="R1086" i="2"/>
  <c r="N1074" i="2"/>
  <c r="O1074" i="2" s="1"/>
  <c r="R1074" i="2"/>
  <c r="Q1062" i="2"/>
  <c r="R1062" i="2"/>
  <c r="Q1026" i="2"/>
  <c r="R1026" i="2"/>
  <c r="Q1014" i="2"/>
  <c r="R1014" i="2"/>
  <c r="Q1002" i="2"/>
  <c r="R1002" i="2"/>
  <c r="Q990" i="2"/>
  <c r="R990" i="2"/>
  <c r="P978" i="2"/>
  <c r="R978" i="2"/>
  <c r="Q966" i="2"/>
  <c r="R966" i="2"/>
  <c r="Q954" i="2"/>
  <c r="R954" i="2"/>
  <c r="Q942" i="2"/>
  <c r="R942" i="2"/>
  <c r="Q930" i="2"/>
  <c r="R930" i="2"/>
  <c r="P906" i="2"/>
  <c r="R906" i="2"/>
  <c r="Q894" i="2"/>
  <c r="R894" i="2"/>
  <c r="Q882" i="2"/>
  <c r="R882" i="2"/>
  <c r="Q858" i="2"/>
  <c r="R858" i="2"/>
  <c r="Q846" i="2"/>
  <c r="R846" i="2"/>
  <c r="Q834" i="2"/>
  <c r="R834" i="2"/>
  <c r="Q822" i="2"/>
  <c r="R822" i="2"/>
  <c r="Q810" i="2"/>
  <c r="R810" i="2"/>
  <c r="Q798" i="2"/>
  <c r="R798" i="2"/>
  <c r="Q786" i="2"/>
  <c r="R786" i="2"/>
  <c r="Q774" i="2"/>
  <c r="R774" i="2"/>
  <c r="Q762" i="2"/>
  <c r="R762" i="2"/>
  <c r="Q750" i="2"/>
  <c r="R750" i="2"/>
  <c r="Q738" i="2"/>
  <c r="R738" i="2"/>
  <c r="Q726" i="2"/>
  <c r="R726" i="2"/>
  <c r="Q714" i="2"/>
  <c r="R714" i="2"/>
  <c r="Q702" i="2"/>
  <c r="R702" i="2"/>
  <c r="Q690" i="2"/>
  <c r="R690" i="2"/>
  <c r="Q642" i="2"/>
  <c r="R642" i="2"/>
  <c r="Q630" i="2"/>
  <c r="R630" i="2"/>
  <c r="Q618" i="2"/>
  <c r="R618" i="2"/>
  <c r="Q594" i="2"/>
  <c r="R594" i="2"/>
  <c r="R582" i="2"/>
  <c r="Q582" i="2"/>
  <c r="Q570" i="2"/>
  <c r="R570" i="2"/>
  <c r="Q546" i="2"/>
  <c r="R546" i="2"/>
  <c r="Q534" i="2"/>
  <c r="R534" i="2"/>
  <c r="Q522" i="2"/>
  <c r="R522" i="2"/>
  <c r="Q510" i="2"/>
  <c r="R510" i="2"/>
  <c r="Q498" i="2"/>
  <c r="R498" i="2"/>
  <c r="Q486" i="2"/>
  <c r="R486" i="2"/>
  <c r="Q474" i="2"/>
  <c r="R474" i="2"/>
  <c r="Q462" i="2"/>
  <c r="R462" i="2"/>
  <c r="Q450" i="2"/>
  <c r="R450" i="2"/>
  <c r="Q438" i="2"/>
  <c r="R438" i="2"/>
  <c r="Q426" i="2"/>
  <c r="R426" i="2"/>
  <c r="Q414" i="2"/>
  <c r="R414" i="2"/>
  <c r="Q402" i="2"/>
  <c r="R402" i="2"/>
  <c r="Q390" i="2"/>
  <c r="R390" i="2"/>
  <c r="Q366" i="2"/>
  <c r="R366" i="2"/>
  <c r="Q342" i="2"/>
  <c r="R342" i="2"/>
  <c r="Q330" i="2"/>
  <c r="R330" i="2"/>
  <c r="Q318" i="2"/>
  <c r="R318" i="2"/>
  <c r="Q306" i="2"/>
  <c r="R306" i="2"/>
  <c r="Q294" i="2"/>
  <c r="R294" i="2"/>
  <c r="Q282" i="2"/>
  <c r="R282" i="2"/>
  <c r="R270" i="2"/>
  <c r="Q270" i="2"/>
  <c r="Q258" i="2"/>
  <c r="R258" i="2"/>
  <c r="R246" i="2"/>
  <c r="Q246" i="2"/>
  <c r="Q234" i="2"/>
  <c r="R234" i="2"/>
  <c r="Q222" i="2"/>
  <c r="R222" i="2"/>
  <c r="Q198" i="2"/>
  <c r="R198" i="2"/>
  <c r="R174" i="2"/>
  <c r="Q174" i="2"/>
  <c r="Q162" i="2"/>
  <c r="R162" i="2"/>
  <c r="R150" i="2"/>
  <c r="Q150" i="2"/>
  <c r="Q138" i="2"/>
  <c r="R138" i="2"/>
  <c r="Q126" i="2"/>
  <c r="R126" i="2"/>
  <c r="Q102" i="2"/>
  <c r="R102" i="2"/>
  <c r="Q90" i="2"/>
  <c r="R90" i="2"/>
  <c r="Q78" i="2"/>
  <c r="R78" i="2"/>
  <c r="Q66" i="2"/>
  <c r="R66" i="2"/>
  <c r="Q54" i="2"/>
  <c r="R54" i="2"/>
  <c r="Q42" i="2"/>
  <c r="R42" i="2"/>
  <c r="Q30" i="2"/>
  <c r="R30" i="2"/>
  <c r="Q18" i="2"/>
  <c r="R18" i="2"/>
  <c r="Q6" i="2"/>
  <c r="R6" i="2"/>
  <c r="Q1456" i="2"/>
  <c r="Q1381" i="2"/>
  <c r="Q1277" i="2"/>
  <c r="Q1117" i="2"/>
  <c r="Q1023" i="2"/>
  <c r="Q795" i="2"/>
  <c r="Q606" i="2"/>
  <c r="Q209" i="2"/>
  <c r="R1477" i="2"/>
  <c r="R1413" i="2"/>
  <c r="R1354" i="2"/>
  <c r="R1320" i="2"/>
  <c r="R1290" i="2"/>
  <c r="R1261" i="2"/>
  <c r="R1225" i="2"/>
  <c r="R1188" i="2"/>
  <c r="R1153" i="2"/>
  <c r="R912" i="2"/>
  <c r="R819" i="2"/>
  <c r="R748" i="2"/>
  <c r="R577" i="2"/>
  <c r="R484" i="2"/>
  <c r="R243" i="2"/>
  <c r="R172" i="2"/>
  <c r="Q1492" i="2"/>
  <c r="R1492" i="2"/>
  <c r="R1480" i="2"/>
  <c r="Q1480" i="2"/>
  <c r="Q1468" i="2"/>
  <c r="R1468" i="2"/>
  <c r="R1444" i="2"/>
  <c r="Q1444" i="2"/>
  <c r="P1432" i="2"/>
  <c r="R1432" i="2"/>
  <c r="Q1420" i="2"/>
  <c r="R1420" i="2"/>
  <c r="Q1408" i="2"/>
  <c r="R1408" i="2"/>
  <c r="Q1396" i="2"/>
  <c r="R1396" i="2"/>
  <c r="N1384" i="2"/>
  <c r="O1384" i="2" s="1"/>
  <c r="R1384" i="2"/>
  <c r="Q1372" i="2"/>
  <c r="R1372" i="2"/>
  <c r="Q1360" i="2"/>
  <c r="R1360" i="2"/>
  <c r="N1348" i="2"/>
  <c r="O1348" i="2" s="1"/>
  <c r="R1348" i="2"/>
  <c r="Q1348" i="2"/>
  <c r="Q1324" i="2"/>
  <c r="R1324" i="2"/>
  <c r="Q1312" i="2"/>
  <c r="R1312" i="2"/>
  <c r="Q1300" i="2"/>
  <c r="R1300" i="2"/>
  <c r="Q1288" i="2"/>
  <c r="R1288" i="2"/>
  <c r="Q1276" i="2"/>
  <c r="R1276" i="2"/>
  <c r="Q1264" i="2"/>
  <c r="R1264" i="2"/>
  <c r="Q1252" i="2"/>
  <c r="R1252" i="2"/>
  <c r="N1240" i="2"/>
  <c r="O1240" i="2" s="1"/>
  <c r="R1240" i="2"/>
  <c r="Q1228" i="2"/>
  <c r="R1228" i="2"/>
  <c r="Q1216" i="2"/>
  <c r="R1216" i="2"/>
  <c r="R1204" i="2"/>
  <c r="Q1204" i="2"/>
  <c r="Q1192" i="2"/>
  <c r="R1192" i="2"/>
  <c r="Q1180" i="2"/>
  <c r="R1180" i="2"/>
  <c r="Q1156" i="2"/>
  <c r="R1156" i="2"/>
  <c r="Q1144" i="2"/>
  <c r="R1144" i="2"/>
  <c r="Q1120" i="2"/>
  <c r="R1120" i="2"/>
  <c r="Q1108" i="2"/>
  <c r="R1108" i="2"/>
  <c r="Q1096" i="2"/>
  <c r="R1096" i="2"/>
  <c r="Q1084" i="2"/>
  <c r="R1084" i="2"/>
  <c r="Q1072" i="2"/>
  <c r="R1072" i="2"/>
  <c r="Q1060" i="2"/>
  <c r="R1060" i="2"/>
  <c r="Q1048" i="2"/>
  <c r="R1048" i="2"/>
  <c r="Q1036" i="2"/>
  <c r="R1036" i="2"/>
  <c r="Q1024" i="2"/>
  <c r="R1024" i="2"/>
  <c r="Q1012" i="2"/>
  <c r="R1012" i="2"/>
  <c r="Q1000" i="2"/>
  <c r="R1000" i="2"/>
  <c r="Q976" i="2"/>
  <c r="R976" i="2"/>
  <c r="Q964" i="2"/>
  <c r="R964" i="2"/>
  <c r="Q940" i="2"/>
  <c r="R940" i="2"/>
  <c r="Q928" i="2"/>
  <c r="R928" i="2"/>
  <c r="Q904" i="2"/>
  <c r="R904" i="2"/>
  <c r="Q880" i="2"/>
  <c r="R880" i="2"/>
  <c r="R832" i="2"/>
  <c r="Q832" i="2"/>
  <c r="P808" i="2"/>
  <c r="R808" i="2"/>
  <c r="P784" i="2"/>
  <c r="R784" i="2"/>
  <c r="Q736" i="2"/>
  <c r="R736" i="2"/>
  <c r="P712" i="2"/>
  <c r="R712" i="2"/>
  <c r="Q688" i="2"/>
  <c r="R688" i="2"/>
  <c r="Q664" i="2"/>
  <c r="R664" i="2"/>
  <c r="Q640" i="2"/>
  <c r="R640" i="2"/>
  <c r="Q616" i="2"/>
  <c r="R616" i="2"/>
  <c r="Q592" i="2"/>
  <c r="R592" i="2"/>
  <c r="Q568" i="2"/>
  <c r="R568" i="2"/>
  <c r="Q544" i="2"/>
  <c r="R544" i="2"/>
  <c r="P520" i="2"/>
  <c r="R520" i="2"/>
  <c r="R496" i="2"/>
  <c r="Q496" i="2"/>
  <c r="Q472" i="2"/>
  <c r="R472" i="2"/>
  <c r="Q448" i="2"/>
  <c r="R448" i="2"/>
  <c r="R400" i="2"/>
  <c r="Q400" i="2"/>
  <c r="Q376" i="2"/>
  <c r="R376" i="2"/>
  <c r="Q352" i="2"/>
  <c r="R352" i="2"/>
  <c r="Q328" i="2"/>
  <c r="R328" i="2"/>
  <c r="Q304" i="2"/>
  <c r="R304" i="2"/>
  <c r="Q280" i="2"/>
  <c r="R280" i="2"/>
  <c r="Q256" i="2"/>
  <c r="R256" i="2"/>
  <c r="Q232" i="2"/>
  <c r="R232" i="2"/>
  <c r="Q184" i="2"/>
  <c r="R184" i="2"/>
  <c r="Q160" i="2"/>
  <c r="R160" i="2"/>
  <c r="Q136" i="2"/>
  <c r="R136" i="2"/>
  <c r="R88" i="2"/>
  <c r="Q88" i="2"/>
  <c r="Q16" i="2"/>
  <c r="R16" i="2"/>
  <c r="Q1181" i="2"/>
  <c r="Q999" i="2"/>
  <c r="Q557" i="2"/>
  <c r="R1500" i="2"/>
  <c r="R1470" i="2"/>
  <c r="R1254" i="2"/>
  <c r="R1186" i="2"/>
  <c r="R723" i="2"/>
  <c r="R652" i="2"/>
  <c r="R388" i="2"/>
  <c r="R76" i="2"/>
  <c r="P1493" i="2"/>
  <c r="R1493" i="2"/>
  <c r="P1445" i="2"/>
  <c r="R1445" i="2"/>
  <c r="Q1409" i="2"/>
  <c r="R1409" i="2"/>
  <c r="R1361" i="2"/>
  <c r="Q1361" i="2"/>
  <c r="P1241" i="2"/>
  <c r="R1241" i="2"/>
  <c r="Q1241" i="2"/>
  <c r="P1205" i="2"/>
  <c r="R1205" i="2"/>
  <c r="Q1205" i="2"/>
  <c r="R1145" i="2"/>
  <c r="Q1145" i="2"/>
  <c r="R1109" i="2"/>
  <c r="Q1109" i="2"/>
  <c r="P1061" i="2"/>
  <c r="R1061" i="2"/>
  <c r="Q881" i="2"/>
  <c r="R881" i="2"/>
  <c r="Q773" i="2"/>
  <c r="R773" i="2"/>
  <c r="Q749" i="2"/>
  <c r="R749" i="2"/>
  <c r="Q689" i="2"/>
  <c r="R689" i="2"/>
  <c r="Q629" i="2"/>
  <c r="R629" i="2"/>
  <c r="Q497" i="2"/>
  <c r="R497" i="2"/>
  <c r="P1503" i="2"/>
  <c r="R1503" i="2"/>
  <c r="R1479" i="2"/>
  <c r="Q1479" i="2"/>
  <c r="P1467" i="2"/>
  <c r="R1467" i="2"/>
  <c r="R1455" i="2"/>
  <c r="Q1455" i="2"/>
  <c r="R1443" i="2"/>
  <c r="Q1443" i="2"/>
  <c r="P1431" i="2"/>
  <c r="R1431" i="2"/>
  <c r="Q1407" i="2"/>
  <c r="R1407" i="2"/>
  <c r="N1395" i="2"/>
  <c r="O1395" i="2" s="1"/>
  <c r="R1395" i="2"/>
  <c r="N1383" i="2"/>
  <c r="O1383" i="2" s="1"/>
  <c r="R1383" i="2"/>
  <c r="Q1371" i="2"/>
  <c r="R1371" i="2"/>
  <c r="Q1359" i="2"/>
  <c r="R1359" i="2"/>
  <c r="N1347" i="2"/>
  <c r="O1347" i="2" s="1"/>
  <c r="R1347" i="2"/>
  <c r="Q1347" i="2"/>
  <c r="Q1335" i="2"/>
  <c r="R1335" i="2"/>
  <c r="Q1323" i="2"/>
  <c r="R1323" i="2"/>
  <c r="R1311" i="2"/>
  <c r="Q1311" i="2"/>
  <c r="Q1299" i="2"/>
  <c r="R1299" i="2"/>
  <c r="Q1287" i="2"/>
  <c r="R1287" i="2"/>
  <c r="Q1263" i="2"/>
  <c r="R1263" i="2"/>
  <c r="Q1251" i="2"/>
  <c r="R1251" i="2"/>
  <c r="P1239" i="2"/>
  <c r="R1239" i="2"/>
  <c r="Q1227" i="2"/>
  <c r="R1227" i="2"/>
  <c r="Q1215" i="2"/>
  <c r="R1215" i="2"/>
  <c r="R1203" i="2"/>
  <c r="Q1203" i="2"/>
  <c r="P1191" i="2"/>
  <c r="R1191" i="2"/>
  <c r="Q1179" i="2"/>
  <c r="R1179" i="2"/>
  <c r="Q1155" i="2"/>
  <c r="R1155" i="2"/>
  <c r="Q1143" i="2"/>
  <c r="R1143" i="2"/>
  <c r="Q1119" i="2"/>
  <c r="R1119" i="2"/>
  <c r="Q1107" i="2"/>
  <c r="R1107" i="2"/>
  <c r="P1095" i="2"/>
  <c r="R1095" i="2"/>
  <c r="Q1095" i="2"/>
  <c r="Q1083" i="2"/>
  <c r="R1083" i="2"/>
  <c r="Q1071" i="2"/>
  <c r="R1071" i="2"/>
  <c r="Q1047" i="2"/>
  <c r="R1047" i="2"/>
  <c r="P1035" i="2"/>
  <c r="R1035" i="2"/>
  <c r="Q1011" i="2"/>
  <c r="R1011" i="2"/>
  <c r="Q975" i="2"/>
  <c r="R975" i="2"/>
  <c r="R963" i="2"/>
  <c r="Q963" i="2"/>
  <c r="Q939" i="2"/>
  <c r="R939" i="2"/>
  <c r="Q927" i="2"/>
  <c r="R927" i="2"/>
  <c r="Q903" i="2"/>
  <c r="R903" i="2"/>
  <c r="Q891" i="2"/>
  <c r="R891" i="2"/>
  <c r="Q879" i="2"/>
  <c r="R879" i="2"/>
  <c r="R855" i="2"/>
  <c r="Q855" i="2"/>
  <c r="Q843" i="2"/>
  <c r="R843" i="2"/>
  <c r="R831" i="2"/>
  <c r="Q831" i="2"/>
  <c r="P807" i="2"/>
  <c r="R807" i="2"/>
  <c r="Q783" i="2"/>
  <c r="R783" i="2"/>
  <c r="P747" i="2"/>
  <c r="R747" i="2"/>
  <c r="Q735" i="2"/>
  <c r="R735" i="2"/>
  <c r="Q711" i="2"/>
  <c r="R711" i="2"/>
  <c r="Q687" i="2"/>
  <c r="R687" i="2"/>
  <c r="Q663" i="2"/>
  <c r="R663" i="2"/>
  <c r="Q651" i="2"/>
  <c r="R651" i="2"/>
  <c r="Q639" i="2"/>
  <c r="R639" i="2"/>
  <c r="Q603" i="2"/>
  <c r="R603" i="2"/>
  <c r="Q567" i="2"/>
  <c r="R567" i="2"/>
  <c r="Q555" i="2"/>
  <c r="R555" i="2"/>
  <c r="Q543" i="2"/>
  <c r="R543" i="2"/>
  <c r="Q507" i="2"/>
  <c r="R507" i="2"/>
  <c r="P495" i="2"/>
  <c r="R495" i="2"/>
  <c r="Q495" i="2"/>
  <c r="Q471" i="2"/>
  <c r="R471" i="2"/>
  <c r="Q447" i="2"/>
  <c r="R447" i="2"/>
  <c r="Q411" i="2"/>
  <c r="R411" i="2"/>
  <c r="R399" i="2"/>
  <c r="Q399" i="2"/>
  <c r="Q375" i="2"/>
  <c r="R375" i="2"/>
  <c r="Q363" i="2"/>
  <c r="R363" i="2"/>
  <c r="P351" i="2"/>
  <c r="R351" i="2"/>
  <c r="Q327" i="2"/>
  <c r="R327" i="2"/>
  <c r="Q315" i="2"/>
  <c r="R315" i="2"/>
  <c r="Q303" i="2"/>
  <c r="R303" i="2"/>
  <c r="Q279" i="2"/>
  <c r="R279" i="2"/>
  <c r="Q267" i="2"/>
  <c r="R267" i="2"/>
  <c r="Q255" i="2"/>
  <c r="R255" i="2"/>
  <c r="Q231" i="2"/>
  <c r="R231" i="2"/>
  <c r="Q219" i="2"/>
  <c r="R219" i="2"/>
  <c r="P207" i="2"/>
  <c r="R207" i="2"/>
  <c r="Q183" i="2"/>
  <c r="R183" i="2"/>
  <c r="Q171" i="2"/>
  <c r="R171" i="2"/>
  <c r="Q159" i="2"/>
  <c r="R159" i="2"/>
  <c r="P135" i="2"/>
  <c r="R135" i="2"/>
  <c r="Q123" i="2"/>
  <c r="R123" i="2"/>
  <c r="R87" i="2"/>
  <c r="Q87" i="2"/>
  <c r="Q75" i="2"/>
  <c r="R75" i="2"/>
  <c r="Q63" i="2"/>
  <c r="R63" i="2"/>
  <c r="Q27" i="2"/>
  <c r="R27" i="2"/>
  <c r="Q15" i="2"/>
  <c r="R15" i="2"/>
  <c r="Q1502" i="2"/>
  <c r="Q1432" i="2"/>
  <c r="Q1169" i="2"/>
  <c r="Q1081" i="2"/>
  <c r="Q556" i="2"/>
  <c r="Q185" i="2"/>
  <c r="R1499" i="2"/>
  <c r="R1465" i="2"/>
  <c r="R1440" i="2"/>
  <c r="R1342" i="2"/>
  <c r="R1249" i="2"/>
  <c r="R892" i="2"/>
  <c r="R721" i="2"/>
  <c r="R628" i="2"/>
  <c r="R387" i="2"/>
  <c r="R316" i="2"/>
  <c r="R52" i="2"/>
  <c r="Q1457" i="2"/>
  <c r="R1457" i="2"/>
  <c r="P1397" i="2"/>
  <c r="R1397" i="2"/>
  <c r="Q1397" i="2"/>
  <c r="Q1337" i="2"/>
  <c r="R1337" i="2"/>
  <c r="N1289" i="2"/>
  <c r="O1289" i="2" s="1"/>
  <c r="R1289" i="2"/>
  <c r="Q1229" i="2"/>
  <c r="R1229" i="2"/>
  <c r="Q1193" i="2"/>
  <c r="R1193" i="2"/>
  <c r="P1133" i="2"/>
  <c r="R1133" i="2"/>
  <c r="N1073" i="2"/>
  <c r="O1073" i="2" s="1"/>
  <c r="R1073" i="2"/>
  <c r="Q1013" i="2"/>
  <c r="R1013" i="2"/>
  <c r="R953" i="2"/>
  <c r="Q953" i="2"/>
  <c r="Q917" i="2"/>
  <c r="R917" i="2"/>
  <c r="Q857" i="2"/>
  <c r="R857" i="2"/>
  <c r="Q809" i="2"/>
  <c r="R809" i="2"/>
  <c r="Q737" i="2"/>
  <c r="R737" i="2"/>
  <c r="Q677" i="2"/>
  <c r="R677" i="2"/>
  <c r="P617" i="2"/>
  <c r="R617" i="2"/>
  <c r="Q569" i="2"/>
  <c r="R569" i="2"/>
  <c r="Q533" i="2"/>
  <c r="R533" i="2"/>
  <c r="P473" i="2"/>
  <c r="R473" i="2"/>
  <c r="Q425" i="2"/>
  <c r="R425" i="2"/>
  <c r="Q377" i="2"/>
  <c r="R377" i="2"/>
  <c r="Q329" i="2"/>
  <c r="R329" i="2"/>
  <c r="R269" i="2"/>
  <c r="Q269" i="2"/>
  <c r="R173" i="2"/>
  <c r="Q173" i="2"/>
  <c r="Q125" i="2"/>
  <c r="R125" i="2"/>
  <c r="Q77" i="2"/>
  <c r="R77" i="2"/>
  <c r="Q29" i="2"/>
  <c r="R29" i="2"/>
  <c r="R1490" i="2"/>
  <c r="Q1490" i="2"/>
  <c r="R1454" i="2"/>
  <c r="Q1454" i="2"/>
  <c r="R1418" i="2"/>
  <c r="Q1418" i="2"/>
  <c r="Q1406" i="2"/>
  <c r="R1406" i="2"/>
  <c r="Q1394" i="2"/>
  <c r="R1394" i="2"/>
  <c r="Q1370" i="2"/>
  <c r="R1370" i="2"/>
  <c r="Q1358" i="2"/>
  <c r="R1358" i="2"/>
  <c r="N1346" i="2"/>
  <c r="O1346" i="2" s="1"/>
  <c r="R1346" i="2"/>
  <c r="Q1334" i="2"/>
  <c r="R1334" i="2"/>
  <c r="Q1322" i="2"/>
  <c r="R1322" i="2"/>
  <c r="R1310" i="2"/>
  <c r="Q1310" i="2"/>
  <c r="Q1298" i="2"/>
  <c r="R1298" i="2"/>
  <c r="Q1286" i="2"/>
  <c r="R1286" i="2"/>
  <c r="Q1262" i="2"/>
  <c r="R1262" i="2"/>
  <c r="Q1250" i="2"/>
  <c r="R1250" i="2"/>
  <c r="N1238" i="2"/>
  <c r="O1238" i="2" s="1"/>
  <c r="R1238" i="2"/>
  <c r="N1226" i="2"/>
  <c r="O1226" i="2" s="1"/>
  <c r="R1226" i="2"/>
  <c r="Q1214" i="2"/>
  <c r="R1214" i="2"/>
  <c r="R1202" i="2"/>
  <c r="Q1202" i="2"/>
  <c r="Q1190" i="2"/>
  <c r="R1190" i="2"/>
  <c r="Q1178" i="2"/>
  <c r="R1178" i="2"/>
  <c r="Q1154" i="2"/>
  <c r="R1154" i="2"/>
  <c r="Q1142" i="2"/>
  <c r="R1142" i="2"/>
  <c r="Q1118" i="2"/>
  <c r="R1118" i="2"/>
  <c r="Q1106" i="2"/>
  <c r="R1106" i="2"/>
  <c r="R1094" i="2"/>
  <c r="Q1094" i="2"/>
  <c r="Q1082" i="2"/>
  <c r="R1082" i="2"/>
  <c r="Q1070" i="2"/>
  <c r="R1070" i="2"/>
  <c r="R1058" i="2"/>
  <c r="Q1058" i="2"/>
  <c r="Q1046" i="2"/>
  <c r="R1046" i="2"/>
  <c r="Q1034" i="2"/>
  <c r="R1034" i="2"/>
  <c r="Q1010" i="2"/>
  <c r="R1010" i="2"/>
  <c r="N998" i="2"/>
  <c r="O998" i="2" s="1"/>
  <c r="R998" i="2"/>
  <c r="Q974" i="2"/>
  <c r="R974" i="2"/>
  <c r="Q962" i="2"/>
  <c r="R962" i="2"/>
  <c r="Q926" i="2"/>
  <c r="R926" i="2"/>
  <c r="Q914" i="2"/>
  <c r="R914" i="2"/>
  <c r="Q890" i="2"/>
  <c r="R890" i="2"/>
  <c r="Q878" i="2"/>
  <c r="R878" i="2"/>
  <c r="Q854" i="2"/>
  <c r="R854" i="2"/>
  <c r="Q842" i="2"/>
  <c r="R842" i="2"/>
  <c r="Q818" i="2"/>
  <c r="R818" i="2"/>
  <c r="Q806" i="2"/>
  <c r="R806" i="2"/>
  <c r="Q794" i="2"/>
  <c r="R794" i="2"/>
  <c r="Q770" i="2"/>
  <c r="R770" i="2"/>
  <c r="Q758" i="2"/>
  <c r="R758" i="2"/>
  <c r="Q746" i="2"/>
  <c r="R746" i="2"/>
  <c r="Q734" i="2"/>
  <c r="R734" i="2"/>
  <c r="Q722" i="2"/>
  <c r="R722" i="2"/>
  <c r="Q710" i="2"/>
  <c r="R710" i="2"/>
  <c r="Q698" i="2"/>
  <c r="R698" i="2"/>
  <c r="Q686" i="2"/>
  <c r="R686" i="2"/>
  <c r="Q674" i="2"/>
  <c r="R674" i="2"/>
  <c r="Q650" i="2"/>
  <c r="R650" i="2"/>
  <c r="Q638" i="2"/>
  <c r="R638" i="2"/>
  <c r="Q626" i="2"/>
  <c r="R626" i="2"/>
  <c r="Q614" i="2"/>
  <c r="R614" i="2"/>
  <c r="Q602" i="2"/>
  <c r="R602" i="2"/>
  <c r="Q590" i="2"/>
  <c r="R590" i="2"/>
  <c r="Q578" i="2"/>
  <c r="R578" i="2"/>
  <c r="Q566" i="2"/>
  <c r="R566" i="2"/>
  <c r="Q554" i="2"/>
  <c r="R554" i="2"/>
  <c r="Q542" i="2"/>
  <c r="R542" i="2"/>
  <c r="Q530" i="2"/>
  <c r="R530" i="2"/>
  <c r="Q506" i="2"/>
  <c r="R506" i="2"/>
  <c r="Q494" i="2"/>
  <c r="R494" i="2"/>
  <c r="Q482" i="2"/>
  <c r="R482" i="2"/>
  <c r="Q470" i="2"/>
  <c r="R470" i="2"/>
  <c r="Q458" i="2"/>
  <c r="R458" i="2"/>
  <c r="Q446" i="2"/>
  <c r="R446" i="2"/>
  <c r="Q422" i="2"/>
  <c r="R422" i="2"/>
  <c r="Q410" i="2"/>
  <c r="R410" i="2"/>
  <c r="Q398" i="2"/>
  <c r="R398" i="2"/>
  <c r="Q386" i="2"/>
  <c r="R386" i="2"/>
  <c r="Q374" i="2"/>
  <c r="R374" i="2"/>
  <c r="Q362" i="2"/>
  <c r="R362" i="2"/>
  <c r="Q338" i="2"/>
  <c r="R338" i="2"/>
  <c r="Q314" i="2"/>
  <c r="R314" i="2"/>
  <c r="Q290" i="2"/>
  <c r="R290" i="2"/>
  <c r="Q278" i="2"/>
  <c r="R278" i="2"/>
  <c r="Q266" i="2"/>
  <c r="R266" i="2"/>
  <c r="Q254" i="2"/>
  <c r="R254" i="2"/>
  <c r="Q242" i="2"/>
  <c r="R242" i="2"/>
  <c r="Q230" i="2"/>
  <c r="R230" i="2"/>
  <c r="Q218" i="2"/>
  <c r="R218" i="2"/>
  <c r="Q194" i="2"/>
  <c r="R194" i="2"/>
  <c r="Q182" i="2"/>
  <c r="R182" i="2"/>
  <c r="Q170" i="2"/>
  <c r="R170" i="2"/>
  <c r="Q158" i="2"/>
  <c r="R158" i="2"/>
  <c r="Q122" i="2"/>
  <c r="R122" i="2"/>
  <c r="Q110" i="2"/>
  <c r="R110" i="2"/>
  <c r="Q98" i="2"/>
  <c r="R98" i="2"/>
  <c r="Q86" i="2"/>
  <c r="R86" i="2"/>
  <c r="Q74" i="2"/>
  <c r="R74" i="2"/>
  <c r="Q62" i="2"/>
  <c r="R62" i="2"/>
  <c r="Q26" i="2"/>
  <c r="R26" i="2"/>
  <c r="Q14" i="2"/>
  <c r="R14" i="2"/>
  <c r="Q1431" i="2"/>
  <c r="Q1168" i="2"/>
  <c r="Q1080" i="2"/>
  <c r="Q545" i="2"/>
  <c r="Q175" i="2"/>
  <c r="R1498" i="2"/>
  <c r="R1464" i="2"/>
  <c r="R1434" i="2"/>
  <c r="R1405" i="2"/>
  <c r="R1341" i="2"/>
  <c r="R1282" i="2"/>
  <c r="R1138" i="2"/>
  <c r="R952" i="2"/>
  <c r="R868" i="2"/>
  <c r="R627" i="2"/>
  <c r="R292" i="2"/>
  <c r="R51" i="2"/>
  <c r="Q1433" i="2"/>
  <c r="R1433" i="2"/>
  <c r="P1373" i="2"/>
  <c r="R1373" i="2"/>
  <c r="P1325" i="2"/>
  <c r="R1325" i="2"/>
  <c r="Q1265" i="2"/>
  <c r="R1265" i="2"/>
  <c r="Q1121" i="2"/>
  <c r="R1121" i="2"/>
  <c r="P1049" i="2"/>
  <c r="R1049" i="2"/>
  <c r="Q989" i="2"/>
  <c r="R989" i="2"/>
  <c r="Q929" i="2"/>
  <c r="R929" i="2"/>
  <c r="P869" i="2"/>
  <c r="R869" i="2"/>
  <c r="Q725" i="2"/>
  <c r="R725" i="2"/>
  <c r="Q665" i="2"/>
  <c r="R665" i="2"/>
  <c r="R605" i="2"/>
  <c r="Q605" i="2"/>
  <c r="Q413" i="2"/>
  <c r="R413" i="2"/>
  <c r="Q365" i="2"/>
  <c r="R365" i="2"/>
  <c r="Q317" i="2"/>
  <c r="R317" i="2"/>
  <c r="Q281" i="2"/>
  <c r="R281" i="2"/>
  <c r="Q233" i="2"/>
  <c r="R233" i="2"/>
  <c r="Q65" i="2"/>
  <c r="R65" i="2"/>
  <c r="Q53" i="2"/>
  <c r="R53" i="2"/>
  <c r="Q5" i="2"/>
  <c r="R5" i="2"/>
  <c r="R1489" i="2"/>
  <c r="Q1489" i="2"/>
  <c r="R1453" i="2"/>
  <c r="Q1453" i="2"/>
  <c r="R1417" i="2"/>
  <c r="Q1417" i="2"/>
  <c r="P1345" i="2"/>
  <c r="R1345" i="2"/>
  <c r="P1309" i="2"/>
  <c r="R1309" i="2"/>
  <c r="Q1309" i="2"/>
  <c r="P1273" i="2"/>
  <c r="R1273" i="2"/>
  <c r="Q1213" i="2"/>
  <c r="R1213" i="2"/>
  <c r="P1057" i="2"/>
  <c r="Q1057" i="2"/>
  <c r="Q997" i="2"/>
  <c r="R997" i="2"/>
  <c r="Q961" i="2"/>
  <c r="R961" i="2"/>
  <c r="Q901" i="2"/>
  <c r="R901" i="2"/>
  <c r="Q889" i="2"/>
  <c r="R889" i="2"/>
  <c r="Q853" i="2"/>
  <c r="R853" i="2"/>
  <c r="Q805" i="2"/>
  <c r="R805" i="2"/>
  <c r="Q781" i="2"/>
  <c r="R781" i="2"/>
  <c r="Q757" i="2"/>
  <c r="R757" i="2"/>
  <c r="Q745" i="2"/>
  <c r="R745" i="2"/>
  <c r="Q733" i="2"/>
  <c r="R733" i="2"/>
  <c r="Q709" i="2"/>
  <c r="R709" i="2"/>
  <c r="Q697" i="2"/>
  <c r="R697" i="2"/>
  <c r="Q661" i="2"/>
  <c r="R661" i="2"/>
  <c r="Q649" i="2"/>
  <c r="R649" i="2"/>
  <c r="Q613" i="2"/>
  <c r="R613" i="2"/>
  <c r="Q589" i="2"/>
  <c r="R589" i="2"/>
  <c r="Q565" i="2"/>
  <c r="R565" i="2"/>
  <c r="Q553" i="2"/>
  <c r="R553" i="2"/>
  <c r="Q541" i="2"/>
  <c r="R541" i="2"/>
  <c r="Q517" i="2"/>
  <c r="R517" i="2"/>
  <c r="Q505" i="2"/>
  <c r="R505" i="2"/>
  <c r="Q469" i="2"/>
  <c r="R469" i="2"/>
  <c r="Q445" i="2"/>
  <c r="R445" i="2"/>
  <c r="Q421" i="2"/>
  <c r="R421" i="2"/>
  <c r="Q397" i="2"/>
  <c r="R397" i="2"/>
  <c r="Q373" i="2"/>
  <c r="R373" i="2"/>
  <c r="Q361" i="2"/>
  <c r="R361" i="2"/>
  <c r="Q349" i="2"/>
  <c r="R349" i="2"/>
  <c r="Q325" i="2"/>
  <c r="R325" i="2"/>
  <c r="Q313" i="2"/>
  <c r="R313" i="2"/>
  <c r="Q277" i="2"/>
  <c r="R277" i="2"/>
  <c r="Q253" i="2"/>
  <c r="R253" i="2"/>
  <c r="Q229" i="2"/>
  <c r="R229" i="2"/>
  <c r="Q205" i="2"/>
  <c r="R205" i="2"/>
  <c r="Q169" i="2"/>
  <c r="R169" i="2"/>
  <c r="Q157" i="2"/>
  <c r="R157" i="2"/>
  <c r="Q133" i="2"/>
  <c r="R133" i="2"/>
  <c r="Q121" i="2"/>
  <c r="R121" i="2"/>
  <c r="Q109" i="2"/>
  <c r="R109" i="2"/>
  <c r="Q85" i="2"/>
  <c r="R85" i="2"/>
  <c r="Q61" i="2"/>
  <c r="R61" i="2"/>
  <c r="Q37" i="2"/>
  <c r="R37" i="2"/>
  <c r="Q13" i="2"/>
  <c r="R13" i="2"/>
  <c r="Q1491" i="2"/>
  <c r="Q1430" i="2"/>
  <c r="Q1239" i="2"/>
  <c r="Q1167" i="2"/>
  <c r="Q739" i="2"/>
  <c r="Q521" i="2"/>
  <c r="Q331" i="2"/>
  <c r="R1463" i="2"/>
  <c r="R1429" i="2"/>
  <c r="R1404" i="2"/>
  <c r="R1374" i="2"/>
  <c r="R1306" i="2"/>
  <c r="R1281" i="2"/>
  <c r="R1210" i="2"/>
  <c r="R1177" i="2"/>
  <c r="R1091" i="2"/>
  <c r="R1045" i="2"/>
  <c r="R951" i="2"/>
  <c r="R867" i="2"/>
  <c r="R625" i="2"/>
  <c r="R532" i="2"/>
  <c r="R291" i="2"/>
  <c r="R220" i="2"/>
  <c r="R49" i="2"/>
  <c r="Q1469" i="2"/>
  <c r="R1469" i="2"/>
  <c r="Q1421" i="2"/>
  <c r="R1421" i="2"/>
  <c r="R1349" i="2"/>
  <c r="Q1349" i="2"/>
  <c r="Q1301" i="2"/>
  <c r="R1301" i="2"/>
  <c r="Q1157" i="2"/>
  <c r="R1157" i="2"/>
  <c r="Q1085" i="2"/>
  <c r="R1085" i="2"/>
  <c r="Q965" i="2"/>
  <c r="R965" i="2"/>
  <c r="Q833" i="2"/>
  <c r="R833" i="2"/>
  <c r="Q761" i="2"/>
  <c r="R761" i="2"/>
  <c r="R701" i="2"/>
  <c r="Q701" i="2"/>
  <c r="P581" i="2"/>
  <c r="R581" i="2"/>
  <c r="Q581" i="2"/>
  <c r="Q509" i="2"/>
  <c r="R509" i="2"/>
  <c r="Q401" i="2"/>
  <c r="R401" i="2"/>
  <c r="Q353" i="2"/>
  <c r="R353" i="2"/>
  <c r="Q305" i="2"/>
  <c r="R305" i="2"/>
  <c r="Q257" i="2"/>
  <c r="R257" i="2"/>
  <c r="Q221" i="2"/>
  <c r="R221" i="2"/>
  <c r="Q137" i="2"/>
  <c r="R137" i="2"/>
  <c r="Q89" i="2"/>
  <c r="R89" i="2"/>
  <c r="R41" i="2"/>
  <c r="Q41" i="2"/>
  <c r="P1488" i="2"/>
  <c r="R1488" i="2"/>
  <c r="Q1488" i="2"/>
  <c r="P1452" i="2"/>
  <c r="R1452" i="2"/>
  <c r="P1416" i="2"/>
  <c r="R1416" i="2"/>
  <c r="Q1416" i="2"/>
  <c r="Q1380" i="2"/>
  <c r="R1380" i="2"/>
  <c r="P1296" i="2"/>
  <c r="Q1296" i="2"/>
  <c r="Q1272" i="2"/>
  <c r="R1272" i="2"/>
  <c r="P1260" i="2"/>
  <c r="Q1260" i="2"/>
  <c r="Q1236" i="2"/>
  <c r="R1236" i="2"/>
  <c r="Q1212" i="2"/>
  <c r="R1212" i="2"/>
  <c r="P1152" i="2"/>
  <c r="Q1152" i="2"/>
  <c r="R1152" i="2"/>
  <c r="Q1128" i="2"/>
  <c r="R1128" i="2"/>
  <c r="Q1056" i="2"/>
  <c r="R1056" i="2"/>
  <c r="Q1032" i="2"/>
  <c r="R1032" i="2"/>
  <c r="Q996" i="2"/>
  <c r="R996" i="2"/>
  <c r="R960" i="2"/>
  <c r="Q960" i="2"/>
  <c r="Q900" i="2"/>
  <c r="R900" i="2"/>
  <c r="Q852" i="2"/>
  <c r="R852" i="2"/>
  <c r="N828" i="2"/>
  <c r="O828" i="2" s="1"/>
  <c r="R828" i="2"/>
  <c r="Q828" i="2"/>
  <c r="N792" i="2"/>
  <c r="O792" i="2" s="1"/>
  <c r="R792" i="2"/>
  <c r="Q780" i="2"/>
  <c r="R780" i="2"/>
  <c r="Q756" i="2"/>
  <c r="R756" i="2"/>
  <c r="R732" i="2"/>
  <c r="Q732" i="2"/>
  <c r="P708" i="2"/>
  <c r="R708" i="2"/>
  <c r="Q696" i="2"/>
  <c r="R696" i="2"/>
  <c r="Q660" i="2"/>
  <c r="R660" i="2"/>
  <c r="Q648" i="2"/>
  <c r="R648" i="2"/>
  <c r="Q612" i="2"/>
  <c r="R612" i="2"/>
  <c r="Q588" i="2"/>
  <c r="R588" i="2"/>
  <c r="Q564" i="2"/>
  <c r="R564" i="2"/>
  <c r="Q516" i="2"/>
  <c r="R516" i="2"/>
  <c r="Q504" i="2"/>
  <c r="R504" i="2"/>
  <c r="Q468" i="2"/>
  <c r="R468" i="2"/>
  <c r="P456" i="2"/>
  <c r="R456" i="2"/>
  <c r="Q420" i="2"/>
  <c r="R420" i="2"/>
  <c r="Q1478" i="2"/>
  <c r="Q1429" i="2"/>
  <c r="Q1332" i="2"/>
  <c r="Q1238" i="2"/>
  <c r="Q1166" i="2"/>
  <c r="Q1073" i="2"/>
  <c r="Q678" i="2"/>
  <c r="Q520" i="2"/>
  <c r="Q307" i="2"/>
  <c r="R1462" i="2"/>
  <c r="R1398" i="2"/>
  <c r="R1305" i="2"/>
  <c r="R1246" i="2"/>
  <c r="R1209" i="2"/>
  <c r="R1165" i="2"/>
  <c r="R1090" i="2"/>
  <c r="R1044" i="2"/>
  <c r="R1006" i="2"/>
  <c r="R950" i="2"/>
  <c r="R865" i="2"/>
  <c r="R772" i="2"/>
  <c r="R531" i="2"/>
  <c r="R460" i="2"/>
  <c r="R289" i="2"/>
  <c r="R196" i="2"/>
  <c r="Q1481" i="2"/>
  <c r="R1481" i="2"/>
  <c r="P1253" i="2"/>
  <c r="R1253" i="2"/>
  <c r="Q1253" i="2"/>
  <c r="P1097" i="2"/>
  <c r="R1097" i="2"/>
  <c r="Q1097" i="2"/>
  <c r="P1037" i="2"/>
  <c r="R1037" i="2"/>
  <c r="P977" i="2"/>
  <c r="R977" i="2"/>
  <c r="Q977" i="2"/>
  <c r="Q845" i="2"/>
  <c r="R845" i="2"/>
  <c r="Q785" i="2"/>
  <c r="R785" i="2"/>
  <c r="Q713" i="2"/>
  <c r="R713" i="2"/>
  <c r="Q653" i="2"/>
  <c r="R653" i="2"/>
  <c r="Q593" i="2"/>
  <c r="R593" i="2"/>
  <c r="R485" i="2"/>
  <c r="Q485" i="2"/>
  <c r="Q437" i="2"/>
  <c r="R437" i="2"/>
  <c r="Q389" i="2"/>
  <c r="R389" i="2"/>
  <c r="Q341" i="2"/>
  <c r="R341" i="2"/>
  <c r="Q293" i="2"/>
  <c r="R293" i="2"/>
  <c r="Q245" i="2"/>
  <c r="R245" i="2"/>
  <c r="Q197" i="2"/>
  <c r="R197" i="2"/>
  <c r="R149" i="2"/>
  <c r="Q149" i="2"/>
  <c r="Q1487" i="2"/>
  <c r="R1487" i="2"/>
  <c r="Q1475" i="2"/>
  <c r="R1475" i="2"/>
  <c r="Q1439" i="2"/>
  <c r="R1439" i="2"/>
  <c r="Q1415" i="2"/>
  <c r="R1415" i="2"/>
  <c r="Q1403" i="2"/>
  <c r="R1403" i="2"/>
  <c r="Q1367" i="2"/>
  <c r="R1367" i="2"/>
  <c r="Q1295" i="2"/>
  <c r="R1295" i="2"/>
  <c r="Q1271" i="2"/>
  <c r="R1271" i="2"/>
  <c r="Q1259" i="2"/>
  <c r="R1259" i="2"/>
  <c r="Q1235" i="2"/>
  <c r="R1235" i="2"/>
  <c r="Q1175" i="2"/>
  <c r="R1175" i="2"/>
  <c r="Q1127" i="2"/>
  <c r="R1127" i="2"/>
  <c r="Q1103" i="2"/>
  <c r="R1103" i="2"/>
  <c r="Q1079" i="2"/>
  <c r="R1079" i="2"/>
  <c r="Q1055" i="2"/>
  <c r="R1055" i="2"/>
  <c r="Q1007" i="2"/>
  <c r="R1007" i="2"/>
  <c r="Q995" i="2"/>
  <c r="R995" i="2"/>
  <c r="Q959" i="2"/>
  <c r="R959" i="2"/>
  <c r="Q947" i="2"/>
  <c r="R947" i="2"/>
  <c r="N935" i="2"/>
  <c r="O935" i="2" s="1"/>
  <c r="R935" i="2"/>
  <c r="Q923" i="2"/>
  <c r="R923" i="2"/>
  <c r="Q899" i="2"/>
  <c r="R899" i="2"/>
  <c r="Q1419" i="2"/>
  <c r="Q1237" i="2"/>
  <c r="Q1133" i="2"/>
  <c r="Q1061" i="2"/>
  <c r="Q912" i="2"/>
  <c r="Q667" i="2"/>
  <c r="Q519" i="2"/>
  <c r="Q124" i="2"/>
  <c r="R1486" i="2"/>
  <c r="R1461" i="2"/>
  <c r="R1427" i="2"/>
  <c r="R1393" i="2"/>
  <c r="R1338" i="2"/>
  <c r="R1270" i="2"/>
  <c r="R1245" i="2"/>
  <c r="R1129" i="2"/>
  <c r="R1043" i="2"/>
  <c r="R988" i="2"/>
  <c r="R949" i="2"/>
  <c r="R864" i="2"/>
  <c r="R771" i="2"/>
  <c r="R700" i="2"/>
  <c r="R529" i="2"/>
  <c r="R436" i="2"/>
  <c r="R195" i="2"/>
  <c r="R1042" i="2"/>
  <c r="R987" i="2"/>
  <c r="R938" i="2"/>
  <c r="R769" i="2"/>
  <c r="R676" i="2"/>
  <c r="R528" i="2"/>
  <c r="R364" i="2"/>
  <c r="R193" i="2"/>
  <c r="Q1474" i="2"/>
  <c r="R1474" i="2"/>
  <c r="Q1438" i="2"/>
  <c r="R1438" i="2"/>
  <c r="Q1402" i="2"/>
  <c r="R1402" i="2"/>
  <c r="Q1330" i="2"/>
  <c r="R1330" i="2"/>
  <c r="Q1294" i="2"/>
  <c r="R1294" i="2"/>
  <c r="Q1258" i="2"/>
  <c r="R1258" i="2"/>
  <c r="Q1198" i="2"/>
  <c r="R1198" i="2"/>
  <c r="Q1174" i="2"/>
  <c r="R1174" i="2"/>
  <c r="Q1126" i="2"/>
  <c r="R1126" i="2"/>
  <c r="Q1102" i="2"/>
  <c r="R1102" i="2"/>
  <c r="Q1078" i="2"/>
  <c r="R1078" i="2"/>
  <c r="Q1054" i="2"/>
  <c r="R1054" i="2"/>
  <c r="Q982" i="2"/>
  <c r="R982" i="2"/>
  <c r="Q1385" i="2"/>
  <c r="Q1325" i="2"/>
  <c r="Q905" i="2"/>
  <c r="Q643" i="2"/>
  <c r="Q461" i="2"/>
  <c r="Q295" i="2"/>
  <c r="R1426" i="2"/>
  <c r="Q1473" i="2"/>
  <c r="R1473" i="2"/>
  <c r="Q1437" i="2"/>
  <c r="R1437" i="2"/>
  <c r="Q1401" i="2"/>
  <c r="R1401" i="2"/>
  <c r="Q1365" i="2"/>
  <c r="R1365" i="2"/>
  <c r="Q1293" i="2"/>
  <c r="R1293" i="2"/>
  <c r="Q1257" i="2"/>
  <c r="R1257" i="2"/>
  <c r="Q1221" i="2"/>
  <c r="R1221" i="2"/>
  <c r="Q1197" i="2"/>
  <c r="R1197" i="2"/>
  <c r="Q1173" i="2"/>
  <c r="R1173" i="2"/>
  <c r="Q1125" i="2"/>
  <c r="R1125" i="2"/>
  <c r="Q1077" i="2"/>
  <c r="R1077" i="2"/>
  <c r="Q1029" i="2"/>
  <c r="R1029" i="2"/>
  <c r="Q1005" i="2"/>
  <c r="R1005" i="2"/>
  <c r="Q993" i="2"/>
  <c r="R993" i="2"/>
  <c r="Q981" i="2"/>
  <c r="R981" i="2"/>
  <c r="Q945" i="2"/>
  <c r="R945" i="2"/>
  <c r="Q933" i="2"/>
  <c r="R933" i="2"/>
  <c r="Q921" i="2"/>
  <c r="R921" i="2"/>
  <c r="Q897" i="2"/>
  <c r="R897" i="2"/>
  <c r="P885" i="2"/>
  <c r="R885" i="2"/>
  <c r="Q873" i="2"/>
  <c r="R873" i="2"/>
  <c r="Q1466" i="2"/>
  <c r="Q1384" i="2"/>
  <c r="Q1313" i="2"/>
  <c r="Q1131" i="2"/>
  <c r="Q1038" i="2"/>
  <c r="Q641" i="2"/>
  <c r="Q271" i="2"/>
  <c r="Q113" i="2"/>
  <c r="R1425" i="2"/>
  <c r="R1391" i="2"/>
  <c r="R1357" i="2"/>
  <c r="R1302" i="2"/>
  <c r="R1201" i="2"/>
  <c r="R1162" i="2"/>
  <c r="R1116" i="2"/>
  <c r="R1041" i="2"/>
  <c r="R986" i="2"/>
  <c r="R916" i="2"/>
  <c r="R768" i="2"/>
  <c r="R675" i="2"/>
  <c r="R604" i="2"/>
  <c r="R433" i="2"/>
  <c r="R340" i="2"/>
  <c r="R99" i="2"/>
  <c r="R28" i="2"/>
  <c r="P396" i="2"/>
  <c r="R396" i="2"/>
  <c r="Q372" i="2"/>
  <c r="R372" i="2"/>
  <c r="Q324" i="2"/>
  <c r="R324" i="2"/>
  <c r="Q276" i="2"/>
  <c r="R276" i="2"/>
  <c r="Q252" i="2"/>
  <c r="R252" i="2"/>
  <c r="Q228" i="2"/>
  <c r="R228" i="2"/>
  <c r="Q204" i="2"/>
  <c r="R204" i="2"/>
  <c r="Q156" i="2"/>
  <c r="R156" i="2"/>
  <c r="Q108" i="2"/>
  <c r="R108" i="2"/>
  <c r="Q84" i="2"/>
  <c r="R84" i="2"/>
  <c r="Q60" i="2"/>
  <c r="R60" i="2"/>
  <c r="Q36" i="2"/>
  <c r="R36" i="2"/>
  <c r="Q875" i="2"/>
  <c r="R875" i="2"/>
  <c r="Q851" i="2"/>
  <c r="R851" i="2"/>
  <c r="Q827" i="2"/>
  <c r="R827" i="2"/>
  <c r="Q803" i="2"/>
  <c r="R803" i="2"/>
  <c r="Q755" i="2"/>
  <c r="R755" i="2"/>
  <c r="Q659" i="2"/>
  <c r="R659" i="2"/>
  <c r="Q611" i="2"/>
  <c r="R611" i="2"/>
  <c r="Q587" i="2"/>
  <c r="R587" i="2"/>
  <c r="Q563" i="2"/>
  <c r="R563" i="2"/>
  <c r="Q515" i="2"/>
  <c r="R515" i="2"/>
  <c r="Q491" i="2"/>
  <c r="R491" i="2"/>
  <c r="Q467" i="2"/>
  <c r="R467" i="2"/>
  <c r="Q443" i="2"/>
  <c r="R443" i="2"/>
  <c r="Q419" i="2"/>
  <c r="R419" i="2"/>
  <c r="Q251" i="2"/>
  <c r="R251" i="2"/>
  <c r="Q179" i="2"/>
  <c r="R179" i="2"/>
  <c r="Q155" i="2"/>
  <c r="R155" i="2"/>
  <c r="Q131" i="2"/>
  <c r="R131" i="2"/>
  <c r="Q107" i="2"/>
  <c r="R107" i="2"/>
  <c r="Q83" i="2"/>
  <c r="R83" i="2"/>
  <c r="Q59" i="2"/>
  <c r="R59" i="2"/>
  <c r="Q922" i="2"/>
  <c r="R922" i="2"/>
  <c r="Q898" i="2"/>
  <c r="R898" i="2"/>
  <c r="Q874" i="2"/>
  <c r="R874" i="2"/>
  <c r="Q826" i="2"/>
  <c r="R826" i="2"/>
  <c r="Q802" i="2"/>
  <c r="R802" i="2"/>
  <c r="Q778" i="2"/>
  <c r="R778" i="2"/>
  <c r="Q754" i="2"/>
  <c r="R754" i="2"/>
  <c r="Q706" i="2"/>
  <c r="R706" i="2"/>
  <c r="Q682" i="2"/>
  <c r="R682" i="2"/>
  <c r="Q658" i="2"/>
  <c r="R658" i="2"/>
  <c r="Q634" i="2"/>
  <c r="R634" i="2"/>
  <c r="Q610" i="2"/>
  <c r="R610" i="2"/>
  <c r="Q586" i="2"/>
  <c r="R586" i="2"/>
  <c r="Q562" i="2"/>
  <c r="R562" i="2"/>
  <c r="Q538" i="2"/>
  <c r="R538" i="2"/>
  <c r="Q514" i="2"/>
  <c r="R514" i="2"/>
  <c r="Q490" i="2"/>
  <c r="R490" i="2"/>
  <c r="Q466" i="2"/>
  <c r="R466" i="2"/>
  <c r="Q442" i="2"/>
  <c r="R442" i="2"/>
  <c r="Q418" i="2"/>
  <c r="R418" i="2"/>
  <c r="Q394" i="2"/>
  <c r="R394" i="2"/>
  <c r="Q346" i="2"/>
  <c r="R346" i="2"/>
  <c r="Q322" i="2"/>
  <c r="R322" i="2"/>
  <c r="Q298" i="2"/>
  <c r="R298" i="2"/>
  <c r="Q274" i="2"/>
  <c r="R274" i="2"/>
  <c r="Q250" i="2"/>
  <c r="R250" i="2"/>
  <c r="Q202" i="2"/>
  <c r="R202" i="2"/>
  <c r="Q178" i="2"/>
  <c r="R178" i="2"/>
  <c r="Q130" i="2"/>
  <c r="R130" i="2"/>
  <c r="Q106" i="2"/>
  <c r="R106" i="2"/>
  <c r="Q82" i="2"/>
  <c r="R82" i="2"/>
  <c r="Q58" i="2"/>
  <c r="R58" i="2"/>
  <c r="Q34" i="2"/>
  <c r="R34" i="2"/>
  <c r="R360" i="2"/>
  <c r="R312" i="2"/>
  <c r="R264" i="2"/>
  <c r="R168" i="2"/>
  <c r="R72" i="2"/>
  <c r="R24" i="2"/>
  <c r="Q861" i="2"/>
  <c r="R861" i="2"/>
  <c r="Q849" i="2"/>
  <c r="R849" i="2"/>
  <c r="Q825" i="2"/>
  <c r="R825" i="2"/>
  <c r="Q813" i="2"/>
  <c r="R813" i="2"/>
  <c r="Q801" i="2"/>
  <c r="R801" i="2"/>
  <c r="Q789" i="2"/>
  <c r="R789" i="2"/>
  <c r="Q777" i="2"/>
  <c r="R777" i="2"/>
  <c r="Q765" i="2"/>
  <c r="R765" i="2"/>
  <c r="Q753" i="2"/>
  <c r="R753" i="2"/>
  <c r="Q729" i="2"/>
  <c r="R729" i="2"/>
  <c r="Q717" i="2"/>
  <c r="R717" i="2"/>
  <c r="Q705" i="2"/>
  <c r="R705" i="2"/>
  <c r="Q693" i="2"/>
  <c r="R693" i="2"/>
  <c r="Q681" i="2"/>
  <c r="R681" i="2"/>
  <c r="Q657" i="2"/>
  <c r="R657" i="2"/>
  <c r="Q645" i="2"/>
  <c r="R645" i="2"/>
  <c r="Q633" i="2"/>
  <c r="R633" i="2"/>
  <c r="Q621" i="2"/>
  <c r="R621" i="2"/>
  <c r="Q609" i="2"/>
  <c r="R609" i="2"/>
  <c r="Q597" i="2"/>
  <c r="R597" i="2"/>
  <c r="Q585" i="2"/>
  <c r="R585" i="2"/>
  <c r="Q573" i="2"/>
  <c r="R573" i="2"/>
  <c r="Q561" i="2"/>
  <c r="R561" i="2"/>
  <c r="Q549" i="2"/>
  <c r="R549" i="2"/>
  <c r="Q537" i="2"/>
  <c r="R537" i="2"/>
  <c r="Q525" i="2"/>
  <c r="R525" i="2"/>
  <c r="Q513" i="2"/>
  <c r="R513" i="2"/>
  <c r="Q501" i="2"/>
  <c r="R501" i="2"/>
  <c r="Q489" i="2"/>
  <c r="R489" i="2"/>
  <c r="Q477" i="2"/>
  <c r="R477" i="2"/>
  <c r="Q465" i="2"/>
  <c r="R465" i="2"/>
  <c r="Q453" i="2"/>
  <c r="R453" i="2"/>
  <c r="Q441" i="2"/>
  <c r="R441" i="2"/>
  <c r="Q429" i="2"/>
  <c r="R429" i="2"/>
  <c r="Q405" i="2"/>
  <c r="R405" i="2"/>
  <c r="Q393" i="2"/>
  <c r="R393" i="2"/>
  <c r="Q369" i="2"/>
  <c r="R369" i="2"/>
  <c r="Q357" i="2"/>
  <c r="R357" i="2"/>
  <c r="Q345" i="2"/>
  <c r="R345" i="2"/>
  <c r="Q333" i="2"/>
  <c r="R333" i="2"/>
  <c r="Q309" i="2"/>
  <c r="R309" i="2"/>
  <c r="Q297" i="2"/>
  <c r="R297" i="2"/>
  <c r="Q273" i="2"/>
  <c r="R273" i="2"/>
  <c r="Q249" i="2"/>
  <c r="R249" i="2"/>
  <c r="Q237" i="2"/>
  <c r="R237" i="2"/>
  <c r="Q225" i="2"/>
  <c r="R225" i="2"/>
  <c r="Q213" i="2"/>
  <c r="R213" i="2"/>
  <c r="Q201" i="2"/>
  <c r="R201" i="2"/>
  <c r="Q189" i="2"/>
  <c r="R189" i="2"/>
  <c r="Q177" i="2"/>
  <c r="R177" i="2"/>
  <c r="Q165" i="2"/>
  <c r="R165" i="2"/>
  <c r="Q141" i="2"/>
  <c r="R141" i="2"/>
  <c r="Q129" i="2"/>
  <c r="R129" i="2"/>
  <c r="Q117" i="2"/>
  <c r="R117" i="2"/>
  <c r="Q93" i="2"/>
  <c r="R93" i="2"/>
  <c r="Q45" i="2"/>
  <c r="R45" i="2"/>
  <c r="Q33" i="2"/>
  <c r="R33" i="2"/>
  <c r="Q21" i="2"/>
  <c r="R21" i="2"/>
  <c r="Q9" i="2"/>
  <c r="R9" i="2"/>
  <c r="R887" i="2"/>
  <c r="R647" i="2"/>
  <c r="R503" i="2"/>
  <c r="R455" i="2"/>
  <c r="R359" i="2"/>
  <c r="R263" i="2"/>
  <c r="R119" i="2"/>
  <c r="R71" i="2"/>
  <c r="R23" i="2"/>
  <c r="Q1016" i="2"/>
  <c r="R1016" i="2"/>
  <c r="Q1004" i="2"/>
  <c r="R1004" i="2"/>
  <c r="Q992" i="2"/>
  <c r="R992" i="2"/>
  <c r="Q980" i="2"/>
  <c r="R980" i="2"/>
  <c r="Q968" i="2"/>
  <c r="R968" i="2"/>
  <c r="Q956" i="2"/>
  <c r="R956" i="2"/>
  <c r="Q944" i="2"/>
  <c r="R944" i="2"/>
  <c r="Q908" i="2"/>
  <c r="R908" i="2"/>
  <c r="Q896" i="2"/>
  <c r="R896" i="2"/>
  <c r="Q884" i="2"/>
  <c r="R884" i="2"/>
  <c r="Q872" i="2"/>
  <c r="R872" i="2"/>
  <c r="Q860" i="2"/>
  <c r="R860" i="2"/>
  <c r="Q848" i="2"/>
  <c r="R848" i="2"/>
  <c r="Q836" i="2"/>
  <c r="R836" i="2"/>
  <c r="Q824" i="2"/>
  <c r="R824" i="2"/>
  <c r="Q812" i="2"/>
  <c r="R812" i="2"/>
  <c r="Q800" i="2"/>
  <c r="R800" i="2"/>
  <c r="Q776" i="2"/>
  <c r="R776" i="2"/>
  <c r="Q752" i="2"/>
  <c r="R752" i="2"/>
  <c r="Q740" i="2"/>
  <c r="R740" i="2"/>
  <c r="Q728" i="2"/>
  <c r="R728" i="2"/>
  <c r="Q716" i="2"/>
  <c r="R716" i="2"/>
  <c r="Q704" i="2"/>
  <c r="R704" i="2"/>
  <c r="Q692" i="2"/>
  <c r="R692" i="2"/>
  <c r="Q680" i="2"/>
  <c r="R680" i="2"/>
  <c r="P668" i="2"/>
  <c r="R668" i="2"/>
  <c r="Q656" i="2"/>
  <c r="R656" i="2"/>
  <c r="Q644" i="2"/>
  <c r="R644" i="2"/>
  <c r="Q620" i="2"/>
  <c r="R620" i="2"/>
  <c r="Q608" i="2"/>
  <c r="R608" i="2"/>
  <c r="Q596" i="2"/>
  <c r="R596" i="2"/>
  <c r="Q584" i="2"/>
  <c r="R584" i="2"/>
  <c r="Q548" i="2"/>
  <c r="R548" i="2"/>
  <c r="Q536" i="2"/>
  <c r="R536" i="2"/>
  <c r="Q524" i="2"/>
  <c r="R524" i="2"/>
  <c r="Q512" i="2"/>
  <c r="R512" i="2"/>
  <c r="Q500" i="2"/>
  <c r="R500" i="2"/>
  <c r="Q488" i="2"/>
  <c r="R488" i="2"/>
  <c r="Q464" i="2"/>
  <c r="R464" i="2"/>
  <c r="Q452" i="2"/>
  <c r="R452" i="2"/>
  <c r="Q440" i="2"/>
  <c r="R440" i="2"/>
  <c r="Q428" i="2"/>
  <c r="R428" i="2"/>
  <c r="Q404" i="2"/>
  <c r="R404" i="2"/>
  <c r="Q392" i="2"/>
  <c r="R392" i="2"/>
  <c r="Q380" i="2"/>
  <c r="R380" i="2"/>
  <c r="Q368" i="2"/>
  <c r="R368" i="2"/>
  <c r="Q344" i="2"/>
  <c r="R344" i="2"/>
  <c r="Q332" i="2"/>
  <c r="R332" i="2"/>
  <c r="Q320" i="2"/>
  <c r="R320" i="2"/>
  <c r="Q308" i="2"/>
  <c r="R308" i="2"/>
  <c r="Q296" i="2"/>
  <c r="R296" i="2"/>
  <c r="Q272" i="2"/>
  <c r="R272" i="2"/>
  <c r="Q260" i="2"/>
  <c r="R260" i="2"/>
  <c r="Q248" i="2"/>
  <c r="R248" i="2"/>
  <c r="Q236" i="2"/>
  <c r="R236" i="2"/>
  <c r="Q224" i="2"/>
  <c r="R224" i="2"/>
  <c r="Q212" i="2"/>
  <c r="R212" i="2"/>
  <c r="Q200" i="2"/>
  <c r="R200" i="2"/>
  <c r="Q188" i="2"/>
  <c r="R188" i="2"/>
  <c r="Q176" i="2"/>
  <c r="R176" i="2"/>
  <c r="Q164" i="2"/>
  <c r="R164" i="2"/>
  <c r="Q152" i="2"/>
  <c r="R152" i="2"/>
  <c r="Q140" i="2"/>
  <c r="R140" i="2"/>
  <c r="Q128" i="2"/>
  <c r="R128" i="2"/>
  <c r="Q116" i="2"/>
  <c r="R116" i="2"/>
  <c r="Q104" i="2"/>
  <c r="R104" i="2"/>
  <c r="Q92" i="2"/>
  <c r="R92" i="2"/>
  <c r="Q80" i="2"/>
  <c r="R80" i="2"/>
  <c r="Q44" i="2"/>
  <c r="R44" i="2"/>
  <c r="Q32" i="2"/>
  <c r="R32" i="2"/>
  <c r="Q20" i="2"/>
  <c r="R20" i="2"/>
  <c r="Q8" i="2"/>
  <c r="R8" i="2"/>
  <c r="Q360" i="2"/>
  <c r="R1124" i="2"/>
  <c r="R1100" i="2"/>
  <c r="R1076" i="2"/>
  <c r="R1052" i="2"/>
  <c r="R1028" i="2"/>
  <c r="R838" i="2"/>
  <c r="R790" i="2"/>
  <c r="R646" i="2"/>
  <c r="R502" i="2"/>
  <c r="R358" i="2"/>
  <c r="R310" i="2"/>
  <c r="R214" i="2"/>
  <c r="R118" i="2"/>
  <c r="R70" i="2"/>
  <c r="R22" i="2"/>
  <c r="P1497" i="2"/>
  <c r="Q1497" i="2"/>
  <c r="P1233" i="2"/>
  <c r="Q1233" i="2"/>
  <c r="P1137" i="2"/>
  <c r="Q1137" i="2"/>
  <c r="P1089" i="2"/>
  <c r="Q1089" i="2"/>
  <c r="P1053" i="2"/>
  <c r="Q1053" i="2"/>
  <c r="P909" i="2"/>
  <c r="Q909" i="2"/>
  <c r="N321" i="2"/>
  <c r="O321" i="2" s="1"/>
  <c r="Q321" i="2"/>
  <c r="P285" i="2"/>
  <c r="Q285" i="2"/>
  <c r="P1400" i="2"/>
  <c r="Q1400" i="2"/>
  <c r="P788" i="2"/>
  <c r="Q788" i="2"/>
  <c r="P632" i="2"/>
  <c r="Q632" i="2"/>
  <c r="P560" i="2"/>
  <c r="Q560" i="2"/>
  <c r="P1494" i="2"/>
  <c r="Q1494" i="2"/>
  <c r="P378" i="2"/>
  <c r="Q378" i="2"/>
  <c r="Q906" i="2"/>
  <c r="Q1074" i="2"/>
  <c r="P4" i="2"/>
  <c r="Q4" i="2"/>
  <c r="P1336" i="2"/>
  <c r="Q1336" i="2"/>
  <c r="Q1452" i="2"/>
  <c r="Q1240" i="2"/>
  <c r="Q887" i="2"/>
  <c r="Q396" i="2"/>
  <c r="P1378" i="2"/>
  <c r="Q1378" i="2"/>
  <c r="N958" i="2"/>
  <c r="O958" i="2" s="1"/>
  <c r="Q958" i="2"/>
  <c r="P910" i="2"/>
  <c r="Q910" i="2"/>
  <c r="P862" i="2"/>
  <c r="Q862" i="2"/>
  <c r="P718" i="2"/>
  <c r="Q718" i="2"/>
  <c r="N622" i="2"/>
  <c r="O622" i="2" s="1"/>
  <c r="Q622" i="2"/>
  <c r="N574" i="2"/>
  <c r="O574" i="2" s="1"/>
  <c r="Q574" i="2"/>
  <c r="N454" i="2"/>
  <c r="O454" i="2" s="1"/>
  <c r="Q454" i="2"/>
  <c r="P1317" i="2"/>
  <c r="Q1317" i="2"/>
  <c r="N261" i="2"/>
  <c r="O261" i="2" s="1"/>
  <c r="Q261" i="2"/>
  <c r="N1472" i="2"/>
  <c r="O1472" i="2" s="1"/>
  <c r="Q1472" i="2"/>
  <c r="N1412" i="2"/>
  <c r="O1412" i="2" s="1"/>
  <c r="Q1412" i="2"/>
  <c r="P1050" i="2"/>
  <c r="Q1050" i="2"/>
  <c r="P870" i="2"/>
  <c r="Q870" i="2"/>
  <c r="Q1476" i="2"/>
  <c r="Q1404" i="2"/>
  <c r="Q708" i="2"/>
  <c r="P1414" i="2"/>
  <c r="Q1414" i="2"/>
  <c r="P1318" i="2"/>
  <c r="Q1318" i="2"/>
  <c r="P1234" i="2"/>
  <c r="Q1234" i="2"/>
  <c r="P994" i="2"/>
  <c r="Q994" i="2"/>
  <c r="P946" i="2"/>
  <c r="Q946" i="2"/>
  <c r="P850" i="2"/>
  <c r="Q850" i="2"/>
  <c r="N598" i="2"/>
  <c r="O598" i="2" s="1"/>
  <c r="Q598" i="2"/>
  <c r="P370" i="2"/>
  <c r="Q370" i="2"/>
  <c r="P226" i="2"/>
  <c r="Q226" i="2"/>
  <c r="N154" i="2"/>
  <c r="O154" i="2" s="1"/>
  <c r="Q154" i="2"/>
  <c r="P969" i="2"/>
  <c r="Q969" i="2"/>
  <c r="N741" i="2"/>
  <c r="O741" i="2" s="1"/>
  <c r="Q741" i="2"/>
  <c r="N381" i="2"/>
  <c r="O381" i="2" s="1"/>
  <c r="Q381" i="2"/>
  <c r="P105" i="2"/>
  <c r="Q105" i="2"/>
  <c r="N69" i="2"/>
  <c r="O69" i="2" s="1"/>
  <c r="Q69" i="2"/>
  <c r="N572" i="2"/>
  <c r="O572" i="2" s="1"/>
  <c r="Q572" i="2"/>
  <c r="P476" i="2"/>
  <c r="Q476" i="2"/>
  <c r="P416" i="2"/>
  <c r="Q416" i="2"/>
  <c r="N356" i="2"/>
  <c r="O356" i="2" s="1"/>
  <c r="Q356" i="2"/>
  <c r="P284" i="2"/>
  <c r="Q284" i="2"/>
  <c r="N68" i="2"/>
  <c r="O68" i="2" s="1"/>
  <c r="Q68" i="2"/>
  <c r="N1410" i="2"/>
  <c r="O1410" i="2" s="1"/>
  <c r="Q1410" i="2"/>
  <c r="N918" i="2"/>
  <c r="O918" i="2" s="1"/>
  <c r="Q918" i="2"/>
  <c r="P666" i="2"/>
  <c r="Q666" i="2"/>
  <c r="P558" i="2"/>
  <c r="Q558" i="2"/>
  <c r="N354" i="2"/>
  <c r="O354" i="2" s="1"/>
  <c r="Q354" i="2"/>
  <c r="Q978" i="2"/>
  <c r="Q1146" i="2"/>
  <c r="N1366" i="2"/>
  <c r="O1366" i="2" s="1"/>
  <c r="Q1366" i="2"/>
  <c r="N1222" i="2"/>
  <c r="O1222" i="2" s="1"/>
  <c r="Q1222" i="2"/>
  <c r="P1030" i="2"/>
  <c r="Q1030" i="2"/>
  <c r="N934" i="2"/>
  <c r="O934" i="2" s="1"/>
  <c r="Q934" i="2"/>
  <c r="N742" i="2"/>
  <c r="O742" i="2" s="1"/>
  <c r="Q742" i="2"/>
  <c r="N550" i="2"/>
  <c r="O550" i="2" s="1"/>
  <c r="Q550" i="2"/>
  <c r="N406" i="2"/>
  <c r="O406" i="2" s="1"/>
  <c r="Q406" i="2"/>
  <c r="N262" i="2"/>
  <c r="O262" i="2" s="1"/>
  <c r="Q262" i="2"/>
  <c r="P166" i="2"/>
  <c r="Q166" i="2"/>
  <c r="P10" i="2"/>
  <c r="Q10" i="2"/>
  <c r="P1353" i="2"/>
  <c r="Q1353" i="2"/>
  <c r="P837" i="2"/>
  <c r="Q837" i="2"/>
  <c r="P417" i="2"/>
  <c r="Q417" i="2"/>
  <c r="N153" i="2"/>
  <c r="O153" i="2" s="1"/>
  <c r="Q153" i="2"/>
  <c r="P81" i="2"/>
  <c r="Q81" i="2"/>
  <c r="P57" i="2"/>
  <c r="Q57" i="2"/>
  <c r="P920" i="2"/>
  <c r="Q920" i="2"/>
  <c r="P56" i="2"/>
  <c r="Q56" i="2"/>
  <c r="Q668" i="2"/>
  <c r="Q885" i="2"/>
  <c r="P1428" i="2"/>
  <c r="Q1428" i="2"/>
  <c r="P1392" i="2"/>
  <c r="Q1392" i="2"/>
  <c r="P1344" i="2"/>
  <c r="Q1344" i="2"/>
  <c r="P1308" i="2"/>
  <c r="Q1308" i="2"/>
  <c r="P1248" i="2"/>
  <c r="Q1248" i="2"/>
  <c r="N1200" i="2"/>
  <c r="O1200" i="2" s="1"/>
  <c r="Q1200" i="2"/>
  <c r="P1176" i="2"/>
  <c r="Q1176" i="2"/>
  <c r="P1164" i="2"/>
  <c r="Q1164" i="2"/>
  <c r="N1104" i="2"/>
  <c r="O1104" i="2" s="1"/>
  <c r="Q1104" i="2"/>
  <c r="P1092" i="2"/>
  <c r="Q1092" i="2"/>
  <c r="P1020" i="2"/>
  <c r="Q1020" i="2"/>
  <c r="P1008" i="2"/>
  <c r="Q1008" i="2"/>
  <c r="N972" i="2"/>
  <c r="O972" i="2" s="1"/>
  <c r="Q972" i="2"/>
  <c r="P948" i="2"/>
  <c r="Q948" i="2"/>
  <c r="P936" i="2"/>
  <c r="Q936" i="2"/>
  <c r="P924" i="2"/>
  <c r="Q924" i="2"/>
  <c r="P888" i="2"/>
  <c r="Q888" i="2"/>
  <c r="N876" i="2"/>
  <c r="O876" i="2" s="1"/>
  <c r="Q876" i="2"/>
  <c r="P840" i="2"/>
  <c r="Q840" i="2"/>
  <c r="P816" i="2"/>
  <c r="Q816" i="2"/>
  <c r="N744" i="2"/>
  <c r="O744" i="2" s="1"/>
  <c r="Q744" i="2"/>
  <c r="P720" i="2"/>
  <c r="Q720" i="2"/>
  <c r="N684" i="2"/>
  <c r="O684" i="2" s="1"/>
  <c r="Q684" i="2"/>
  <c r="N636" i="2"/>
  <c r="O636" i="2" s="1"/>
  <c r="Q636" i="2"/>
  <c r="P624" i="2"/>
  <c r="Q624" i="2"/>
  <c r="N600" i="2"/>
  <c r="O600" i="2" s="1"/>
  <c r="Q600" i="2"/>
  <c r="N552" i="2"/>
  <c r="O552" i="2" s="1"/>
  <c r="Q552" i="2"/>
  <c r="P540" i="2"/>
  <c r="Q540" i="2"/>
  <c r="P492" i="2"/>
  <c r="Q492" i="2"/>
  <c r="P480" i="2"/>
  <c r="Q480" i="2"/>
  <c r="N444" i="2"/>
  <c r="O444" i="2" s="1"/>
  <c r="Q444" i="2"/>
  <c r="N408" i="2"/>
  <c r="O408" i="2" s="1"/>
  <c r="Q408" i="2"/>
  <c r="P384" i="2"/>
  <c r="Q384" i="2"/>
  <c r="N348" i="2"/>
  <c r="O348" i="2" s="1"/>
  <c r="Q348" i="2"/>
  <c r="N288" i="2"/>
  <c r="O288" i="2" s="1"/>
  <c r="Q288" i="2"/>
  <c r="N240" i="2"/>
  <c r="O240" i="2" s="1"/>
  <c r="Q240" i="2"/>
  <c r="N216" i="2"/>
  <c r="O216" i="2" s="1"/>
  <c r="Q216" i="2"/>
  <c r="N180" i="2"/>
  <c r="O180" i="2" s="1"/>
  <c r="Q180" i="2"/>
  <c r="P144" i="2"/>
  <c r="Q144" i="2"/>
  <c r="N132" i="2"/>
  <c r="O132" i="2" s="1"/>
  <c r="Q132" i="2"/>
  <c r="N120" i="2"/>
  <c r="O120" i="2" s="1"/>
  <c r="Q120" i="2"/>
  <c r="P96" i="2"/>
  <c r="Q96" i="2"/>
  <c r="N12" i="2"/>
  <c r="O12" i="2" s="1"/>
  <c r="Q12" i="2"/>
  <c r="Q935" i="2"/>
  <c r="Q792" i="2"/>
  <c r="P1450" i="2"/>
  <c r="Q1450" i="2"/>
  <c r="P1150" i="2"/>
  <c r="Q1150" i="2"/>
  <c r="P1066" i="2"/>
  <c r="Q1066" i="2"/>
  <c r="P1018" i="2"/>
  <c r="Q1018" i="2"/>
  <c r="N970" i="2"/>
  <c r="O970" i="2" s="1"/>
  <c r="Q970" i="2"/>
  <c r="P886" i="2"/>
  <c r="Q886" i="2"/>
  <c r="P730" i="2"/>
  <c r="Q730" i="2"/>
  <c r="P694" i="2"/>
  <c r="Q694" i="2"/>
  <c r="P670" i="2"/>
  <c r="Q670" i="2"/>
  <c r="N382" i="2"/>
  <c r="O382" i="2" s="1"/>
  <c r="Q382" i="2"/>
  <c r="P1389" i="2"/>
  <c r="Q1389" i="2"/>
  <c r="N1329" i="2"/>
  <c r="O1329" i="2" s="1"/>
  <c r="Q1329" i="2"/>
  <c r="N1149" i="2"/>
  <c r="O1149" i="2" s="1"/>
  <c r="Q1149" i="2"/>
  <c r="P1101" i="2"/>
  <c r="Q1101" i="2"/>
  <c r="P957" i="2"/>
  <c r="Q957" i="2"/>
  <c r="P669" i="2"/>
  <c r="Q669" i="2"/>
  <c r="P1340" i="2"/>
  <c r="Q1340" i="2"/>
  <c r="P654" i="2"/>
  <c r="Q654" i="2"/>
  <c r="P1451" i="2"/>
  <c r="Q1451" i="2"/>
  <c r="P1379" i="2"/>
  <c r="Q1379" i="2"/>
  <c r="N1343" i="2"/>
  <c r="O1343" i="2" s="1"/>
  <c r="Q1343" i="2"/>
  <c r="P1331" i="2"/>
  <c r="Q1331" i="2"/>
  <c r="P1319" i="2"/>
  <c r="Q1319" i="2"/>
  <c r="P1307" i="2"/>
  <c r="Q1307" i="2"/>
  <c r="P1283" i="2"/>
  <c r="Q1283" i="2"/>
  <c r="P1247" i="2"/>
  <c r="Q1247" i="2"/>
  <c r="P1211" i="2"/>
  <c r="Q1211" i="2"/>
  <c r="N1199" i="2"/>
  <c r="O1199" i="2" s="1"/>
  <c r="Q1199" i="2"/>
  <c r="P1163" i="2"/>
  <c r="Q1163" i="2"/>
  <c r="N1151" i="2"/>
  <c r="O1151" i="2" s="1"/>
  <c r="Q1151" i="2"/>
  <c r="P1067" i="2"/>
  <c r="Q1067" i="2"/>
  <c r="P1031" i="2"/>
  <c r="Q1031" i="2"/>
  <c r="P983" i="2"/>
  <c r="Q983" i="2"/>
  <c r="N971" i="2"/>
  <c r="O971" i="2" s="1"/>
  <c r="Q971" i="2"/>
  <c r="N911" i="2"/>
  <c r="O911" i="2" s="1"/>
  <c r="Q911" i="2"/>
  <c r="P839" i="2"/>
  <c r="Q839" i="2"/>
  <c r="N791" i="2"/>
  <c r="O791" i="2" s="1"/>
  <c r="Q791" i="2"/>
  <c r="N779" i="2"/>
  <c r="O779" i="2" s="1"/>
  <c r="Q779" i="2"/>
  <c r="N743" i="2"/>
  <c r="O743" i="2" s="1"/>
  <c r="Q743" i="2"/>
  <c r="P731" i="2"/>
  <c r="Q731" i="2"/>
  <c r="N719" i="2"/>
  <c r="O719" i="2" s="1"/>
  <c r="Q719" i="2"/>
  <c r="P707" i="2"/>
  <c r="Q707" i="2"/>
  <c r="N695" i="2"/>
  <c r="O695" i="2" s="1"/>
  <c r="Q695" i="2"/>
  <c r="P683" i="2"/>
  <c r="Q683" i="2"/>
  <c r="N635" i="2"/>
  <c r="O635" i="2" s="1"/>
  <c r="Q635" i="2"/>
  <c r="N623" i="2"/>
  <c r="O623" i="2" s="1"/>
  <c r="Q623" i="2"/>
  <c r="N599" i="2"/>
  <c r="O599" i="2" s="1"/>
  <c r="Q599" i="2"/>
  <c r="P575" i="2"/>
  <c r="Q575" i="2"/>
  <c r="N551" i="2"/>
  <c r="O551" i="2" s="1"/>
  <c r="Q551" i="2"/>
  <c r="P539" i="2"/>
  <c r="Q539" i="2"/>
  <c r="P479" i="2"/>
  <c r="Q479" i="2"/>
  <c r="N407" i="2"/>
  <c r="O407" i="2" s="1"/>
  <c r="Q407" i="2"/>
  <c r="P395" i="2"/>
  <c r="Q395" i="2"/>
  <c r="P371" i="2"/>
  <c r="Q371" i="2"/>
  <c r="N347" i="2"/>
  <c r="O347" i="2" s="1"/>
  <c r="Q347" i="2"/>
  <c r="P335" i="2"/>
  <c r="Q335" i="2"/>
  <c r="N323" i="2"/>
  <c r="O323" i="2" s="1"/>
  <c r="Q323" i="2"/>
  <c r="N311" i="2"/>
  <c r="O311" i="2" s="1"/>
  <c r="Q311" i="2"/>
  <c r="P299" i="2"/>
  <c r="Q299" i="2"/>
  <c r="P287" i="2"/>
  <c r="Q287" i="2"/>
  <c r="P275" i="2"/>
  <c r="Q275" i="2"/>
  <c r="P227" i="2"/>
  <c r="Q227" i="2"/>
  <c r="N215" i="2"/>
  <c r="O215" i="2" s="1"/>
  <c r="Q215" i="2"/>
  <c r="N203" i="2"/>
  <c r="O203" i="2" s="1"/>
  <c r="Q203" i="2"/>
  <c r="P167" i="2"/>
  <c r="Q167" i="2"/>
  <c r="P95" i="2"/>
  <c r="Q95" i="2"/>
  <c r="N35" i="2"/>
  <c r="O35" i="2" s="1"/>
  <c r="Q35" i="2"/>
  <c r="N11" i="2"/>
  <c r="O11" i="2" s="1"/>
  <c r="Q11" i="2"/>
  <c r="Q1440" i="2"/>
  <c r="Q456" i="2"/>
  <c r="P655" i="2"/>
  <c r="Q655" i="2"/>
  <c r="P223" i="2"/>
  <c r="Q223" i="2"/>
  <c r="N103" i="2"/>
  <c r="O103" i="2" s="1"/>
  <c r="Q103" i="2"/>
  <c r="P55" i="2"/>
  <c r="Q55" i="2"/>
  <c r="Q1411" i="2"/>
  <c r="Q207" i="2"/>
  <c r="Q31" i="2"/>
  <c r="Q1395" i="2"/>
  <c r="Q1035" i="2"/>
  <c r="Q415" i="2"/>
  <c r="P1001" i="2"/>
  <c r="Q1001" i="2"/>
  <c r="P941" i="2"/>
  <c r="Q941" i="2"/>
  <c r="P893" i="2"/>
  <c r="Q893" i="2"/>
  <c r="P821" i="2"/>
  <c r="Q821" i="2"/>
  <c r="P797" i="2"/>
  <c r="Q797" i="2"/>
  <c r="P449" i="2"/>
  <c r="Q449" i="2"/>
  <c r="P161" i="2"/>
  <c r="Q161" i="2"/>
  <c r="P101" i="2"/>
  <c r="Q101" i="2"/>
  <c r="P17" i="2"/>
  <c r="Q17" i="2"/>
  <c r="Q135" i="2"/>
  <c r="Q1373" i="2"/>
  <c r="Q1105" i="2"/>
  <c r="Q1049" i="2"/>
  <c r="Q784" i="2"/>
  <c r="P64" i="2"/>
  <c r="Q64" i="2"/>
  <c r="P759" i="2"/>
  <c r="Q759" i="2"/>
  <c r="P699" i="2"/>
  <c r="Q699" i="2"/>
  <c r="P615" i="2"/>
  <c r="Q615" i="2"/>
  <c r="P591" i="2"/>
  <c r="Q591" i="2"/>
  <c r="P39" i="2"/>
  <c r="Q39" i="2"/>
  <c r="Q869" i="2"/>
  <c r="Q473" i="2"/>
  <c r="Q351" i="2"/>
  <c r="P244" i="2"/>
  <c r="Q244" i="2"/>
  <c r="P902" i="2"/>
  <c r="Q902" i="2"/>
  <c r="P866" i="2"/>
  <c r="Q866" i="2"/>
  <c r="N830" i="2"/>
  <c r="O830" i="2" s="1"/>
  <c r="Q830" i="2"/>
  <c r="P782" i="2"/>
  <c r="Q782" i="2"/>
  <c r="N662" i="2"/>
  <c r="O662" i="2" s="1"/>
  <c r="Q662" i="2"/>
  <c r="N518" i="2"/>
  <c r="O518" i="2" s="1"/>
  <c r="Q518" i="2"/>
  <c r="P434" i="2"/>
  <c r="Q434" i="2"/>
  <c r="P350" i="2"/>
  <c r="Q350" i="2"/>
  <c r="P326" i="2"/>
  <c r="Q326" i="2"/>
  <c r="N302" i="2"/>
  <c r="O302" i="2" s="1"/>
  <c r="Q302" i="2"/>
  <c r="P206" i="2"/>
  <c r="Q206" i="2"/>
  <c r="P146" i="2"/>
  <c r="Q146" i="2"/>
  <c r="P134" i="2"/>
  <c r="Q134" i="2"/>
  <c r="N50" i="2"/>
  <c r="O50" i="2" s="1"/>
  <c r="Q50" i="2"/>
  <c r="N38" i="2"/>
  <c r="O38" i="2" s="1"/>
  <c r="Q38" i="2"/>
  <c r="Q1191" i="2"/>
  <c r="Q808" i="2"/>
  <c r="Q747" i="2"/>
  <c r="Q712" i="2"/>
  <c r="P796" i="2"/>
  <c r="Q796" i="2"/>
  <c r="P760" i="2"/>
  <c r="Q760" i="2"/>
  <c r="P100" i="2"/>
  <c r="Q100" i="2"/>
  <c r="P40" i="2"/>
  <c r="Q40" i="2"/>
  <c r="P1021" i="2"/>
  <c r="Q1021" i="2"/>
  <c r="P1009" i="2"/>
  <c r="Q1009" i="2"/>
  <c r="P937" i="2"/>
  <c r="Q937" i="2"/>
  <c r="P925" i="2"/>
  <c r="Q925" i="2"/>
  <c r="N877" i="2"/>
  <c r="O877" i="2" s="1"/>
  <c r="Q877" i="2"/>
  <c r="P841" i="2"/>
  <c r="Q841" i="2"/>
  <c r="N829" i="2"/>
  <c r="O829" i="2" s="1"/>
  <c r="Q829" i="2"/>
  <c r="N793" i="2"/>
  <c r="O793" i="2" s="1"/>
  <c r="Q793" i="2"/>
  <c r="N685" i="2"/>
  <c r="O685" i="2" s="1"/>
  <c r="Q685" i="2"/>
  <c r="N637" i="2"/>
  <c r="O637" i="2" s="1"/>
  <c r="Q637" i="2"/>
  <c r="N601" i="2"/>
  <c r="O601" i="2" s="1"/>
  <c r="Q601" i="2"/>
  <c r="N493" i="2"/>
  <c r="O493" i="2" s="1"/>
  <c r="Q493" i="2"/>
  <c r="N457" i="2"/>
  <c r="O457" i="2" s="1"/>
  <c r="Q457" i="2"/>
  <c r="N409" i="2"/>
  <c r="O409" i="2" s="1"/>
  <c r="Q409" i="2"/>
  <c r="N301" i="2"/>
  <c r="O301" i="2" s="1"/>
  <c r="Q301" i="2"/>
  <c r="N265" i="2"/>
  <c r="O265" i="2" s="1"/>
  <c r="Q265" i="2"/>
  <c r="N217" i="2"/>
  <c r="O217" i="2" s="1"/>
  <c r="Q217" i="2"/>
  <c r="N181" i="2"/>
  <c r="O181" i="2" s="1"/>
  <c r="Q181" i="2"/>
  <c r="N73" i="2"/>
  <c r="O73" i="2" s="1"/>
  <c r="Q73" i="2"/>
  <c r="N25" i="2"/>
  <c r="O25" i="2" s="1"/>
  <c r="Q25" i="2"/>
  <c r="Q1493" i="2"/>
  <c r="Q1445" i="2"/>
  <c r="Q1226" i="2"/>
  <c r="Q807" i="2"/>
  <c r="P719" i="2"/>
  <c r="P828" i="2"/>
  <c r="P744" i="2"/>
  <c r="P741" i="2"/>
  <c r="N1452" i="2"/>
  <c r="O1452" i="2" s="1"/>
  <c r="N1428" i="2"/>
  <c r="O1428" i="2" s="1"/>
  <c r="N1234" i="2"/>
  <c r="O1234" i="2" s="1"/>
  <c r="N731" i="2"/>
  <c r="O731" i="2" s="1"/>
  <c r="N371" i="2"/>
  <c r="O371" i="2" s="1"/>
  <c r="N206" i="2"/>
  <c r="O206" i="2" s="1"/>
  <c r="N146" i="2"/>
  <c r="O146" i="2" s="1"/>
  <c r="N1404" i="2"/>
  <c r="O1404" i="2" s="1"/>
  <c r="N370" i="2"/>
  <c r="O370" i="2" s="1"/>
  <c r="P742" i="2"/>
  <c r="N1239" i="2"/>
  <c r="O1239" i="2" s="1"/>
  <c r="N1163" i="2"/>
  <c r="O1163" i="2" s="1"/>
  <c r="N96" i="2"/>
  <c r="O96" i="2" s="1"/>
  <c r="P493" i="2"/>
  <c r="N1150" i="2"/>
  <c r="O1150" i="2" s="1"/>
  <c r="N39" i="2"/>
  <c r="O39" i="2" s="1"/>
  <c r="P348" i="2"/>
  <c r="N1137" i="2"/>
  <c r="O1137" i="2" s="1"/>
  <c r="P1343" i="2"/>
  <c r="P347" i="2"/>
  <c r="N1116" i="2"/>
  <c r="O1116" i="2" s="1"/>
  <c r="P288" i="2"/>
  <c r="N886" i="2"/>
  <c r="O886" i="2" s="1"/>
  <c r="P970" i="2"/>
  <c r="P265" i="2"/>
  <c r="N869" i="2"/>
  <c r="O869" i="2" s="1"/>
  <c r="P934" i="2"/>
  <c r="P203" i="2"/>
  <c r="N862" i="2"/>
  <c r="O862" i="2" s="1"/>
  <c r="P911" i="2"/>
  <c r="P132" i="2"/>
  <c r="P239" i="2"/>
  <c r="N239" i="2"/>
  <c r="O239" i="2" s="1"/>
  <c r="N1432" i="2"/>
  <c r="O1432" i="2" s="1"/>
  <c r="N1133" i="2"/>
  <c r="O1133" i="2" s="1"/>
  <c r="N615" i="2"/>
  <c r="O615" i="2" s="1"/>
  <c r="P1347" i="2"/>
  <c r="P1346" i="2"/>
  <c r="N1345" i="2"/>
  <c r="O1345" i="2" s="1"/>
  <c r="N1095" i="2"/>
  <c r="O1095" i="2" s="1"/>
  <c r="N1336" i="2"/>
  <c r="O1336" i="2" s="1"/>
  <c r="N1018" i="2"/>
  <c r="O1018" i="2" s="1"/>
  <c r="P1149" i="2"/>
  <c r="P599" i="2"/>
  <c r="N821" i="2"/>
  <c r="O821" i="2" s="1"/>
  <c r="P1383" i="2"/>
  <c r="N1344" i="2"/>
  <c r="O1344" i="2" s="1"/>
  <c r="N1031" i="2"/>
  <c r="O1031" i="2" s="1"/>
  <c r="N287" i="2"/>
  <c r="O287" i="2" s="1"/>
  <c r="P684" i="2"/>
  <c r="N1308" i="2"/>
  <c r="O1308" i="2" s="1"/>
  <c r="N1008" i="2"/>
  <c r="O1008" i="2" s="1"/>
  <c r="N227" i="2"/>
  <c r="O227" i="2" s="1"/>
  <c r="P598" i="2"/>
  <c r="N1431" i="2"/>
  <c r="O1431" i="2" s="1"/>
  <c r="N1307" i="2"/>
  <c r="O1307" i="2" s="1"/>
  <c r="N946" i="2"/>
  <c r="O946" i="2" s="1"/>
  <c r="N207" i="2"/>
  <c r="O207" i="2" s="1"/>
  <c r="P1073" i="2"/>
  <c r="P551" i="2"/>
  <c r="N1281" i="2"/>
  <c r="O1281" i="2" s="1"/>
  <c r="P1281" i="2"/>
  <c r="P260" i="2"/>
  <c r="N260" i="2"/>
  <c r="O260" i="2" s="1"/>
  <c r="N191" i="2"/>
  <c r="O191" i="2" s="1"/>
  <c r="P191" i="2"/>
  <c r="N885" i="2"/>
  <c r="O885" i="2" s="1"/>
  <c r="N716" i="2"/>
  <c r="O716" i="2" s="1"/>
  <c r="P716" i="2"/>
  <c r="N179" i="2"/>
  <c r="O179" i="2" s="1"/>
  <c r="P179" i="2"/>
  <c r="N155" i="2"/>
  <c r="O155" i="2" s="1"/>
  <c r="P155" i="2"/>
  <c r="N1473" i="2"/>
  <c r="O1473" i="2" s="1"/>
  <c r="P1473" i="2"/>
  <c r="P1413" i="2"/>
  <c r="N1413" i="2"/>
  <c r="O1413" i="2" s="1"/>
  <c r="N1365" i="2"/>
  <c r="O1365" i="2" s="1"/>
  <c r="P1365" i="2"/>
  <c r="P1305" i="2"/>
  <c r="N1305" i="2"/>
  <c r="O1305" i="2" s="1"/>
  <c r="P1269" i="2"/>
  <c r="N1269" i="2"/>
  <c r="O1269" i="2" s="1"/>
  <c r="P1221" i="2"/>
  <c r="N1221" i="2"/>
  <c r="O1221" i="2" s="1"/>
  <c r="P1173" i="2"/>
  <c r="N1173" i="2"/>
  <c r="O1173" i="2" s="1"/>
  <c r="P1125" i="2"/>
  <c r="N1125" i="2"/>
  <c r="O1125" i="2" s="1"/>
  <c r="P1077" i="2"/>
  <c r="N1077" i="2"/>
  <c r="O1077" i="2" s="1"/>
  <c r="N1029" i="2"/>
  <c r="O1029" i="2" s="1"/>
  <c r="P1029" i="2"/>
  <c r="P1017" i="2"/>
  <c r="N1017" i="2"/>
  <c r="O1017" i="2" s="1"/>
  <c r="N933" i="2"/>
  <c r="O933" i="2" s="1"/>
  <c r="P933" i="2"/>
  <c r="N765" i="2"/>
  <c r="O765" i="2" s="1"/>
  <c r="P765" i="2"/>
  <c r="P693" i="2"/>
  <c r="N693" i="2"/>
  <c r="O693" i="2" s="1"/>
  <c r="P645" i="2"/>
  <c r="N645" i="2"/>
  <c r="O645" i="2" s="1"/>
  <c r="N513" i="2"/>
  <c r="O513" i="2" s="1"/>
  <c r="P513" i="2"/>
  <c r="P345" i="2"/>
  <c r="N345" i="2"/>
  <c r="O345" i="2" s="1"/>
  <c r="P117" i="2"/>
  <c r="N117" i="2"/>
  <c r="O117" i="2" s="1"/>
  <c r="P9" i="2"/>
  <c r="N9" i="2"/>
  <c r="O9" i="2" s="1"/>
  <c r="P251" i="2"/>
  <c r="N251" i="2"/>
  <c r="O251" i="2" s="1"/>
  <c r="N668" i="2"/>
  <c r="O668" i="2" s="1"/>
  <c r="P1209" i="2"/>
  <c r="N1209" i="2"/>
  <c r="O1209" i="2" s="1"/>
  <c r="P1399" i="2"/>
  <c r="N1399" i="2"/>
  <c r="O1399" i="2" s="1"/>
  <c r="P835" i="2"/>
  <c r="N835" i="2"/>
  <c r="O835" i="2" s="1"/>
  <c r="P823" i="2"/>
  <c r="N823" i="2"/>
  <c r="O823" i="2" s="1"/>
  <c r="P1458" i="2"/>
  <c r="N1458" i="2"/>
  <c r="O1458" i="2" s="1"/>
  <c r="P1182" i="2"/>
  <c r="N1182" i="2"/>
  <c r="O1182" i="2" s="1"/>
  <c r="N1002" i="2"/>
  <c r="O1002" i="2" s="1"/>
  <c r="P1002" i="2"/>
  <c r="P822" i="2"/>
  <c r="N822" i="2"/>
  <c r="O822" i="2" s="1"/>
  <c r="N438" i="2"/>
  <c r="O438" i="2" s="1"/>
  <c r="P438" i="2"/>
  <c r="N131" i="2"/>
  <c r="O131" i="2" s="1"/>
  <c r="P131" i="2"/>
  <c r="N560" i="2"/>
  <c r="O560" i="2" s="1"/>
  <c r="P1410" i="2"/>
  <c r="P323" i="2"/>
  <c r="P1376" i="2"/>
  <c r="N1376" i="2"/>
  <c r="O1376" i="2" s="1"/>
  <c r="P1280" i="2"/>
  <c r="N1280" i="2"/>
  <c r="O1280" i="2" s="1"/>
  <c r="N848" i="2"/>
  <c r="O848" i="2" s="1"/>
  <c r="P848" i="2"/>
  <c r="P367" i="2"/>
  <c r="N367" i="2"/>
  <c r="O367" i="2" s="1"/>
  <c r="P271" i="2"/>
  <c r="N271" i="2"/>
  <c r="O271" i="2" s="1"/>
  <c r="P199" i="2"/>
  <c r="N199" i="2"/>
  <c r="O199" i="2" s="1"/>
  <c r="N607" i="2"/>
  <c r="O607" i="2" s="1"/>
  <c r="N31" i="2"/>
  <c r="O31" i="2" s="1"/>
  <c r="P321" i="2"/>
  <c r="P1372" i="2"/>
  <c r="N1372" i="2"/>
  <c r="O1372" i="2" s="1"/>
  <c r="N656" i="2"/>
  <c r="O656" i="2" s="1"/>
  <c r="P656" i="2"/>
  <c r="P80" i="2"/>
  <c r="N80" i="2"/>
  <c r="O80" i="2" s="1"/>
  <c r="P559" i="2"/>
  <c r="N559" i="2"/>
  <c r="O559" i="2" s="1"/>
  <c r="P1279" i="2"/>
  <c r="N1279" i="2"/>
  <c r="O1279" i="2" s="1"/>
  <c r="P511" i="2"/>
  <c r="N511" i="2"/>
  <c r="O511" i="2" s="1"/>
  <c r="P79" i="2"/>
  <c r="N79" i="2"/>
  <c r="O79" i="2" s="1"/>
  <c r="N133" i="2"/>
  <c r="O133" i="2" s="1"/>
  <c r="P133" i="2"/>
  <c r="P448" i="2"/>
  <c r="N448" i="2"/>
  <c r="O448" i="2" s="1"/>
  <c r="P160" i="2"/>
  <c r="N160" i="2"/>
  <c r="O160" i="2" s="1"/>
  <c r="P311" i="2"/>
  <c r="N1288" i="2"/>
  <c r="O1288" i="2" s="1"/>
  <c r="P1288" i="2"/>
  <c r="P616" i="2"/>
  <c r="N616" i="2"/>
  <c r="O616" i="2" s="1"/>
  <c r="P1348" i="2"/>
  <c r="N1247" i="2"/>
  <c r="O1247" i="2" s="1"/>
  <c r="N449" i="2"/>
  <c r="O449" i="2" s="1"/>
  <c r="P574" i="2"/>
  <c r="P215" i="2"/>
  <c r="N469" i="2"/>
  <c r="O469" i="2" s="1"/>
  <c r="P469" i="2"/>
  <c r="N707" i="2"/>
  <c r="O707" i="2" s="1"/>
  <c r="N95" i="2"/>
  <c r="O95" i="2" s="1"/>
  <c r="P1222" i="2"/>
  <c r="P1415" i="2"/>
  <c r="N1415" i="2"/>
  <c r="O1415" i="2" s="1"/>
  <c r="N1259" i="2"/>
  <c r="O1259" i="2" s="1"/>
  <c r="P1259" i="2"/>
  <c r="P1175" i="2"/>
  <c r="N1175" i="2"/>
  <c r="O1175" i="2" s="1"/>
  <c r="P1115" i="2"/>
  <c r="N1115" i="2"/>
  <c r="O1115" i="2" s="1"/>
  <c r="N1091" i="2"/>
  <c r="O1091" i="2" s="1"/>
  <c r="P1091" i="2"/>
  <c r="P1079" i="2"/>
  <c r="N1079" i="2"/>
  <c r="O1079" i="2" s="1"/>
  <c r="P1043" i="2"/>
  <c r="N1043" i="2"/>
  <c r="O1043" i="2" s="1"/>
  <c r="N1019" i="2"/>
  <c r="O1019" i="2" s="1"/>
  <c r="P1019" i="2"/>
  <c r="P959" i="2"/>
  <c r="N959" i="2"/>
  <c r="O959" i="2" s="1"/>
  <c r="N827" i="2"/>
  <c r="O827" i="2" s="1"/>
  <c r="P827" i="2"/>
  <c r="N431" i="2"/>
  <c r="O431" i="2" s="1"/>
  <c r="P431" i="2"/>
  <c r="N143" i="2"/>
  <c r="O143" i="2" s="1"/>
  <c r="P143" i="2"/>
  <c r="P267" i="2"/>
  <c r="N267" i="2"/>
  <c r="O267" i="2" s="1"/>
  <c r="N1211" i="2"/>
  <c r="O1211" i="2" s="1"/>
  <c r="N1009" i="2"/>
  <c r="O1009" i="2" s="1"/>
  <c r="N699" i="2"/>
  <c r="O699" i="2" s="1"/>
  <c r="P1306" i="2"/>
  <c r="N1306" i="2"/>
  <c r="O1306" i="2" s="1"/>
  <c r="P1210" i="2"/>
  <c r="N1210" i="2"/>
  <c r="O1210" i="2" s="1"/>
  <c r="P1174" i="2"/>
  <c r="N1174" i="2"/>
  <c r="O1174" i="2" s="1"/>
  <c r="P1078" i="2"/>
  <c r="N1078" i="2"/>
  <c r="O1078" i="2" s="1"/>
  <c r="N766" i="2"/>
  <c r="O766" i="2" s="1"/>
  <c r="P766" i="2"/>
  <c r="P682" i="2"/>
  <c r="N682" i="2"/>
  <c r="O682" i="2" s="1"/>
  <c r="P646" i="2"/>
  <c r="N646" i="2"/>
  <c r="O646" i="2" s="1"/>
  <c r="P502" i="2"/>
  <c r="N502" i="2"/>
  <c r="O502" i="2" s="1"/>
  <c r="N430" i="2"/>
  <c r="O430" i="2" s="1"/>
  <c r="P430" i="2"/>
  <c r="P310" i="2"/>
  <c r="N310" i="2"/>
  <c r="O310" i="2" s="1"/>
  <c r="P34" i="2"/>
  <c r="N34" i="2"/>
  <c r="O34" i="2" s="1"/>
  <c r="N694" i="2"/>
  <c r="O694" i="2" s="1"/>
  <c r="N335" i="2"/>
  <c r="O335" i="2" s="1"/>
  <c r="P1151" i="2"/>
  <c r="P743" i="2"/>
  <c r="N492" i="2"/>
  <c r="O492" i="2" s="1"/>
  <c r="P829" i="2"/>
  <c r="P685" i="2"/>
  <c r="N1493" i="2"/>
  <c r="O1493" i="2" s="1"/>
  <c r="N1176" i="2"/>
  <c r="O1176" i="2" s="1"/>
  <c r="N941" i="2"/>
  <c r="O941" i="2" s="1"/>
  <c r="N807" i="2"/>
  <c r="O807" i="2" s="1"/>
  <c r="N144" i="2"/>
  <c r="O144" i="2" s="1"/>
  <c r="P662" i="2"/>
  <c r="P240" i="2"/>
  <c r="N1488" i="2"/>
  <c r="O1488" i="2" s="1"/>
  <c r="N1273" i="2"/>
  <c r="O1273" i="2" s="1"/>
  <c r="N937" i="2"/>
  <c r="O937" i="2" s="1"/>
  <c r="N434" i="2"/>
  <c r="O434" i="2" s="1"/>
  <c r="P1476" i="2"/>
  <c r="P793" i="2"/>
  <c r="N1465" i="2"/>
  <c r="O1465" i="2" s="1"/>
  <c r="N1373" i="2"/>
  <c r="O1373" i="2" s="1"/>
  <c r="N936" i="2"/>
  <c r="O936" i="2" s="1"/>
  <c r="N617" i="2"/>
  <c r="O617" i="2" s="1"/>
  <c r="N432" i="2"/>
  <c r="O432" i="2" s="1"/>
  <c r="N135" i="2"/>
  <c r="O135" i="2" s="1"/>
  <c r="P636" i="2"/>
  <c r="P409" i="2"/>
  <c r="N1464" i="2"/>
  <c r="O1464" i="2" s="1"/>
  <c r="N1248" i="2"/>
  <c r="O1248" i="2" s="1"/>
  <c r="N924" i="2"/>
  <c r="O924" i="2" s="1"/>
  <c r="N384" i="2"/>
  <c r="O384" i="2" s="1"/>
  <c r="P1238" i="2"/>
  <c r="P998" i="2"/>
  <c r="P600" i="2"/>
  <c r="P408" i="2"/>
  <c r="P216" i="2"/>
  <c r="P1386" i="2"/>
  <c r="N1386" i="2"/>
  <c r="O1386" i="2" s="1"/>
  <c r="P1362" i="2"/>
  <c r="N1362" i="2"/>
  <c r="O1362" i="2" s="1"/>
  <c r="P1338" i="2"/>
  <c r="N1338" i="2"/>
  <c r="O1338" i="2" s="1"/>
  <c r="P1290" i="2"/>
  <c r="N1290" i="2"/>
  <c r="O1290" i="2" s="1"/>
  <c r="N1242" i="2"/>
  <c r="O1242" i="2" s="1"/>
  <c r="P1242" i="2"/>
  <c r="P1086" i="2"/>
  <c r="N1086" i="2"/>
  <c r="O1086" i="2" s="1"/>
  <c r="P1038" i="2"/>
  <c r="N1038" i="2"/>
  <c r="O1038" i="2" s="1"/>
  <c r="N990" i="2"/>
  <c r="O990" i="2" s="1"/>
  <c r="P990" i="2"/>
  <c r="P882" i="2"/>
  <c r="N882" i="2"/>
  <c r="O882" i="2" s="1"/>
  <c r="P858" i="2"/>
  <c r="N858" i="2"/>
  <c r="O858" i="2" s="1"/>
  <c r="N750" i="2"/>
  <c r="O750" i="2" s="1"/>
  <c r="P750" i="2"/>
  <c r="P702" i="2"/>
  <c r="N702" i="2"/>
  <c r="O702" i="2" s="1"/>
  <c r="N498" i="2"/>
  <c r="O498" i="2" s="1"/>
  <c r="P498" i="2"/>
  <c r="N426" i="2"/>
  <c r="O426" i="2" s="1"/>
  <c r="P426" i="2"/>
  <c r="N402" i="2"/>
  <c r="O402" i="2" s="1"/>
  <c r="P402" i="2"/>
  <c r="P270" i="2"/>
  <c r="N270" i="2"/>
  <c r="O270" i="2" s="1"/>
  <c r="N42" i="2"/>
  <c r="O42" i="2" s="1"/>
  <c r="P42" i="2"/>
  <c r="P1339" i="2"/>
  <c r="N1339" i="2"/>
  <c r="O1339" i="2" s="1"/>
  <c r="P1291" i="2"/>
  <c r="N1291" i="2"/>
  <c r="O1291" i="2" s="1"/>
  <c r="N1243" i="2"/>
  <c r="O1243" i="2" s="1"/>
  <c r="P1243" i="2"/>
  <c r="P1039" i="2"/>
  <c r="N1039" i="2"/>
  <c r="O1039" i="2" s="1"/>
  <c r="P931" i="2"/>
  <c r="N931" i="2"/>
  <c r="O931" i="2" s="1"/>
  <c r="P883" i="2"/>
  <c r="N883" i="2"/>
  <c r="O883" i="2" s="1"/>
  <c r="N751" i="2"/>
  <c r="O751" i="2" s="1"/>
  <c r="P751" i="2"/>
  <c r="P703" i="2"/>
  <c r="N703" i="2"/>
  <c r="O703" i="2" s="1"/>
  <c r="P1424" i="2"/>
  <c r="N1424" i="2"/>
  <c r="O1424" i="2" s="1"/>
  <c r="P1016" i="2"/>
  <c r="N1016" i="2"/>
  <c r="O1016" i="2" s="1"/>
  <c r="N1490" i="2"/>
  <c r="O1490" i="2" s="1"/>
  <c r="P1490" i="2"/>
  <c r="P1454" i="2"/>
  <c r="N1454" i="2"/>
  <c r="O1454" i="2" s="1"/>
  <c r="N1178" i="2"/>
  <c r="O1178" i="2" s="1"/>
  <c r="P1178" i="2"/>
  <c r="N1130" i="2"/>
  <c r="O1130" i="2" s="1"/>
  <c r="P1130" i="2"/>
  <c r="P938" i="2"/>
  <c r="N938" i="2"/>
  <c r="O938" i="2" s="1"/>
  <c r="N674" i="2"/>
  <c r="O674" i="2" s="1"/>
  <c r="P674" i="2"/>
  <c r="P626" i="2"/>
  <c r="N626" i="2"/>
  <c r="O626" i="2" s="1"/>
  <c r="N602" i="2"/>
  <c r="O602" i="2" s="1"/>
  <c r="P602" i="2"/>
  <c r="P554" i="2"/>
  <c r="N554" i="2"/>
  <c r="O554" i="2" s="1"/>
  <c r="P1064" i="2"/>
  <c r="N1064" i="2"/>
  <c r="O1064" i="2" s="1"/>
  <c r="N1448" i="2"/>
  <c r="O1448" i="2" s="1"/>
  <c r="P1448" i="2"/>
  <c r="P783" i="2"/>
  <c r="N783" i="2"/>
  <c r="O783" i="2" s="1"/>
  <c r="P355" i="2"/>
  <c r="N355" i="2"/>
  <c r="O355" i="2" s="1"/>
  <c r="P90" i="2"/>
  <c r="N90" i="2"/>
  <c r="O90" i="2" s="1"/>
  <c r="P290" i="2"/>
  <c r="N290" i="2"/>
  <c r="O290" i="2" s="1"/>
  <c r="P1108" i="2"/>
  <c r="N1108" i="2"/>
  <c r="O1108" i="2" s="1"/>
  <c r="P833" i="2"/>
  <c r="N833" i="2"/>
  <c r="O833" i="2" s="1"/>
  <c r="P525" i="2"/>
  <c r="N525" i="2"/>
  <c r="O525" i="2" s="1"/>
  <c r="P1388" i="2"/>
  <c r="N1388" i="2"/>
  <c r="O1388" i="2" s="1"/>
  <c r="P1316" i="2"/>
  <c r="N1316" i="2"/>
  <c r="O1316" i="2" s="1"/>
  <c r="P1244" i="2"/>
  <c r="N1244" i="2"/>
  <c r="O1244" i="2" s="1"/>
  <c r="P1184" i="2"/>
  <c r="N1184" i="2"/>
  <c r="O1184" i="2" s="1"/>
  <c r="N1100" i="2"/>
  <c r="O1100" i="2" s="1"/>
  <c r="P1100" i="2"/>
  <c r="P1028" i="2"/>
  <c r="N1028" i="2"/>
  <c r="O1028" i="2" s="1"/>
  <c r="P956" i="2"/>
  <c r="N956" i="2"/>
  <c r="O956" i="2" s="1"/>
  <c r="P836" i="2"/>
  <c r="N836" i="2"/>
  <c r="O836" i="2" s="1"/>
  <c r="N740" i="2"/>
  <c r="O740" i="2" s="1"/>
  <c r="P740" i="2"/>
  <c r="P548" i="2"/>
  <c r="N548" i="2"/>
  <c r="O548" i="2" s="1"/>
  <c r="N320" i="2"/>
  <c r="O320" i="2" s="1"/>
  <c r="P320" i="2"/>
  <c r="P128" i="2"/>
  <c r="N128" i="2"/>
  <c r="O128" i="2" s="1"/>
  <c r="P44" i="2"/>
  <c r="N44" i="2"/>
  <c r="O44" i="2" s="1"/>
  <c r="P1154" i="2"/>
  <c r="N1154" i="2"/>
  <c r="O1154" i="2" s="1"/>
  <c r="P650" i="2"/>
  <c r="N650" i="2"/>
  <c r="O650" i="2" s="1"/>
  <c r="P21" i="2"/>
  <c r="N21" i="2"/>
  <c r="O21" i="2" s="1"/>
  <c r="P1459" i="2"/>
  <c r="N1459" i="2"/>
  <c r="O1459" i="2" s="1"/>
  <c r="P1387" i="2"/>
  <c r="N1387" i="2"/>
  <c r="O1387" i="2" s="1"/>
  <c r="N1303" i="2"/>
  <c r="O1303" i="2" s="1"/>
  <c r="P1303" i="2"/>
  <c r="P1183" i="2"/>
  <c r="N1183" i="2"/>
  <c r="O1183" i="2" s="1"/>
  <c r="P967" i="2"/>
  <c r="N967" i="2"/>
  <c r="O967" i="2" s="1"/>
  <c r="P895" i="2"/>
  <c r="N895" i="2"/>
  <c r="O895" i="2" s="1"/>
  <c r="P739" i="2"/>
  <c r="N739" i="2"/>
  <c r="O739" i="2" s="1"/>
  <c r="P667" i="2"/>
  <c r="N667" i="2"/>
  <c r="O667" i="2" s="1"/>
  <c r="P523" i="2"/>
  <c r="N523" i="2"/>
  <c r="O523" i="2" s="1"/>
  <c r="P331" i="2"/>
  <c r="N331" i="2"/>
  <c r="O331" i="2" s="1"/>
  <c r="N187" i="2"/>
  <c r="O187" i="2" s="1"/>
  <c r="P187" i="2"/>
  <c r="P1153" i="2"/>
  <c r="N1153" i="2"/>
  <c r="O1153" i="2" s="1"/>
  <c r="P831" i="2"/>
  <c r="N831" i="2"/>
  <c r="O831" i="2" s="1"/>
  <c r="P20" i="2"/>
  <c r="N20" i="2"/>
  <c r="O20" i="2" s="1"/>
  <c r="P1434" i="2"/>
  <c r="N1434" i="2"/>
  <c r="O1434" i="2" s="1"/>
  <c r="P1350" i="2"/>
  <c r="N1350" i="2"/>
  <c r="O1350" i="2" s="1"/>
  <c r="P1170" i="2"/>
  <c r="N1170" i="2"/>
  <c r="O1170" i="2" s="1"/>
  <c r="P1098" i="2"/>
  <c r="N1098" i="2"/>
  <c r="O1098" i="2" s="1"/>
  <c r="P1062" i="2"/>
  <c r="N1062" i="2"/>
  <c r="O1062" i="2" s="1"/>
  <c r="P966" i="2"/>
  <c r="N966" i="2"/>
  <c r="O966" i="2" s="1"/>
  <c r="P894" i="2"/>
  <c r="N894" i="2"/>
  <c r="O894" i="2" s="1"/>
  <c r="P786" i="2"/>
  <c r="N786" i="2"/>
  <c r="O786" i="2" s="1"/>
  <c r="N714" i="2"/>
  <c r="O714" i="2" s="1"/>
  <c r="P714" i="2"/>
  <c r="N582" i="2"/>
  <c r="O582" i="2" s="1"/>
  <c r="P582" i="2"/>
  <c r="P486" i="2"/>
  <c r="N486" i="2"/>
  <c r="O486" i="2" s="1"/>
  <c r="N390" i="2"/>
  <c r="O390" i="2" s="1"/>
  <c r="P390" i="2"/>
  <c r="P306" i="2"/>
  <c r="N306" i="2"/>
  <c r="O306" i="2" s="1"/>
  <c r="P234" i="2"/>
  <c r="N234" i="2"/>
  <c r="O234" i="2" s="1"/>
  <c r="N162" i="2"/>
  <c r="O162" i="2" s="1"/>
  <c r="P162" i="2"/>
  <c r="P18" i="2"/>
  <c r="N18" i="2"/>
  <c r="O18" i="2" s="1"/>
  <c r="P1202" i="2"/>
  <c r="N1202" i="2"/>
  <c r="O1202" i="2" s="1"/>
  <c r="P309" i="2"/>
  <c r="N309" i="2"/>
  <c r="O309" i="2" s="1"/>
  <c r="P1481" i="2"/>
  <c r="N1481" i="2"/>
  <c r="O1481" i="2" s="1"/>
  <c r="P1457" i="2"/>
  <c r="N1457" i="2"/>
  <c r="O1457" i="2" s="1"/>
  <c r="P1217" i="2"/>
  <c r="N1217" i="2"/>
  <c r="O1217" i="2" s="1"/>
  <c r="P1193" i="2"/>
  <c r="N1193" i="2"/>
  <c r="O1193" i="2" s="1"/>
  <c r="P1169" i="2"/>
  <c r="N1169" i="2"/>
  <c r="O1169" i="2" s="1"/>
  <c r="N1145" i="2"/>
  <c r="O1145" i="2" s="1"/>
  <c r="P1145" i="2"/>
  <c r="P1121" i="2"/>
  <c r="N1121" i="2"/>
  <c r="O1121" i="2" s="1"/>
  <c r="P1025" i="2"/>
  <c r="N1025" i="2"/>
  <c r="O1025" i="2" s="1"/>
  <c r="P953" i="2"/>
  <c r="N953" i="2"/>
  <c r="O953" i="2" s="1"/>
  <c r="P929" i="2"/>
  <c r="N929" i="2"/>
  <c r="O929" i="2" s="1"/>
  <c r="P809" i="2"/>
  <c r="N809" i="2"/>
  <c r="O809" i="2" s="1"/>
  <c r="P785" i="2"/>
  <c r="N785" i="2"/>
  <c r="O785" i="2" s="1"/>
  <c r="P761" i="2"/>
  <c r="N761" i="2"/>
  <c r="O761" i="2" s="1"/>
  <c r="P737" i="2"/>
  <c r="N737" i="2"/>
  <c r="O737" i="2" s="1"/>
  <c r="P713" i="2"/>
  <c r="N713" i="2"/>
  <c r="O713" i="2" s="1"/>
  <c r="P641" i="2"/>
  <c r="N641" i="2"/>
  <c r="O641" i="2" s="1"/>
  <c r="P593" i="2"/>
  <c r="N593" i="2"/>
  <c r="O593" i="2" s="1"/>
  <c r="P569" i="2"/>
  <c r="N569" i="2"/>
  <c r="O569" i="2" s="1"/>
  <c r="P545" i="2"/>
  <c r="N545" i="2"/>
  <c r="O545" i="2" s="1"/>
  <c r="P521" i="2"/>
  <c r="N521" i="2"/>
  <c r="O521" i="2" s="1"/>
  <c r="P341" i="2"/>
  <c r="N341" i="2"/>
  <c r="O341" i="2" s="1"/>
  <c r="P305" i="2"/>
  <c r="N305" i="2"/>
  <c r="O305" i="2" s="1"/>
  <c r="P233" i="2"/>
  <c r="N233" i="2"/>
  <c r="O233" i="2" s="1"/>
  <c r="P197" i="2"/>
  <c r="N197" i="2"/>
  <c r="O197" i="2" s="1"/>
  <c r="P137" i="2"/>
  <c r="N137" i="2"/>
  <c r="O137" i="2" s="1"/>
  <c r="P125" i="2"/>
  <c r="N125" i="2"/>
  <c r="O125" i="2" s="1"/>
  <c r="P5" i="2"/>
  <c r="N5" i="2"/>
  <c r="O5" i="2" s="1"/>
  <c r="P1468" i="2"/>
  <c r="N1468" i="2"/>
  <c r="O1468" i="2" s="1"/>
  <c r="P1425" i="2"/>
  <c r="N1425" i="2"/>
  <c r="O1425" i="2" s="1"/>
  <c r="N1385" i="2"/>
  <c r="O1385" i="2" s="1"/>
  <c r="P1385" i="2"/>
  <c r="N1201" i="2"/>
  <c r="O1201" i="2" s="1"/>
  <c r="P1201" i="2"/>
  <c r="P961" i="2"/>
  <c r="N961" i="2"/>
  <c r="O961" i="2" s="1"/>
  <c r="P603" i="2"/>
  <c r="N603" i="2"/>
  <c r="O603" i="2" s="1"/>
  <c r="P401" i="2"/>
  <c r="N401" i="2"/>
  <c r="O401" i="2" s="1"/>
  <c r="P247" i="2"/>
  <c r="N247" i="2"/>
  <c r="O247" i="2" s="1"/>
  <c r="P71" i="2"/>
  <c r="N71" i="2"/>
  <c r="O71" i="2" s="1"/>
  <c r="N1429" i="2"/>
  <c r="O1429" i="2" s="1"/>
  <c r="N1340" i="2"/>
  <c r="O1340" i="2" s="1"/>
  <c r="N978" i="2"/>
  <c r="O978" i="2" s="1"/>
  <c r="N902" i="2"/>
  <c r="O902" i="2" s="1"/>
  <c r="N788" i="2"/>
  <c r="O788" i="2" s="1"/>
  <c r="P918" i="2"/>
  <c r="P529" i="2"/>
  <c r="N529" i="2"/>
  <c r="O529" i="2" s="1"/>
  <c r="P1359" i="2"/>
  <c r="N1359" i="2"/>
  <c r="O1359" i="2" s="1"/>
  <c r="P1155" i="2"/>
  <c r="N1155" i="2"/>
  <c r="O1155" i="2" s="1"/>
  <c r="P776" i="2"/>
  <c r="N776" i="2"/>
  <c r="O776" i="2" s="1"/>
  <c r="P353" i="2"/>
  <c r="N353" i="2"/>
  <c r="O353" i="2" s="1"/>
  <c r="P1496" i="2"/>
  <c r="N1496" i="2"/>
  <c r="O1496" i="2" s="1"/>
  <c r="P1352" i="2"/>
  <c r="N1352" i="2"/>
  <c r="O1352" i="2" s="1"/>
  <c r="P1196" i="2"/>
  <c r="N1196" i="2"/>
  <c r="O1196" i="2" s="1"/>
  <c r="P1136" i="2"/>
  <c r="N1136" i="2"/>
  <c r="O1136" i="2" s="1"/>
  <c r="P1052" i="2"/>
  <c r="N1052" i="2"/>
  <c r="O1052" i="2" s="1"/>
  <c r="P968" i="2"/>
  <c r="N968" i="2"/>
  <c r="O968" i="2" s="1"/>
  <c r="P644" i="2"/>
  <c r="N644" i="2"/>
  <c r="O644" i="2" s="1"/>
  <c r="P272" i="2"/>
  <c r="N272" i="2"/>
  <c r="O272" i="2" s="1"/>
  <c r="P176" i="2"/>
  <c r="N176" i="2"/>
  <c r="O176" i="2" s="1"/>
  <c r="P1266" i="2"/>
  <c r="N1266" i="2"/>
  <c r="O1266" i="2" s="1"/>
  <c r="N313" i="2"/>
  <c r="O313" i="2" s="1"/>
  <c r="P313" i="2"/>
  <c r="P1483" i="2"/>
  <c r="N1483" i="2"/>
  <c r="O1483" i="2" s="1"/>
  <c r="P1327" i="2"/>
  <c r="N1327" i="2"/>
  <c r="O1327" i="2" s="1"/>
  <c r="P1231" i="2"/>
  <c r="N1231" i="2"/>
  <c r="O1231" i="2" s="1"/>
  <c r="P1063" i="2"/>
  <c r="N1063" i="2"/>
  <c r="O1063" i="2" s="1"/>
  <c r="P859" i="2"/>
  <c r="N859" i="2"/>
  <c r="O859" i="2" s="1"/>
  <c r="P787" i="2"/>
  <c r="N787" i="2"/>
  <c r="O787" i="2" s="1"/>
  <c r="P715" i="2"/>
  <c r="N715" i="2"/>
  <c r="O715" i="2" s="1"/>
  <c r="P631" i="2"/>
  <c r="N631" i="2"/>
  <c r="O631" i="2" s="1"/>
  <c r="N487" i="2"/>
  <c r="O487" i="2" s="1"/>
  <c r="P487" i="2"/>
  <c r="N391" i="2"/>
  <c r="O391" i="2" s="1"/>
  <c r="P391" i="2"/>
  <c r="P259" i="2"/>
  <c r="N259" i="2"/>
  <c r="O259" i="2" s="1"/>
  <c r="N1433" i="2"/>
  <c r="O1433" i="2" s="1"/>
  <c r="P1433" i="2"/>
  <c r="P963" i="2"/>
  <c r="N963" i="2"/>
  <c r="O963" i="2" s="1"/>
  <c r="P474" i="2"/>
  <c r="N474" i="2"/>
  <c r="O474" i="2" s="1"/>
  <c r="P1398" i="2"/>
  <c r="N1398" i="2"/>
  <c r="O1398" i="2" s="1"/>
  <c r="P1254" i="2"/>
  <c r="N1254" i="2"/>
  <c r="O1254" i="2" s="1"/>
  <c r="N1194" i="2"/>
  <c r="O1194" i="2" s="1"/>
  <c r="P1194" i="2"/>
  <c r="P1134" i="2"/>
  <c r="N1134" i="2"/>
  <c r="O1134" i="2" s="1"/>
  <c r="N1014" i="2"/>
  <c r="O1014" i="2" s="1"/>
  <c r="P1014" i="2"/>
  <c r="P942" i="2"/>
  <c r="N942" i="2"/>
  <c r="O942" i="2" s="1"/>
  <c r="N798" i="2"/>
  <c r="O798" i="2" s="1"/>
  <c r="P798" i="2"/>
  <c r="N726" i="2"/>
  <c r="O726" i="2" s="1"/>
  <c r="P726" i="2"/>
  <c r="P630" i="2"/>
  <c r="N630" i="2"/>
  <c r="O630" i="2" s="1"/>
  <c r="P414" i="2"/>
  <c r="N414" i="2"/>
  <c r="O414" i="2" s="1"/>
  <c r="N330" i="2"/>
  <c r="O330" i="2" s="1"/>
  <c r="P330" i="2"/>
  <c r="P210" i="2"/>
  <c r="N210" i="2"/>
  <c r="O210" i="2" s="1"/>
  <c r="N138" i="2"/>
  <c r="O138" i="2" s="1"/>
  <c r="P138" i="2"/>
  <c r="N30" i="2"/>
  <c r="O30" i="2" s="1"/>
  <c r="P30" i="2"/>
  <c r="P962" i="2"/>
  <c r="N962" i="2"/>
  <c r="O962" i="2" s="1"/>
  <c r="N378" i="2"/>
  <c r="O378" i="2" s="1"/>
  <c r="N4" i="2"/>
  <c r="O4" i="2" s="1"/>
  <c r="N1456" i="2"/>
  <c r="O1456" i="2" s="1"/>
  <c r="P1456" i="2"/>
  <c r="P1420" i="2"/>
  <c r="N1420" i="2"/>
  <c r="O1420" i="2" s="1"/>
  <c r="P1396" i="2"/>
  <c r="N1396" i="2"/>
  <c r="O1396" i="2" s="1"/>
  <c r="P1324" i="2"/>
  <c r="N1324" i="2"/>
  <c r="O1324" i="2" s="1"/>
  <c r="N1300" i="2"/>
  <c r="O1300" i="2" s="1"/>
  <c r="P1300" i="2"/>
  <c r="N1276" i="2"/>
  <c r="O1276" i="2" s="1"/>
  <c r="P1276" i="2"/>
  <c r="N1252" i="2"/>
  <c r="O1252" i="2" s="1"/>
  <c r="P1252" i="2"/>
  <c r="N1228" i="2"/>
  <c r="O1228" i="2" s="1"/>
  <c r="P1228" i="2"/>
  <c r="P1216" i="2"/>
  <c r="N1216" i="2"/>
  <c r="O1216" i="2" s="1"/>
  <c r="P1204" i="2"/>
  <c r="N1204" i="2"/>
  <c r="O1204" i="2" s="1"/>
  <c r="P1180" i="2"/>
  <c r="N1180" i="2"/>
  <c r="O1180" i="2" s="1"/>
  <c r="P1168" i="2"/>
  <c r="N1168" i="2"/>
  <c r="O1168" i="2" s="1"/>
  <c r="P1156" i="2"/>
  <c r="N1156" i="2"/>
  <c r="O1156" i="2" s="1"/>
  <c r="P1072" i="2"/>
  <c r="N1072" i="2"/>
  <c r="O1072" i="2" s="1"/>
  <c r="P1024" i="2"/>
  <c r="N1024" i="2"/>
  <c r="O1024" i="2" s="1"/>
  <c r="P964" i="2"/>
  <c r="N964" i="2"/>
  <c r="O964" i="2" s="1"/>
  <c r="P928" i="2"/>
  <c r="N928" i="2"/>
  <c r="O928" i="2" s="1"/>
  <c r="P916" i="2"/>
  <c r="N916" i="2"/>
  <c r="O916" i="2" s="1"/>
  <c r="P820" i="2"/>
  <c r="N820" i="2"/>
  <c r="O820" i="2" s="1"/>
  <c r="P736" i="2"/>
  <c r="N736" i="2"/>
  <c r="O736" i="2" s="1"/>
  <c r="P688" i="2"/>
  <c r="N688" i="2"/>
  <c r="O688" i="2" s="1"/>
  <c r="P628" i="2"/>
  <c r="N628" i="2"/>
  <c r="O628" i="2" s="1"/>
  <c r="P592" i="2"/>
  <c r="N592" i="2"/>
  <c r="O592" i="2" s="1"/>
  <c r="P580" i="2"/>
  <c r="N580" i="2"/>
  <c r="O580" i="2" s="1"/>
  <c r="P544" i="2"/>
  <c r="N544" i="2"/>
  <c r="O544" i="2" s="1"/>
  <c r="P532" i="2"/>
  <c r="N532" i="2"/>
  <c r="O532" i="2" s="1"/>
  <c r="P484" i="2"/>
  <c r="N484" i="2"/>
  <c r="O484" i="2" s="1"/>
  <c r="P388" i="2"/>
  <c r="N388" i="2"/>
  <c r="O388" i="2" s="1"/>
  <c r="P340" i="2"/>
  <c r="N340" i="2"/>
  <c r="O340" i="2" s="1"/>
  <c r="P304" i="2"/>
  <c r="N304" i="2"/>
  <c r="O304" i="2" s="1"/>
  <c r="P280" i="2"/>
  <c r="N280" i="2"/>
  <c r="O280" i="2" s="1"/>
  <c r="P256" i="2"/>
  <c r="N256" i="2"/>
  <c r="O256" i="2" s="1"/>
  <c r="P232" i="2"/>
  <c r="N232" i="2"/>
  <c r="O232" i="2" s="1"/>
  <c r="P136" i="2"/>
  <c r="N136" i="2"/>
  <c r="O136" i="2" s="1"/>
  <c r="P1381" i="2"/>
  <c r="N1381" i="2"/>
  <c r="O1381" i="2" s="1"/>
  <c r="P1293" i="2"/>
  <c r="N1293" i="2"/>
  <c r="O1293" i="2" s="1"/>
  <c r="P1249" i="2"/>
  <c r="N1249" i="2"/>
  <c r="O1249" i="2" s="1"/>
  <c r="P1197" i="2"/>
  <c r="N1197" i="2"/>
  <c r="O1197" i="2" s="1"/>
  <c r="P752" i="2"/>
  <c r="N752" i="2"/>
  <c r="O752" i="2" s="1"/>
  <c r="P400" i="2"/>
  <c r="N400" i="2"/>
  <c r="O400" i="2" s="1"/>
  <c r="P209" i="2"/>
  <c r="N209" i="2"/>
  <c r="O209" i="2" s="1"/>
  <c r="N70" i="2"/>
  <c r="O70" i="2" s="1"/>
  <c r="P70" i="2"/>
  <c r="N1241" i="2"/>
  <c r="O1241" i="2" s="1"/>
  <c r="N977" i="2"/>
  <c r="O977" i="2" s="1"/>
  <c r="N784" i="2"/>
  <c r="O784" i="2" s="1"/>
  <c r="N558" i="2"/>
  <c r="O558" i="2" s="1"/>
  <c r="P354" i="2"/>
  <c r="P73" i="2"/>
  <c r="P1315" i="2"/>
  <c r="N1315" i="2"/>
  <c r="O1315" i="2" s="1"/>
  <c r="P728" i="2"/>
  <c r="N728" i="2"/>
  <c r="O728" i="2" s="1"/>
  <c r="P224" i="2"/>
  <c r="N224" i="2"/>
  <c r="O224" i="2" s="1"/>
  <c r="P1226" i="2"/>
  <c r="P651" i="2"/>
  <c r="N651" i="2"/>
  <c r="O651" i="2" s="1"/>
  <c r="P1268" i="2"/>
  <c r="N1268" i="2"/>
  <c r="O1268" i="2" s="1"/>
  <c r="P1208" i="2"/>
  <c r="N1208" i="2"/>
  <c r="O1208" i="2" s="1"/>
  <c r="P1124" i="2"/>
  <c r="N1124" i="2"/>
  <c r="O1124" i="2" s="1"/>
  <c r="P1040" i="2"/>
  <c r="N1040" i="2"/>
  <c r="O1040" i="2" s="1"/>
  <c r="N932" i="2"/>
  <c r="O932" i="2" s="1"/>
  <c r="P932" i="2"/>
  <c r="P860" i="2"/>
  <c r="N860" i="2"/>
  <c r="O860" i="2" s="1"/>
  <c r="N500" i="2"/>
  <c r="O500" i="2" s="1"/>
  <c r="P500" i="2"/>
  <c r="N1313" i="2"/>
  <c r="O1313" i="2" s="1"/>
  <c r="P1313" i="2"/>
  <c r="N573" i="2"/>
  <c r="O573" i="2" s="1"/>
  <c r="P573" i="2"/>
  <c r="P1423" i="2"/>
  <c r="N1423" i="2"/>
  <c r="O1423" i="2" s="1"/>
  <c r="P1351" i="2"/>
  <c r="N1351" i="2"/>
  <c r="O1351" i="2" s="1"/>
  <c r="P1207" i="2"/>
  <c r="N1207" i="2"/>
  <c r="O1207" i="2" s="1"/>
  <c r="P1123" i="2"/>
  <c r="N1123" i="2"/>
  <c r="O1123" i="2" s="1"/>
  <c r="N1051" i="2"/>
  <c r="O1051" i="2" s="1"/>
  <c r="P1051" i="2"/>
  <c r="N991" i="2"/>
  <c r="O991" i="2" s="1"/>
  <c r="P991" i="2"/>
  <c r="P943" i="2"/>
  <c r="N943" i="2"/>
  <c r="O943" i="2" s="1"/>
  <c r="P799" i="2"/>
  <c r="N799" i="2"/>
  <c r="O799" i="2" s="1"/>
  <c r="N727" i="2"/>
  <c r="O727" i="2" s="1"/>
  <c r="P727" i="2"/>
  <c r="N619" i="2"/>
  <c r="O619" i="2" s="1"/>
  <c r="P619" i="2"/>
  <c r="P475" i="2"/>
  <c r="N475" i="2"/>
  <c r="O475" i="2" s="1"/>
  <c r="N1470" i="2"/>
  <c r="O1470" i="2" s="1"/>
  <c r="P1470" i="2"/>
  <c r="N1106" i="2"/>
  <c r="O1106" i="2" s="1"/>
  <c r="P1106" i="2"/>
  <c r="P676" i="2"/>
  <c r="N676" i="2"/>
  <c r="O676" i="2" s="1"/>
  <c r="P184" i="2"/>
  <c r="N184" i="2"/>
  <c r="O184" i="2" s="1"/>
  <c r="N1446" i="2"/>
  <c r="O1446" i="2" s="1"/>
  <c r="P1446" i="2"/>
  <c r="N1302" i="2"/>
  <c r="O1302" i="2" s="1"/>
  <c r="P1302" i="2"/>
  <c r="P1218" i="2"/>
  <c r="N1218" i="2"/>
  <c r="O1218" i="2" s="1"/>
  <c r="P930" i="2"/>
  <c r="N930" i="2"/>
  <c r="O930" i="2" s="1"/>
  <c r="P810" i="2"/>
  <c r="N810" i="2"/>
  <c r="O810" i="2" s="1"/>
  <c r="P594" i="2"/>
  <c r="N594" i="2"/>
  <c r="O594" i="2" s="1"/>
  <c r="P522" i="2"/>
  <c r="N522" i="2"/>
  <c r="O522" i="2" s="1"/>
  <c r="N342" i="2"/>
  <c r="O342" i="2" s="1"/>
  <c r="P342" i="2"/>
  <c r="P258" i="2"/>
  <c r="N258" i="2"/>
  <c r="O258" i="2" s="1"/>
  <c r="N186" i="2"/>
  <c r="O186" i="2" s="1"/>
  <c r="P186" i="2"/>
  <c r="N102" i="2"/>
  <c r="O102" i="2" s="1"/>
  <c r="P102" i="2"/>
  <c r="N6" i="2"/>
  <c r="O6" i="2" s="1"/>
  <c r="P6" i="2"/>
  <c r="P1011" i="2"/>
  <c r="N1011" i="2"/>
  <c r="O1011" i="2" s="1"/>
  <c r="N121" i="2"/>
  <c r="O121" i="2" s="1"/>
  <c r="P121" i="2"/>
  <c r="P1455" i="2"/>
  <c r="N1455" i="2"/>
  <c r="O1455" i="2" s="1"/>
  <c r="P1443" i="2"/>
  <c r="N1443" i="2"/>
  <c r="O1443" i="2" s="1"/>
  <c r="P1371" i="2"/>
  <c r="N1371" i="2"/>
  <c r="O1371" i="2" s="1"/>
  <c r="P1323" i="2"/>
  <c r="N1323" i="2"/>
  <c r="O1323" i="2" s="1"/>
  <c r="N1299" i="2"/>
  <c r="O1299" i="2" s="1"/>
  <c r="P1299" i="2"/>
  <c r="P1275" i="2"/>
  <c r="N1275" i="2"/>
  <c r="O1275" i="2" s="1"/>
  <c r="P1263" i="2"/>
  <c r="N1263" i="2"/>
  <c r="O1263" i="2" s="1"/>
  <c r="P1251" i="2"/>
  <c r="N1251" i="2"/>
  <c r="O1251" i="2" s="1"/>
  <c r="P1227" i="2"/>
  <c r="N1227" i="2"/>
  <c r="O1227" i="2" s="1"/>
  <c r="P1215" i="2"/>
  <c r="N1215" i="2"/>
  <c r="O1215" i="2" s="1"/>
  <c r="P1203" i="2"/>
  <c r="N1203" i="2"/>
  <c r="O1203" i="2" s="1"/>
  <c r="P1119" i="2"/>
  <c r="N1119" i="2"/>
  <c r="O1119" i="2" s="1"/>
  <c r="P1071" i="2"/>
  <c r="N1071" i="2"/>
  <c r="O1071" i="2" s="1"/>
  <c r="P1023" i="2"/>
  <c r="N1023" i="2"/>
  <c r="O1023" i="2" s="1"/>
  <c r="P975" i="2"/>
  <c r="N975" i="2"/>
  <c r="O975" i="2" s="1"/>
  <c r="P939" i="2"/>
  <c r="N939" i="2"/>
  <c r="O939" i="2" s="1"/>
  <c r="P927" i="2"/>
  <c r="N927" i="2"/>
  <c r="O927" i="2" s="1"/>
  <c r="P915" i="2"/>
  <c r="N915" i="2"/>
  <c r="O915" i="2" s="1"/>
  <c r="P891" i="2"/>
  <c r="N891" i="2"/>
  <c r="O891" i="2" s="1"/>
  <c r="P867" i="2"/>
  <c r="N867" i="2"/>
  <c r="O867" i="2" s="1"/>
  <c r="P819" i="2"/>
  <c r="N819" i="2"/>
  <c r="O819" i="2" s="1"/>
  <c r="P795" i="2"/>
  <c r="N795" i="2"/>
  <c r="O795" i="2" s="1"/>
  <c r="P735" i="2"/>
  <c r="N735" i="2"/>
  <c r="O735" i="2" s="1"/>
  <c r="P687" i="2"/>
  <c r="N687" i="2"/>
  <c r="O687" i="2" s="1"/>
  <c r="P639" i="2"/>
  <c r="N639" i="2"/>
  <c r="O639" i="2" s="1"/>
  <c r="P579" i="2"/>
  <c r="N579" i="2"/>
  <c r="O579" i="2" s="1"/>
  <c r="P555" i="2"/>
  <c r="N555" i="2"/>
  <c r="O555" i="2" s="1"/>
  <c r="P543" i="2"/>
  <c r="N543" i="2"/>
  <c r="O543" i="2" s="1"/>
  <c r="P531" i="2"/>
  <c r="N531" i="2"/>
  <c r="O531" i="2" s="1"/>
  <c r="P507" i="2"/>
  <c r="N507" i="2"/>
  <c r="O507" i="2" s="1"/>
  <c r="P483" i="2"/>
  <c r="N483" i="2"/>
  <c r="O483" i="2" s="1"/>
  <c r="P459" i="2"/>
  <c r="N459" i="2"/>
  <c r="O459" i="2" s="1"/>
  <c r="P435" i="2"/>
  <c r="N435" i="2"/>
  <c r="O435" i="2" s="1"/>
  <c r="P411" i="2"/>
  <c r="N411" i="2"/>
  <c r="O411" i="2" s="1"/>
  <c r="P339" i="2"/>
  <c r="N339" i="2"/>
  <c r="O339" i="2" s="1"/>
  <c r="P255" i="2"/>
  <c r="N255" i="2"/>
  <c r="O255" i="2" s="1"/>
  <c r="P219" i="2"/>
  <c r="N219" i="2"/>
  <c r="O219" i="2" s="1"/>
  <c r="P195" i="2"/>
  <c r="N195" i="2"/>
  <c r="O195" i="2" s="1"/>
  <c r="P147" i="2"/>
  <c r="N147" i="2"/>
  <c r="O147" i="2" s="1"/>
  <c r="P1377" i="2"/>
  <c r="N1377" i="2"/>
  <c r="O1377" i="2" s="1"/>
  <c r="P1245" i="2"/>
  <c r="N1245" i="2"/>
  <c r="O1245" i="2" s="1"/>
  <c r="P1132" i="2"/>
  <c r="N1132" i="2"/>
  <c r="O1132" i="2" s="1"/>
  <c r="P857" i="2"/>
  <c r="N857" i="2"/>
  <c r="O857" i="2" s="1"/>
  <c r="N805" i="2"/>
  <c r="O805" i="2" s="1"/>
  <c r="P805" i="2"/>
  <c r="P499" i="2"/>
  <c r="N499" i="2"/>
  <c r="O499" i="2" s="1"/>
  <c r="P333" i="2"/>
  <c r="N333" i="2"/>
  <c r="O333" i="2" s="1"/>
  <c r="P208" i="2"/>
  <c r="N208" i="2"/>
  <c r="O208" i="2" s="1"/>
  <c r="N1309" i="2"/>
  <c r="O1309" i="2" s="1"/>
  <c r="N782" i="2"/>
  <c r="O782" i="2" s="1"/>
  <c r="N666" i="2"/>
  <c r="O666" i="2" s="1"/>
  <c r="P1472" i="2"/>
  <c r="P1289" i="2"/>
  <c r="P68" i="2"/>
  <c r="P1489" i="2"/>
  <c r="N1489" i="2"/>
  <c r="O1489" i="2" s="1"/>
  <c r="N1407" i="2"/>
  <c r="O1407" i="2" s="1"/>
  <c r="P1407" i="2"/>
  <c r="P986" i="2"/>
  <c r="N986" i="2"/>
  <c r="O986" i="2" s="1"/>
  <c r="P450" i="2"/>
  <c r="N450" i="2"/>
  <c r="O450" i="2" s="1"/>
  <c r="P225" i="2"/>
  <c r="N225" i="2"/>
  <c r="O225" i="2" s="1"/>
  <c r="P1405" i="2"/>
  <c r="N1405" i="2"/>
  <c r="O1405" i="2" s="1"/>
  <c r="P1219" i="2"/>
  <c r="N1219" i="2"/>
  <c r="O1219" i="2" s="1"/>
  <c r="P724" i="2"/>
  <c r="N724" i="2"/>
  <c r="O724" i="2" s="1"/>
  <c r="N477" i="2"/>
  <c r="O477" i="2" s="1"/>
  <c r="P477" i="2"/>
  <c r="P1460" i="2"/>
  <c r="N1460" i="2"/>
  <c r="O1460" i="2" s="1"/>
  <c r="N1304" i="2"/>
  <c r="O1304" i="2" s="1"/>
  <c r="P1304" i="2"/>
  <c r="P1232" i="2"/>
  <c r="N1232" i="2"/>
  <c r="O1232" i="2" s="1"/>
  <c r="P1160" i="2"/>
  <c r="N1160" i="2"/>
  <c r="O1160" i="2" s="1"/>
  <c r="P1112" i="2"/>
  <c r="N1112" i="2"/>
  <c r="O1112" i="2" s="1"/>
  <c r="P992" i="2"/>
  <c r="N992" i="2"/>
  <c r="O992" i="2" s="1"/>
  <c r="P884" i="2"/>
  <c r="N884" i="2"/>
  <c r="O884" i="2" s="1"/>
  <c r="P764" i="2"/>
  <c r="N764" i="2"/>
  <c r="O764" i="2" s="1"/>
  <c r="P404" i="2"/>
  <c r="N404" i="2"/>
  <c r="O404" i="2" s="1"/>
  <c r="P116" i="2"/>
  <c r="N116" i="2"/>
  <c r="O116" i="2" s="1"/>
  <c r="P8" i="2"/>
  <c r="N8" i="2"/>
  <c r="O8" i="2" s="1"/>
  <c r="P377" i="2"/>
  <c r="N377" i="2"/>
  <c r="O377" i="2" s="1"/>
  <c r="P124" i="2"/>
  <c r="N124" i="2"/>
  <c r="O124" i="2" s="1"/>
  <c r="P1495" i="2"/>
  <c r="N1495" i="2"/>
  <c r="O1495" i="2" s="1"/>
  <c r="P1255" i="2"/>
  <c r="N1255" i="2"/>
  <c r="O1255" i="2" s="1"/>
  <c r="N1171" i="2"/>
  <c r="O1171" i="2" s="1"/>
  <c r="P1171" i="2"/>
  <c r="N1099" i="2"/>
  <c r="O1099" i="2" s="1"/>
  <c r="P1099" i="2"/>
  <c r="P1027" i="2"/>
  <c r="N1027" i="2"/>
  <c r="O1027" i="2" s="1"/>
  <c r="P955" i="2"/>
  <c r="N955" i="2"/>
  <c r="O955" i="2" s="1"/>
  <c r="P871" i="2"/>
  <c r="N871" i="2"/>
  <c r="O871" i="2" s="1"/>
  <c r="P811" i="2"/>
  <c r="N811" i="2"/>
  <c r="O811" i="2" s="1"/>
  <c r="N679" i="2"/>
  <c r="O679" i="2" s="1"/>
  <c r="P679" i="2"/>
  <c r="P535" i="2"/>
  <c r="N535" i="2"/>
  <c r="O535" i="2" s="1"/>
  <c r="P427" i="2"/>
  <c r="N427" i="2"/>
  <c r="O427" i="2" s="1"/>
  <c r="P379" i="2"/>
  <c r="N379" i="2"/>
  <c r="O379" i="2" s="1"/>
  <c r="P43" i="2"/>
  <c r="N43" i="2"/>
  <c r="O43" i="2" s="1"/>
  <c r="P1312" i="2"/>
  <c r="N1312" i="2"/>
  <c r="O1312" i="2" s="1"/>
  <c r="P1012" i="2"/>
  <c r="N1012" i="2"/>
  <c r="O1012" i="2" s="1"/>
  <c r="N46" i="2"/>
  <c r="O46" i="2" s="1"/>
  <c r="P46" i="2"/>
  <c r="P1482" i="2"/>
  <c r="N1482" i="2"/>
  <c r="O1482" i="2" s="1"/>
  <c r="P1422" i="2"/>
  <c r="N1422" i="2"/>
  <c r="O1422" i="2" s="1"/>
  <c r="P1278" i="2"/>
  <c r="N1278" i="2"/>
  <c r="O1278" i="2" s="1"/>
  <c r="P1110" i="2"/>
  <c r="N1110" i="2"/>
  <c r="O1110" i="2" s="1"/>
  <c r="N846" i="2"/>
  <c r="O846" i="2" s="1"/>
  <c r="P846" i="2"/>
  <c r="P762" i="2"/>
  <c r="N762" i="2"/>
  <c r="O762" i="2" s="1"/>
  <c r="N678" i="2"/>
  <c r="O678" i="2" s="1"/>
  <c r="P678" i="2"/>
  <c r="P606" i="2"/>
  <c r="N606" i="2"/>
  <c r="O606" i="2" s="1"/>
  <c r="N534" i="2"/>
  <c r="O534" i="2" s="1"/>
  <c r="P534" i="2"/>
  <c r="P366" i="2"/>
  <c r="N366" i="2"/>
  <c r="O366" i="2" s="1"/>
  <c r="N294" i="2"/>
  <c r="O294" i="2" s="1"/>
  <c r="P294" i="2"/>
  <c r="P222" i="2"/>
  <c r="N222" i="2"/>
  <c r="O222" i="2" s="1"/>
  <c r="N150" i="2"/>
  <c r="O150" i="2" s="1"/>
  <c r="P150" i="2"/>
  <c r="N78" i="2"/>
  <c r="O78" i="2" s="1"/>
  <c r="P78" i="2"/>
  <c r="P1469" i="2"/>
  <c r="N1469" i="2"/>
  <c r="O1469" i="2" s="1"/>
  <c r="P19" i="2"/>
  <c r="N19" i="2"/>
  <c r="O19" i="2" s="1"/>
  <c r="N979" i="2"/>
  <c r="O979" i="2" s="1"/>
  <c r="N1502" i="2"/>
  <c r="O1502" i="2" s="1"/>
  <c r="P1502" i="2"/>
  <c r="N1478" i="2"/>
  <c r="O1478" i="2" s="1"/>
  <c r="P1478" i="2"/>
  <c r="N1466" i="2"/>
  <c r="O1466" i="2" s="1"/>
  <c r="P1466" i="2"/>
  <c r="P1442" i="2"/>
  <c r="N1442" i="2"/>
  <c r="O1442" i="2" s="1"/>
  <c r="N1430" i="2"/>
  <c r="O1430" i="2" s="1"/>
  <c r="P1430" i="2"/>
  <c r="N1418" i="2"/>
  <c r="O1418" i="2" s="1"/>
  <c r="P1418" i="2"/>
  <c r="N1406" i="2"/>
  <c r="O1406" i="2" s="1"/>
  <c r="P1406" i="2"/>
  <c r="N1394" i="2"/>
  <c r="O1394" i="2" s="1"/>
  <c r="P1394" i="2"/>
  <c r="N1382" i="2"/>
  <c r="O1382" i="2" s="1"/>
  <c r="P1382" i="2"/>
  <c r="N1370" i="2"/>
  <c r="O1370" i="2" s="1"/>
  <c r="P1370" i="2"/>
  <c r="N1358" i="2"/>
  <c r="O1358" i="2" s="1"/>
  <c r="P1358" i="2"/>
  <c r="N1334" i="2"/>
  <c r="O1334" i="2" s="1"/>
  <c r="P1334" i="2"/>
  <c r="N1322" i="2"/>
  <c r="O1322" i="2" s="1"/>
  <c r="P1322" i="2"/>
  <c r="P1310" i="2"/>
  <c r="N1310" i="2"/>
  <c r="O1310" i="2" s="1"/>
  <c r="P1298" i="2"/>
  <c r="N1298" i="2"/>
  <c r="O1298" i="2" s="1"/>
  <c r="N1286" i="2"/>
  <c r="O1286" i="2" s="1"/>
  <c r="P1286" i="2"/>
  <c r="N1274" i="2"/>
  <c r="O1274" i="2" s="1"/>
  <c r="P1274" i="2"/>
  <c r="P1262" i="2"/>
  <c r="N1262" i="2"/>
  <c r="O1262" i="2" s="1"/>
  <c r="N1250" i="2"/>
  <c r="O1250" i="2" s="1"/>
  <c r="P1250" i="2"/>
  <c r="N1214" i="2"/>
  <c r="O1214" i="2" s="1"/>
  <c r="P1214" i="2"/>
  <c r="N1190" i="2"/>
  <c r="O1190" i="2" s="1"/>
  <c r="P1190" i="2"/>
  <c r="N1166" i="2"/>
  <c r="O1166" i="2" s="1"/>
  <c r="P1166" i="2"/>
  <c r="N1142" i="2"/>
  <c r="O1142" i="2" s="1"/>
  <c r="P1142" i="2"/>
  <c r="P1118" i="2"/>
  <c r="N1118" i="2"/>
  <c r="O1118" i="2" s="1"/>
  <c r="N1094" i="2"/>
  <c r="O1094" i="2" s="1"/>
  <c r="P1094" i="2"/>
  <c r="P1082" i="2"/>
  <c r="N1082" i="2"/>
  <c r="O1082" i="2" s="1"/>
  <c r="N1070" i="2"/>
  <c r="O1070" i="2" s="1"/>
  <c r="P1070" i="2"/>
  <c r="N1058" i="2"/>
  <c r="O1058" i="2" s="1"/>
  <c r="P1058" i="2"/>
  <c r="P1046" i="2"/>
  <c r="N1046" i="2"/>
  <c r="O1046" i="2" s="1"/>
  <c r="N1034" i="2"/>
  <c r="O1034" i="2" s="1"/>
  <c r="P1034" i="2"/>
  <c r="N1022" i="2"/>
  <c r="O1022" i="2" s="1"/>
  <c r="P1022" i="2"/>
  <c r="N1010" i="2"/>
  <c r="O1010" i="2" s="1"/>
  <c r="P1010" i="2"/>
  <c r="P974" i="2"/>
  <c r="N974" i="2"/>
  <c r="O974" i="2" s="1"/>
  <c r="P950" i="2"/>
  <c r="N950" i="2"/>
  <c r="O950" i="2" s="1"/>
  <c r="P926" i="2"/>
  <c r="N926" i="2"/>
  <c r="O926" i="2" s="1"/>
  <c r="N914" i="2"/>
  <c r="O914" i="2" s="1"/>
  <c r="P914" i="2"/>
  <c r="P890" i="2"/>
  <c r="N890" i="2"/>
  <c r="O890" i="2" s="1"/>
  <c r="P878" i="2"/>
  <c r="N878" i="2"/>
  <c r="O878" i="2" s="1"/>
  <c r="P854" i="2"/>
  <c r="N854" i="2"/>
  <c r="O854" i="2" s="1"/>
  <c r="P842" i="2"/>
  <c r="N842" i="2"/>
  <c r="O842" i="2" s="1"/>
  <c r="N818" i="2"/>
  <c r="O818" i="2" s="1"/>
  <c r="P818" i="2"/>
  <c r="N806" i="2"/>
  <c r="O806" i="2" s="1"/>
  <c r="P806" i="2"/>
  <c r="P794" i="2"/>
  <c r="N794" i="2"/>
  <c r="O794" i="2" s="1"/>
  <c r="P770" i="2"/>
  <c r="N770" i="2"/>
  <c r="O770" i="2" s="1"/>
  <c r="P758" i="2"/>
  <c r="N758" i="2"/>
  <c r="O758" i="2" s="1"/>
  <c r="P746" i="2"/>
  <c r="N746" i="2"/>
  <c r="O746" i="2" s="1"/>
  <c r="P734" i="2"/>
  <c r="N734" i="2"/>
  <c r="O734" i="2" s="1"/>
  <c r="N722" i="2"/>
  <c r="O722" i="2" s="1"/>
  <c r="P722" i="2"/>
  <c r="P710" i="2"/>
  <c r="N710" i="2"/>
  <c r="O710" i="2" s="1"/>
  <c r="P698" i="2"/>
  <c r="N698" i="2"/>
  <c r="O698" i="2" s="1"/>
  <c r="N686" i="2"/>
  <c r="O686" i="2" s="1"/>
  <c r="P686" i="2"/>
  <c r="P638" i="2"/>
  <c r="N638" i="2"/>
  <c r="O638" i="2" s="1"/>
  <c r="P614" i="2"/>
  <c r="N614" i="2"/>
  <c r="O614" i="2" s="1"/>
  <c r="P590" i="2"/>
  <c r="N590" i="2"/>
  <c r="O590" i="2" s="1"/>
  <c r="P566" i="2"/>
  <c r="N566" i="2"/>
  <c r="O566" i="2" s="1"/>
  <c r="P542" i="2"/>
  <c r="N542" i="2"/>
  <c r="O542" i="2" s="1"/>
  <c r="N530" i="2"/>
  <c r="O530" i="2" s="1"/>
  <c r="P530" i="2"/>
  <c r="P506" i="2"/>
  <c r="N506" i="2"/>
  <c r="O506" i="2" s="1"/>
  <c r="P494" i="2"/>
  <c r="N494" i="2"/>
  <c r="O494" i="2" s="1"/>
  <c r="P482" i="2"/>
  <c r="N482" i="2"/>
  <c r="O482" i="2" s="1"/>
  <c r="N470" i="2"/>
  <c r="O470" i="2" s="1"/>
  <c r="P470" i="2"/>
  <c r="N458" i="2"/>
  <c r="O458" i="2" s="1"/>
  <c r="P458" i="2"/>
  <c r="P446" i="2"/>
  <c r="N446" i="2"/>
  <c r="O446" i="2" s="1"/>
  <c r="N422" i="2"/>
  <c r="O422" i="2" s="1"/>
  <c r="P422" i="2"/>
  <c r="P410" i="2"/>
  <c r="N410" i="2"/>
  <c r="O410" i="2" s="1"/>
  <c r="N386" i="2"/>
  <c r="O386" i="2" s="1"/>
  <c r="P386" i="2"/>
  <c r="N362" i="2"/>
  <c r="O362" i="2" s="1"/>
  <c r="P362" i="2"/>
  <c r="P338" i="2"/>
  <c r="N338" i="2"/>
  <c r="O338" i="2" s="1"/>
  <c r="P314" i="2"/>
  <c r="N314" i="2"/>
  <c r="O314" i="2" s="1"/>
  <c r="N266" i="2"/>
  <c r="O266" i="2" s="1"/>
  <c r="P266" i="2"/>
  <c r="N254" i="2"/>
  <c r="O254" i="2" s="1"/>
  <c r="P254" i="2"/>
  <c r="N242" i="2"/>
  <c r="O242" i="2" s="1"/>
  <c r="P242" i="2"/>
  <c r="N218" i="2"/>
  <c r="O218" i="2" s="1"/>
  <c r="P218" i="2"/>
  <c r="P194" i="2"/>
  <c r="N194" i="2"/>
  <c r="O194" i="2" s="1"/>
  <c r="P182" i="2"/>
  <c r="N182" i="2"/>
  <c r="O182" i="2" s="1"/>
  <c r="N170" i="2"/>
  <c r="O170" i="2" s="1"/>
  <c r="P170" i="2"/>
  <c r="N98" i="2"/>
  <c r="O98" i="2" s="1"/>
  <c r="P98" i="2"/>
  <c r="N86" i="2"/>
  <c r="O86" i="2" s="1"/>
  <c r="P86" i="2"/>
  <c r="N74" i="2"/>
  <c r="O74" i="2" s="1"/>
  <c r="P74" i="2"/>
  <c r="P62" i="2"/>
  <c r="N62" i="2"/>
  <c r="O62" i="2" s="1"/>
  <c r="N1492" i="2"/>
  <c r="O1492" i="2" s="1"/>
  <c r="P1492" i="2"/>
  <c r="P1337" i="2"/>
  <c r="N1337" i="2"/>
  <c r="O1337" i="2" s="1"/>
  <c r="P1179" i="2"/>
  <c r="N1179" i="2"/>
  <c r="O1179" i="2" s="1"/>
  <c r="P1131" i="2"/>
  <c r="N1131" i="2"/>
  <c r="O1131" i="2" s="1"/>
  <c r="N853" i="2"/>
  <c r="O853" i="2" s="1"/>
  <c r="P853" i="2"/>
  <c r="N801" i="2"/>
  <c r="O801" i="2" s="1"/>
  <c r="P801" i="2"/>
  <c r="P627" i="2"/>
  <c r="N627" i="2"/>
  <c r="O627" i="2" s="1"/>
  <c r="P332" i="2"/>
  <c r="N332" i="2"/>
  <c r="O332" i="2" s="1"/>
  <c r="N205" i="2"/>
  <c r="O205" i="2" s="1"/>
  <c r="P205" i="2"/>
  <c r="N1494" i="2"/>
  <c r="O1494" i="2" s="1"/>
  <c r="N1147" i="2"/>
  <c r="O1147" i="2" s="1"/>
  <c r="N1050" i="2"/>
  <c r="O1050" i="2" s="1"/>
  <c r="N870" i="2"/>
  <c r="O870" i="2" s="1"/>
  <c r="N655" i="2"/>
  <c r="O655" i="2" s="1"/>
  <c r="N100" i="2"/>
  <c r="O100" i="2" s="1"/>
  <c r="P1074" i="2"/>
  <c r="P518" i="2"/>
  <c r="P50" i="2"/>
  <c r="P1361" i="2"/>
  <c r="N1361" i="2"/>
  <c r="O1361" i="2" s="1"/>
  <c r="P881" i="2"/>
  <c r="N881" i="2"/>
  <c r="O881" i="2" s="1"/>
  <c r="P291" i="2"/>
  <c r="N291" i="2"/>
  <c r="O291" i="2" s="1"/>
  <c r="N164" i="2"/>
  <c r="O164" i="2" s="1"/>
  <c r="P164" i="2"/>
  <c r="P777" i="2"/>
  <c r="N777" i="2"/>
  <c r="O777" i="2" s="1"/>
  <c r="P1267" i="2"/>
  <c r="N1267" i="2"/>
  <c r="O1267" i="2" s="1"/>
  <c r="P913" i="2"/>
  <c r="N913" i="2"/>
  <c r="O913" i="2" s="1"/>
  <c r="P1436" i="2"/>
  <c r="N1436" i="2"/>
  <c r="O1436" i="2" s="1"/>
  <c r="P1364" i="2"/>
  <c r="N1364" i="2"/>
  <c r="O1364" i="2" s="1"/>
  <c r="P1292" i="2"/>
  <c r="N1292" i="2"/>
  <c r="O1292" i="2" s="1"/>
  <c r="P1220" i="2"/>
  <c r="N1220" i="2"/>
  <c r="O1220" i="2" s="1"/>
  <c r="N1148" i="2"/>
  <c r="O1148" i="2" s="1"/>
  <c r="P1148" i="2"/>
  <c r="P1076" i="2"/>
  <c r="N1076" i="2"/>
  <c r="O1076" i="2" s="1"/>
  <c r="P980" i="2"/>
  <c r="N980" i="2"/>
  <c r="O980" i="2" s="1"/>
  <c r="N908" i="2"/>
  <c r="O908" i="2" s="1"/>
  <c r="P908" i="2"/>
  <c r="P596" i="2"/>
  <c r="N596" i="2"/>
  <c r="O596" i="2" s="1"/>
  <c r="N452" i="2"/>
  <c r="O452" i="2" s="1"/>
  <c r="P452" i="2"/>
  <c r="N200" i="2"/>
  <c r="O200" i="2" s="1"/>
  <c r="P200" i="2"/>
  <c r="N1471" i="2"/>
  <c r="O1471" i="2" s="1"/>
  <c r="P1471" i="2"/>
  <c r="P1107" i="2"/>
  <c r="N1107" i="2"/>
  <c r="O1107" i="2" s="1"/>
  <c r="P832" i="2"/>
  <c r="N832" i="2"/>
  <c r="O832" i="2" s="1"/>
  <c r="P1435" i="2"/>
  <c r="N1435" i="2"/>
  <c r="O1435" i="2" s="1"/>
  <c r="P1363" i="2"/>
  <c r="N1363" i="2"/>
  <c r="O1363" i="2" s="1"/>
  <c r="P1159" i="2"/>
  <c r="N1159" i="2"/>
  <c r="O1159" i="2" s="1"/>
  <c r="P1087" i="2"/>
  <c r="N1087" i="2"/>
  <c r="O1087" i="2" s="1"/>
  <c r="P1015" i="2"/>
  <c r="N1015" i="2"/>
  <c r="O1015" i="2" s="1"/>
  <c r="P907" i="2"/>
  <c r="N907" i="2"/>
  <c r="O907" i="2" s="1"/>
  <c r="P775" i="2"/>
  <c r="N775" i="2"/>
  <c r="O775" i="2" s="1"/>
  <c r="P691" i="2"/>
  <c r="N691" i="2"/>
  <c r="O691" i="2" s="1"/>
  <c r="N583" i="2"/>
  <c r="O583" i="2" s="1"/>
  <c r="P583" i="2"/>
  <c r="P439" i="2"/>
  <c r="N439" i="2"/>
  <c r="O439" i="2" s="1"/>
  <c r="N343" i="2"/>
  <c r="O343" i="2" s="1"/>
  <c r="P343" i="2"/>
  <c r="P127" i="2"/>
  <c r="N127" i="2"/>
  <c r="O127" i="2" s="1"/>
  <c r="P122" i="2"/>
  <c r="N122" i="2"/>
  <c r="O122" i="2" s="1"/>
  <c r="N909" i="2"/>
  <c r="O909" i="2" s="1"/>
  <c r="N1374" i="2"/>
  <c r="O1374" i="2" s="1"/>
  <c r="P1374" i="2"/>
  <c r="P1230" i="2"/>
  <c r="N1230" i="2"/>
  <c r="O1230" i="2" s="1"/>
  <c r="P1158" i="2"/>
  <c r="N1158" i="2"/>
  <c r="O1158" i="2" s="1"/>
  <c r="P1026" i="2"/>
  <c r="N1026" i="2"/>
  <c r="O1026" i="2" s="1"/>
  <c r="P738" i="2"/>
  <c r="N738" i="2"/>
  <c r="O738" i="2" s="1"/>
  <c r="P642" i="2"/>
  <c r="N642" i="2"/>
  <c r="O642" i="2" s="1"/>
  <c r="N570" i="2"/>
  <c r="O570" i="2" s="1"/>
  <c r="P570" i="2"/>
  <c r="P510" i="2"/>
  <c r="N510" i="2"/>
  <c r="O510" i="2" s="1"/>
  <c r="P282" i="2"/>
  <c r="N282" i="2"/>
  <c r="O282" i="2" s="1"/>
  <c r="P198" i="2"/>
  <c r="N198" i="2"/>
  <c r="O198" i="2" s="1"/>
  <c r="P126" i="2"/>
  <c r="N126" i="2"/>
  <c r="O126" i="2" s="1"/>
  <c r="P66" i="2"/>
  <c r="N66" i="2"/>
  <c r="O66" i="2" s="1"/>
  <c r="P675" i="2"/>
  <c r="N675" i="2"/>
  <c r="O675" i="2" s="1"/>
  <c r="N906" i="2"/>
  <c r="O906" i="2" s="1"/>
  <c r="P1501" i="2"/>
  <c r="N1501" i="2"/>
  <c r="O1501" i="2" s="1"/>
  <c r="P1477" i="2"/>
  <c r="N1477" i="2"/>
  <c r="O1477" i="2" s="1"/>
  <c r="P1393" i="2"/>
  <c r="N1393" i="2"/>
  <c r="O1393" i="2" s="1"/>
  <c r="P1297" i="2"/>
  <c r="N1297" i="2"/>
  <c r="O1297" i="2" s="1"/>
  <c r="P1261" i="2"/>
  <c r="N1261" i="2"/>
  <c r="O1261" i="2" s="1"/>
  <c r="P1237" i="2"/>
  <c r="N1237" i="2"/>
  <c r="O1237" i="2" s="1"/>
  <c r="P1189" i="2"/>
  <c r="N1189" i="2"/>
  <c r="O1189" i="2" s="1"/>
  <c r="N1165" i="2"/>
  <c r="O1165" i="2" s="1"/>
  <c r="P1165" i="2"/>
  <c r="N1117" i="2"/>
  <c r="O1117" i="2" s="1"/>
  <c r="P1117" i="2"/>
  <c r="P1093" i="2"/>
  <c r="N1093" i="2"/>
  <c r="O1093" i="2" s="1"/>
  <c r="N1069" i="2"/>
  <c r="O1069" i="2" s="1"/>
  <c r="P1069" i="2"/>
  <c r="P1045" i="2"/>
  <c r="N1045" i="2"/>
  <c r="O1045" i="2" s="1"/>
  <c r="P997" i="2"/>
  <c r="N997" i="2"/>
  <c r="O997" i="2" s="1"/>
  <c r="P949" i="2"/>
  <c r="N949" i="2"/>
  <c r="O949" i="2" s="1"/>
  <c r="P865" i="2"/>
  <c r="N865" i="2"/>
  <c r="O865" i="2" s="1"/>
  <c r="P817" i="2"/>
  <c r="N817" i="2"/>
  <c r="O817" i="2" s="1"/>
  <c r="P769" i="2"/>
  <c r="N769" i="2"/>
  <c r="O769" i="2" s="1"/>
  <c r="N757" i="2"/>
  <c r="O757" i="2" s="1"/>
  <c r="P757" i="2"/>
  <c r="N709" i="2"/>
  <c r="O709" i="2" s="1"/>
  <c r="P709" i="2"/>
  <c r="N661" i="2"/>
  <c r="O661" i="2" s="1"/>
  <c r="P661" i="2"/>
  <c r="N565" i="2"/>
  <c r="O565" i="2" s="1"/>
  <c r="P565" i="2"/>
  <c r="N517" i="2"/>
  <c r="O517" i="2" s="1"/>
  <c r="P517" i="2"/>
  <c r="P481" i="2"/>
  <c r="N481" i="2"/>
  <c r="O481" i="2" s="1"/>
  <c r="P433" i="2"/>
  <c r="N433" i="2"/>
  <c r="O433" i="2" s="1"/>
  <c r="P385" i="2"/>
  <c r="N385" i="2"/>
  <c r="O385" i="2" s="1"/>
  <c r="N325" i="2"/>
  <c r="O325" i="2" s="1"/>
  <c r="P325" i="2"/>
  <c r="N277" i="2"/>
  <c r="O277" i="2" s="1"/>
  <c r="P277" i="2"/>
  <c r="N253" i="2"/>
  <c r="O253" i="2" s="1"/>
  <c r="P253" i="2"/>
  <c r="P241" i="2"/>
  <c r="N241" i="2"/>
  <c r="O241" i="2" s="1"/>
  <c r="N169" i="2"/>
  <c r="O169" i="2" s="1"/>
  <c r="P169" i="2"/>
  <c r="N109" i="2"/>
  <c r="O109" i="2" s="1"/>
  <c r="P109" i="2"/>
  <c r="N1491" i="2"/>
  <c r="O1491" i="2" s="1"/>
  <c r="P1491" i="2"/>
  <c r="P1453" i="2"/>
  <c r="N1453" i="2"/>
  <c r="O1453" i="2" s="1"/>
  <c r="N1409" i="2"/>
  <c r="O1409" i="2" s="1"/>
  <c r="P1409" i="2"/>
  <c r="P1333" i="2"/>
  <c r="N1333" i="2"/>
  <c r="O1333" i="2" s="1"/>
  <c r="P1084" i="2"/>
  <c r="N1084" i="2"/>
  <c r="O1084" i="2" s="1"/>
  <c r="N800" i="2"/>
  <c r="O800" i="2" s="1"/>
  <c r="P800" i="2"/>
  <c r="P547" i="2"/>
  <c r="N547" i="2"/>
  <c r="O547" i="2" s="1"/>
  <c r="P425" i="2"/>
  <c r="N425" i="2"/>
  <c r="O425" i="2" s="1"/>
  <c r="P269" i="2"/>
  <c r="N269" i="2"/>
  <c r="O269" i="2" s="1"/>
  <c r="N140" i="2"/>
  <c r="O140" i="2" s="1"/>
  <c r="P140" i="2"/>
  <c r="N1146" i="2"/>
  <c r="O1146" i="2" s="1"/>
  <c r="N1049" i="2"/>
  <c r="O1049" i="2" s="1"/>
  <c r="N654" i="2"/>
  <c r="O654" i="2" s="1"/>
  <c r="N495" i="2"/>
  <c r="O495" i="2" s="1"/>
  <c r="P1412" i="2"/>
  <c r="P830" i="2"/>
  <c r="P1360" i="2"/>
  <c r="N1360" i="2"/>
  <c r="O1360" i="2" s="1"/>
  <c r="P578" i="2"/>
  <c r="N578" i="2"/>
  <c r="O578" i="2" s="1"/>
  <c r="P1314" i="2"/>
  <c r="N1314" i="2"/>
  <c r="O1314" i="2" s="1"/>
  <c r="P577" i="2"/>
  <c r="N577" i="2"/>
  <c r="O577" i="2" s="1"/>
  <c r="P1484" i="2"/>
  <c r="N1484" i="2"/>
  <c r="O1484" i="2" s="1"/>
  <c r="N1328" i="2"/>
  <c r="O1328" i="2" s="1"/>
  <c r="P1328" i="2"/>
  <c r="N1256" i="2"/>
  <c r="O1256" i="2" s="1"/>
  <c r="P1256" i="2"/>
  <c r="P1172" i="2"/>
  <c r="N1172" i="2"/>
  <c r="O1172" i="2" s="1"/>
  <c r="P1088" i="2"/>
  <c r="N1088" i="2"/>
  <c r="O1088" i="2" s="1"/>
  <c r="P1004" i="2"/>
  <c r="N1004" i="2"/>
  <c r="O1004" i="2" s="1"/>
  <c r="P944" i="2"/>
  <c r="N944" i="2"/>
  <c r="O944" i="2" s="1"/>
  <c r="P812" i="2"/>
  <c r="N812" i="2"/>
  <c r="O812" i="2" s="1"/>
  <c r="P692" i="2"/>
  <c r="N692" i="2"/>
  <c r="O692" i="2" s="1"/>
  <c r="N344" i="2"/>
  <c r="O344" i="2" s="1"/>
  <c r="P344" i="2"/>
  <c r="P248" i="2"/>
  <c r="N248" i="2"/>
  <c r="O248" i="2" s="1"/>
  <c r="N32" i="2"/>
  <c r="O32" i="2" s="1"/>
  <c r="P32" i="2"/>
  <c r="P723" i="2"/>
  <c r="N723" i="2"/>
  <c r="O723" i="2" s="1"/>
  <c r="P188" i="2"/>
  <c r="N188" i="2"/>
  <c r="O188" i="2" s="1"/>
  <c r="N1447" i="2"/>
  <c r="O1447" i="2" s="1"/>
  <c r="P1447" i="2"/>
  <c r="P1375" i="2"/>
  <c r="N1375" i="2"/>
  <c r="O1375" i="2" s="1"/>
  <c r="P1195" i="2"/>
  <c r="N1195" i="2"/>
  <c r="O1195" i="2" s="1"/>
  <c r="P1135" i="2"/>
  <c r="N1135" i="2"/>
  <c r="O1135" i="2" s="1"/>
  <c r="P1075" i="2"/>
  <c r="N1075" i="2"/>
  <c r="O1075" i="2" s="1"/>
  <c r="P1003" i="2"/>
  <c r="N1003" i="2"/>
  <c r="O1003" i="2" s="1"/>
  <c r="N919" i="2"/>
  <c r="O919" i="2" s="1"/>
  <c r="P919" i="2"/>
  <c r="N847" i="2"/>
  <c r="O847" i="2" s="1"/>
  <c r="P847" i="2"/>
  <c r="P763" i="2"/>
  <c r="N763" i="2"/>
  <c r="O763" i="2" s="1"/>
  <c r="N571" i="2"/>
  <c r="O571" i="2" s="1"/>
  <c r="P571" i="2"/>
  <c r="N7" i="2"/>
  <c r="O7" i="2" s="1"/>
  <c r="P7" i="2"/>
  <c r="P1060" i="2"/>
  <c r="N1060" i="2"/>
  <c r="O1060" i="2" s="1"/>
  <c r="N373" i="2"/>
  <c r="O373" i="2" s="1"/>
  <c r="P373" i="2"/>
  <c r="N1111" i="2"/>
  <c r="O1111" i="2" s="1"/>
  <c r="P1326" i="2"/>
  <c r="N1326" i="2"/>
  <c r="O1326" i="2" s="1"/>
  <c r="P1206" i="2"/>
  <c r="N1206" i="2"/>
  <c r="O1206" i="2" s="1"/>
  <c r="P1122" i="2"/>
  <c r="N1122" i="2"/>
  <c r="O1122" i="2" s="1"/>
  <c r="P954" i="2"/>
  <c r="N954" i="2"/>
  <c r="O954" i="2" s="1"/>
  <c r="P834" i="2"/>
  <c r="N834" i="2"/>
  <c r="O834" i="2" s="1"/>
  <c r="N774" i="2"/>
  <c r="O774" i="2" s="1"/>
  <c r="P774" i="2"/>
  <c r="P690" i="2"/>
  <c r="N690" i="2"/>
  <c r="O690" i="2" s="1"/>
  <c r="P618" i="2"/>
  <c r="N618" i="2"/>
  <c r="O618" i="2" s="1"/>
  <c r="P546" i="2"/>
  <c r="N546" i="2"/>
  <c r="O546" i="2" s="1"/>
  <c r="P462" i="2"/>
  <c r="N462" i="2"/>
  <c r="O462" i="2" s="1"/>
  <c r="P318" i="2"/>
  <c r="N318" i="2"/>
  <c r="O318" i="2" s="1"/>
  <c r="N246" i="2"/>
  <c r="O246" i="2" s="1"/>
  <c r="P246" i="2"/>
  <c r="P174" i="2"/>
  <c r="N174" i="2"/>
  <c r="O174" i="2" s="1"/>
  <c r="P114" i="2"/>
  <c r="N114" i="2"/>
  <c r="O114" i="2" s="1"/>
  <c r="P54" i="2"/>
  <c r="N54" i="2"/>
  <c r="O54" i="2" s="1"/>
  <c r="P1059" i="2"/>
  <c r="N1059" i="2"/>
  <c r="O1059" i="2" s="1"/>
  <c r="P183" i="2"/>
  <c r="N183" i="2"/>
  <c r="O183" i="2" s="1"/>
  <c r="P108" i="2"/>
  <c r="N108" i="2"/>
  <c r="O108" i="2" s="1"/>
  <c r="P72" i="2"/>
  <c r="N72" i="2"/>
  <c r="O72" i="2" s="1"/>
  <c r="P1449" i="2"/>
  <c r="N1449" i="2"/>
  <c r="O1449" i="2" s="1"/>
  <c r="N1408" i="2"/>
  <c r="O1408" i="2" s="1"/>
  <c r="P1408" i="2"/>
  <c r="P1083" i="2"/>
  <c r="N1083" i="2"/>
  <c r="O1083" i="2" s="1"/>
  <c r="P1036" i="2"/>
  <c r="N1036" i="2"/>
  <c r="O1036" i="2" s="1"/>
  <c r="P987" i="2"/>
  <c r="N987" i="2"/>
  <c r="O987" i="2" s="1"/>
  <c r="P625" i="2"/>
  <c r="N625" i="2"/>
  <c r="O625" i="2" s="1"/>
  <c r="P451" i="2"/>
  <c r="N451" i="2"/>
  <c r="O451" i="2" s="1"/>
  <c r="P268" i="2"/>
  <c r="N268" i="2"/>
  <c r="O268" i="2" s="1"/>
  <c r="P165" i="2"/>
  <c r="N165" i="2"/>
  <c r="O165" i="2" s="1"/>
  <c r="P94" i="2"/>
  <c r="N94" i="2"/>
  <c r="O94" i="2" s="1"/>
  <c r="N1400" i="2"/>
  <c r="O1400" i="2" s="1"/>
  <c r="N866" i="2"/>
  <c r="O866" i="2" s="1"/>
  <c r="N326" i="2"/>
  <c r="O326" i="2" s="1"/>
  <c r="P1411" i="2"/>
  <c r="P1265" i="2"/>
  <c r="N1265" i="2"/>
  <c r="O1265" i="2" s="1"/>
  <c r="P880" i="2"/>
  <c r="N880" i="2"/>
  <c r="O880" i="2" s="1"/>
  <c r="N825" i="2"/>
  <c r="O825" i="2" s="1"/>
  <c r="P825" i="2"/>
  <c r="P772" i="2"/>
  <c r="N772" i="2"/>
  <c r="O772" i="2" s="1"/>
  <c r="P673" i="2"/>
  <c r="N673" i="2"/>
  <c r="O673" i="2" s="1"/>
  <c r="P595" i="2"/>
  <c r="N595" i="2"/>
  <c r="O595" i="2" s="1"/>
  <c r="N421" i="2"/>
  <c r="O421" i="2" s="1"/>
  <c r="P421" i="2"/>
  <c r="P369" i="2"/>
  <c r="N369" i="2"/>
  <c r="O369" i="2" s="1"/>
  <c r="P328" i="2"/>
  <c r="N328" i="2"/>
  <c r="O328" i="2" s="1"/>
  <c r="P115" i="2"/>
  <c r="N115" i="2"/>
  <c r="O115" i="2" s="1"/>
  <c r="P1421" i="2"/>
  <c r="N1421" i="2"/>
  <c r="O1421" i="2" s="1"/>
  <c r="P1109" i="2"/>
  <c r="N1109" i="2"/>
  <c r="O1109" i="2" s="1"/>
  <c r="P1013" i="2"/>
  <c r="N1013" i="2"/>
  <c r="O1013" i="2" s="1"/>
  <c r="P965" i="2"/>
  <c r="N965" i="2"/>
  <c r="O965" i="2" s="1"/>
  <c r="P917" i="2"/>
  <c r="N917" i="2"/>
  <c r="O917" i="2" s="1"/>
  <c r="P773" i="2"/>
  <c r="N773" i="2"/>
  <c r="O773" i="2" s="1"/>
  <c r="P725" i="2"/>
  <c r="N725" i="2"/>
  <c r="O725" i="2" s="1"/>
  <c r="P677" i="2"/>
  <c r="N677" i="2"/>
  <c r="O677" i="2" s="1"/>
  <c r="P629" i="2"/>
  <c r="N629" i="2"/>
  <c r="O629" i="2" s="1"/>
  <c r="P605" i="2"/>
  <c r="N605" i="2"/>
  <c r="O605" i="2" s="1"/>
  <c r="P533" i="2"/>
  <c r="N533" i="2"/>
  <c r="O533" i="2" s="1"/>
  <c r="P509" i="2"/>
  <c r="N509" i="2"/>
  <c r="O509" i="2" s="1"/>
  <c r="P461" i="2"/>
  <c r="N461" i="2"/>
  <c r="O461" i="2" s="1"/>
  <c r="P413" i="2"/>
  <c r="N413" i="2"/>
  <c r="O413" i="2" s="1"/>
  <c r="P365" i="2"/>
  <c r="N365" i="2"/>
  <c r="O365" i="2" s="1"/>
  <c r="P329" i="2"/>
  <c r="N329" i="2"/>
  <c r="O329" i="2" s="1"/>
  <c r="P257" i="2"/>
  <c r="N257" i="2"/>
  <c r="O257" i="2" s="1"/>
  <c r="P221" i="2"/>
  <c r="N221" i="2"/>
  <c r="O221" i="2" s="1"/>
  <c r="P173" i="2"/>
  <c r="N173" i="2"/>
  <c r="O173" i="2" s="1"/>
  <c r="P113" i="2"/>
  <c r="N113" i="2"/>
  <c r="O113" i="2" s="1"/>
  <c r="P65" i="2"/>
  <c r="N65" i="2"/>
  <c r="O65" i="2" s="1"/>
  <c r="P41" i="2"/>
  <c r="N41" i="2"/>
  <c r="O41" i="2" s="1"/>
  <c r="N1485" i="2"/>
  <c r="O1485" i="2" s="1"/>
  <c r="P1485" i="2"/>
  <c r="P1444" i="2"/>
  <c r="N1444" i="2"/>
  <c r="O1444" i="2" s="1"/>
  <c r="P1401" i="2"/>
  <c r="N1401" i="2"/>
  <c r="O1401" i="2" s="1"/>
  <c r="P1285" i="2"/>
  <c r="N1285" i="2"/>
  <c r="O1285" i="2" s="1"/>
  <c r="N901" i="2"/>
  <c r="O901" i="2" s="1"/>
  <c r="P901" i="2"/>
  <c r="P721" i="2"/>
  <c r="N721" i="2"/>
  <c r="O721" i="2" s="1"/>
  <c r="P643" i="2"/>
  <c r="N643" i="2"/>
  <c r="O643" i="2" s="1"/>
  <c r="P368" i="2"/>
  <c r="N368" i="2"/>
  <c r="O368" i="2" s="1"/>
  <c r="P36" i="2"/>
  <c r="N36" i="2"/>
  <c r="O36" i="2" s="1"/>
  <c r="N1205" i="2"/>
  <c r="O1205" i="2" s="1"/>
  <c r="N893" i="2"/>
  <c r="O893" i="2" s="1"/>
  <c r="N771" i="2"/>
  <c r="O771" i="2" s="1"/>
  <c r="N417" i="2"/>
  <c r="O417" i="2" s="1"/>
  <c r="P181" i="2"/>
  <c r="P1480" i="2"/>
  <c r="N1480" i="2"/>
  <c r="O1480" i="2" s="1"/>
  <c r="P1192" i="2"/>
  <c r="N1192" i="2"/>
  <c r="O1192" i="2" s="1"/>
  <c r="P1144" i="2"/>
  <c r="N1144" i="2"/>
  <c r="O1144" i="2" s="1"/>
  <c r="P1096" i="2"/>
  <c r="N1096" i="2"/>
  <c r="O1096" i="2" s="1"/>
  <c r="P1048" i="2"/>
  <c r="N1048" i="2"/>
  <c r="O1048" i="2" s="1"/>
  <c r="P1000" i="2"/>
  <c r="N1000" i="2"/>
  <c r="O1000" i="2" s="1"/>
  <c r="P988" i="2"/>
  <c r="N988" i="2"/>
  <c r="O988" i="2" s="1"/>
  <c r="P952" i="2"/>
  <c r="N952" i="2"/>
  <c r="O952" i="2" s="1"/>
  <c r="P940" i="2"/>
  <c r="N940" i="2"/>
  <c r="O940" i="2" s="1"/>
  <c r="P904" i="2"/>
  <c r="N904" i="2"/>
  <c r="O904" i="2" s="1"/>
  <c r="P892" i="2"/>
  <c r="N892" i="2"/>
  <c r="O892" i="2" s="1"/>
  <c r="P856" i="2"/>
  <c r="N856" i="2"/>
  <c r="O856" i="2" s="1"/>
  <c r="P844" i="2"/>
  <c r="N844" i="2"/>
  <c r="O844" i="2" s="1"/>
  <c r="P748" i="2"/>
  <c r="N748" i="2"/>
  <c r="O748" i="2" s="1"/>
  <c r="P700" i="2"/>
  <c r="N700" i="2"/>
  <c r="O700" i="2" s="1"/>
  <c r="P664" i="2"/>
  <c r="N664" i="2"/>
  <c r="O664" i="2" s="1"/>
  <c r="P652" i="2"/>
  <c r="N652" i="2"/>
  <c r="O652" i="2" s="1"/>
  <c r="P604" i="2"/>
  <c r="N604" i="2"/>
  <c r="O604" i="2" s="1"/>
  <c r="P568" i="2"/>
  <c r="N568" i="2"/>
  <c r="O568" i="2" s="1"/>
  <c r="P556" i="2"/>
  <c r="N556" i="2"/>
  <c r="O556" i="2" s="1"/>
  <c r="P508" i="2"/>
  <c r="N508" i="2"/>
  <c r="O508" i="2" s="1"/>
  <c r="P472" i="2"/>
  <c r="N472" i="2"/>
  <c r="O472" i="2" s="1"/>
  <c r="P460" i="2"/>
  <c r="N460" i="2"/>
  <c r="O460" i="2" s="1"/>
  <c r="P424" i="2"/>
  <c r="N424" i="2"/>
  <c r="O424" i="2" s="1"/>
  <c r="P412" i="2"/>
  <c r="N412" i="2"/>
  <c r="O412" i="2" s="1"/>
  <c r="P376" i="2"/>
  <c r="N376" i="2"/>
  <c r="O376" i="2" s="1"/>
  <c r="P364" i="2"/>
  <c r="N364" i="2"/>
  <c r="O364" i="2" s="1"/>
  <c r="P316" i="2"/>
  <c r="N316" i="2"/>
  <c r="O316" i="2" s="1"/>
  <c r="P292" i="2"/>
  <c r="N292" i="2"/>
  <c r="O292" i="2" s="1"/>
  <c r="P220" i="2"/>
  <c r="N220" i="2"/>
  <c r="O220" i="2" s="1"/>
  <c r="P172" i="2"/>
  <c r="N172" i="2"/>
  <c r="O172" i="2" s="1"/>
  <c r="P148" i="2"/>
  <c r="N148" i="2"/>
  <c r="O148" i="2" s="1"/>
  <c r="P112" i="2"/>
  <c r="N112" i="2"/>
  <c r="O112" i="2" s="1"/>
  <c r="P76" i="2"/>
  <c r="N76" i="2"/>
  <c r="O76" i="2" s="1"/>
  <c r="P52" i="2"/>
  <c r="N52" i="2"/>
  <c r="O52" i="2" s="1"/>
  <c r="P28" i="2"/>
  <c r="N28" i="2"/>
  <c r="O28" i="2" s="1"/>
  <c r="P16" i="2"/>
  <c r="N16" i="2"/>
  <c r="O16" i="2" s="1"/>
  <c r="P1005" i="2"/>
  <c r="N1005" i="2"/>
  <c r="O1005" i="2" s="1"/>
  <c r="N897" i="2"/>
  <c r="O897" i="2" s="1"/>
  <c r="P897" i="2"/>
  <c r="N873" i="2"/>
  <c r="O873" i="2" s="1"/>
  <c r="P873" i="2"/>
  <c r="P717" i="2"/>
  <c r="N717" i="2"/>
  <c r="O717" i="2" s="1"/>
  <c r="N465" i="2"/>
  <c r="O465" i="2" s="1"/>
  <c r="P465" i="2"/>
  <c r="P441" i="2"/>
  <c r="N441" i="2"/>
  <c r="O441" i="2" s="1"/>
  <c r="N392" i="2"/>
  <c r="O392" i="2" s="1"/>
  <c r="P392" i="2"/>
  <c r="P283" i="2"/>
  <c r="N283" i="2"/>
  <c r="O283" i="2" s="1"/>
  <c r="N1451" i="2"/>
  <c r="O1451" i="2" s="1"/>
  <c r="N1392" i="2"/>
  <c r="O1392" i="2" s="1"/>
  <c r="N1331" i="2"/>
  <c r="O1331" i="2" s="1"/>
  <c r="N1233" i="2"/>
  <c r="O1233" i="2" s="1"/>
  <c r="N1101" i="2"/>
  <c r="O1101" i="2" s="1"/>
  <c r="N1067" i="2"/>
  <c r="O1067" i="2" s="1"/>
  <c r="N1037" i="2"/>
  <c r="O1037" i="2" s="1"/>
  <c r="N969" i="2"/>
  <c r="O969" i="2" s="1"/>
  <c r="N816" i="2"/>
  <c r="O816" i="2" s="1"/>
  <c r="N768" i="2"/>
  <c r="O768" i="2" s="1"/>
  <c r="N730" i="2"/>
  <c r="O730" i="2" s="1"/>
  <c r="N540" i="2"/>
  <c r="O540" i="2" s="1"/>
  <c r="N480" i="2"/>
  <c r="O480" i="2" s="1"/>
  <c r="N416" i="2"/>
  <c r="O416" i="2" s="1"/>
  <c r="N244" i="2"/>
  <c r="O244" i="2" s="1"/>
  <c r="N134" i="2"/>
  <c r="O134" i="2" s="1"/>
  <c r="N17" i="2"/>
  <c r="O17" i="2" s="1"/>
  <c r="P1329" i="2"/>
  <c r="P1200" i="2"/>
  <c r="P1129" i="2"/>
  <c r="P972" i="2"/>
  <c r="P887" i="2"/>
  <c r="P407" i="2"/>
  <c r="P262" i="2"/>
  <c r="P180" i="2"/>
  <c r="P120" i="2"/>
  <c r="P35" i="2"/>
  <c r="P905" i="2"/>
  <c r="N905" i="2"/>
  <c r="O905" i="2" s="1"/>
  <c r="N849" i="2"/>
  <c r="O849" i="2" s="1"/>
  <c r="P849" i="2"/>
  <c r="N621" i="2"/>
  <c r="O621" i="2" s="1"/>
  <c r="P621" i="2"/>
  <c r="P497" i="2"/>
  <c r="N497" i="2"/>
  <c r="O497" i="2" s="1"/>
  <c r="P399" i="2"/>
  <c r="N399" i="2"/>
  <c r="O399" i="2" s="1"/>
  <c r="P352" i="2"/>
  <c r="N352" i="2"/>
  <c r="O352" i="2" s="1"/>
  <c r="N308" i="2"/>
  <c r="O308" i="2" s="1"/>
  <c r="P308" i="2"/>
  <c r="N139" i="2"/>
  <c r="O139" i="2" s="1"/>
  <c r="P139" i="2"/>
  <c r="P89" i="2"/>
  <c r="N89" i="2"/>
  <c r="O89" i="2" s="1"/>
  <c r="N37" i="2"/>
  <c r="O37" i="2" s="1"/>
  <c r="P37" i="2"/>
  <c r="P1349" i="2"/>
  <c r="N1349" i="2"/>
  <c r="O1349" i="2" s="1"/>
  <c r="N1301" i="2"/>
  <c r="O1301" i="2" s="1"/>
  <c r="P1301" i="2"/>
  <c r="P1277" i="2"/>
  <c r="N1277" i="2"/>
  <c r="O1277" i="2" s="1"/>
  <c r="P1229" i="2"/>
  <c r="N1229" i="2"/>
  <c r="O1229" i="2" s="1"/>
  <c r="N1181" i="2"/>
  <c r="O1181" i="2" s="1"/>
  <c r="P1181" i="2"/>
  <c r="P1157" i="2"/>
  <c r="N1157" i="2"/>
  <c r="O1157" i="2" s="1"/>
  <c r="P1085" i="2"/>
  <c r="N1085" i="2"/>
  <c r="O1085" i="2" s="1"/>
  <c r="P989" i="2"/>
  <c r="N989" i="2"/>
  <c r="O989" i="2" s="1"/>
  <c r="P845" i="2"/>
  <c r="N845" i="2"/>
  <c r="O845" i="2" s="1"/>
  <c r="P749" i="2"/>
  <c r="N749" i="2"/>
  <c r="O749" i="2" s="1"/>
  <c r="P701" i="2"/>
  <c r="N701" i="2"/>
  <c r="O701" i="2" s="1"/>
  <c r="P653" i="2"/>
  <c r="N653" i="2"/>
  <c r="O653" i="2" s="1"/>
  <c r="P557" i="2"/>
  <c r="N557" i="2"/>
  <c r="O557" i="2" s="1"/>
  <c r="P485" i="2"/>
  <c r="N485" i="2"/>
  <c r="O485" i="2" s="1"/>
  <c r="P437" i="2"/>
  <c r="N437" i="2"/>
  <c r="O437" i="2" s="1"/>
  <c r="P389" i="2"/>
  <c r="N389" i="2"/>
  <c r="O389" i="2" s="1"/>
  <c r="P317" i="2"/>
  <c r="N317" i="2"/>
  <c r="O317" i="2" s="1"/>
  <c r="P293" i="2"/>
  <c r="N293" i="2"/>
  <c r="O293" i="2" s="1"/>
  <c r="P245" i="2"/>
  <c r="N245" i="2"/>
  <c r="O245" i="2" s="1"/>
  <c r="P185" i="2"/>
  <c r="N185" i="2"/>
  <c r="O185" i="2" s="1"/>
  <c r="P149" i="2"/>
  <c r="N149" i="2"/>
  <c r="O149" i="2" s="1"/>
  <c r="P77" i="2"/>
  <c r="N77" i="2"/>
  <c r="O77" i="2" s="1"/>
  <c r="P53" i="2"/>
  <c r="N53" i="2"/>
  <c r="O53" i="2" s="1"/>
  <c r="P29" i="2"/>
  <c r="N29" i="2"/>
  <c r="O29" i="2" s="1"/>
  <c r="P1357" i="2"/>
  <c r="N1357" i="2"/>
  <c r="O1357" i="2" s="1"/>
  <c r="P1311" i="2"/>
  <c r="N1311" i="2"/>
  <c r="O1311" i="2" s="1"/>
  <c r="P1264" i="2"/>
  <c r="N1264" i="2"/>
  <c r="O1264" i="2" s="1"/>
  <c r="P879" i="2"/>
  <c r="N879" i="2"/>
  <c r="O879" i="2" s="1"/>
  <c r="P824" i="2"/>
  <c r="N824" i="2"/>
  <c r="O824" i="2" s="1"/>
  <c r="P496" i="2"/>
  <c r="N496" i="2"/>
  <c r="O496" i="2" s="1"/>
  <c r="P447" i="2"/>
  <c r="N447" i="2"/>
  <c r="O447" i="2" s="1"/>
  <c r="P393" i="2"/>
  <c r="N393" i="2"/>
  <c r="O393" i="2" s="1"/>
  <c r="N349" i="2"/>
  <c r="O349" i="2" s="1"/>
  <c r="P349" i="2"/>
  <c r="P327" i="2"/>
  <c r="N327" i="2"/>
  <c r="O327" i="2" s="1"/>
  <c r="P88" i="2"/>
  <c r="N88" i="2"/>
  <c r="O88" i="2" s="1"/>
  <c r="N1397" i="2"/>
  <c r="O1397" i="2" s="1"/>
  <c r="N1105" i="2"/>
  <c r="O1105" i="2" s="1"/>
  <c r="P1395" i="2"/>
  <c r="P38" i="2"/>
  <c r="P1479" i="2"/>
  <c r="N1479" i="2"/>
  <c r="O1479" i="2" s="1"/>
  <c r="P1335" i="2"/>
  <c r="N1335" i="2"/>
  <c r="O1335" i="2" s="1"/>
  <c r="N1287" i="2"/>
  <c r="O1287" i="2" s="1"/>
  <c r="P1287" i="2"/>
  <c r="P1143" i="2"/>
  <c r="N1143" i="2"/>
  <c r="O1143" i="2" s="1"/>
  <c r="P1047" i="2"/>
  <c r="N1047" i="2"/>
  <c r="O1047" i="2" s="1"/>
  <c r="P999" i="2"/>
  <c r="N999" i="2"/>
  <c r="O999" i="2" s="1"/>
  <c r="P951" i="2"/>
  <c r="N951" i="2"/>
  <c r="O951" i="2" s="1"/>
  <c r="P903" i="2"/>
  <c r="N903" i="2"/>
  <c r="O903" i="2" s="1"/>
  <c r="P855" i="2"/>
  <c r="N855" i="2"/>
  <c r="O855" i="2" s="1"/>
  <c r="P711" i="2"/>
  <c r="N711" i="2"/>
  <c r="O711" i="2" s="1"/>
  <c r="P663" i="2"/>
  <c r="N663" i="2"/>
  <c r="O663" i="2" s="1"/>
  <c r="P567" i="2"/>
  <c r="N567" i="2"/>
  <c r="O567" i="2" s="1"/>
  <c r="P519" i="2"/>
  <c r="N519" i="2"/>
  <c r="O519" i="2" s="1"/>
  <c r="P471" i="2"/>
  <c r="N471" i="2"/>
  <c r="O471" i="2" s="1"/>
  <c r="P423" i="2"/>
  <c r="N423" i="2"/>
  <c r="O423" i="2" s="1"/>
  <c r="P375" i="2"/>
  <c r="N375" i="2"/>
  <c r="O375" i="2" s="1"/>
  <c r="P315" i="2"/>
  <c r="N315" i="2"/>
  <c r="O315" i="2" s="1"/>
  <c r="P303" i="2"/>
  <c r="N303" i="2"/>
  <c r="O303" i="2" s="1"/>
  <c r="P279" i="2"/>
  <c r="N279" i="2"/>
  <c r="O279" i="2" s="1"/>
  <c r="P243" i="2"/>
  <c r="N243" i="2"/>
  <c r="O243" i="2" s="1"/>
  <c r="P231" i="2"/>
  <c r="N231" i="2"/>
  <c r="O231" i="2" s="1"/>
  <c r="P171" i="2"/>
  <c r="N171" i="2"/>
  <c r="O171" i="2" s="1"/>
  <c r="P159" i="2"/>
  <c r="N159" i="2"/>
  <c r="O159" i="2" s="1"/>
  <c r="P123" i="2"/>
  <c r="N123" i="2"/>
  <c r="O123" i="2" s="1"/>
  <c r="P111" i="2"/>
  <c r="N111" i="2"/>
  <c r="O111" i="2" s="1"/>
  <c r="P99" i="2"/>
  <c r="N99" i="2"/>
  <c r="O99" i="2" s="1"/>
  <c r="P87" i="2"/>
  <c r="N87" i="2"/>
  <c r="O87" i="2" s="1"/>
  <c r="P75" i="2"/>
  <c r="N75" i="2"/>
  <c r="O75" i="2" s="1"/>
  <c r="P63" i="2"/>
  <c r="N63" i="2"/>
  <c r="O63" i="2" s="1"/>
  <c r="P51" i="2"/>
  <c r="N51" i="2"/>
  <c r="O51" i="2" s="1"/>
  <c r="P27" i="2"/>
  <c r="N27" i="2"/>
  <c r="O27" i="2" s="1"/>
  <c r="P15" i="2"/>
  <c r="N15" i="2"/>
  <c r="O15" i="2" s="1"/>
  <c r="P896" i="2"/>
  <c r="N896" i="2"/>
  <c r="O896" i="2" s="1"/>
  <c r="P872" i="2"/>
  <c r="N872" i="2"/>
  <c r="O872" i="2" s="1"/>
  <c r="N489" i="2"/>
  <c r="O489" i="2" s="1"/>
  <c r="P489" i="2"/>
  <c r="N464" i="2"/>
  <c r="O464" i="2" s="1"/>
  <c r="P464" i="2"/>
  <c r="P440" i="2"/>
  <c r="N440" i="2"/>
  <c r="O440" i="2" s="1"/>
  <c r="P83" i="2"/>
  <c r="N83" i="2"/>
  <c r="O83" i="2" s="1"/>
  <c r="N58" i="2"/>
  <c r="O58" i="2" s="1"/>
  <c r="P58" i="2"/>
  <c r="N1450" i="2"/>
  <c r="O1450" i="2" s="1"/>
  <c r="N1416" i="2"/>
  <c r="O1416" i="2" s="1"/>
  <c r="N1389" i="2"/>
  <c r="O1389" i="2" s="1"/>
  <c r="N1296" i="2"/>
  <c r="O1296" i="2" s="1"/>
  <c r="N1164" i="2"/>
  <c r="O1164" i="2" s="1"/>
  <c r="N1097" i="2"/>
  <c r="O1097" i="2" s="1"/>
  <c r="N1066" i="2"/>
  <c r="O1066" i="2" s="1"/>
  <c r="N1035" i="2"/>
  <c r="O1035" i="2" s="1"/>
  <c r="N925" i="2"/>
  <c r="O925" i="2" s="1"/>
  <c r="N888" i="2"/>
  <c r="O888" i="2" s="1"/>
  <c r="N850" i="2"/>
  <c r="O850" i="2" s="1"/>
  <c r="N808" i="2"/>
  <c r="O808" i="2" s="1"/>
  <c r="N683" i="2"/>
  <c r="O683" i="2" s="1"/>
  <c r="N539" i="2"/>
  <c r="O539" i="2" s="1"/>
  <c r="N479" i="2"/>
  <c r="O479" i="2" s="1"/>
  <c r="N415" i="2"/>
  <c r="O415" i="2" s="1"/>
  <c r="N351" i="2"/>
  <c r="O351" i="2" s="1"/>
  <c r="N64" i="2"/>
  <c r="O64" i="2" s="1"/>
  <c r="N10" i="2"/>
  <c r="O10" i="2" s="1"/>
  <c r="P1384" i="2"/>
  <c r="P1199" i="2"/>
  <c r="P971" i="2"/>
  <c r="P637" i="2"/>
  <c r="P552" i="2"/>
  <c r="P406" i="2"/>
  <c r="P261" i="2"/>
  <c r="P103" i="2"/>
  <c r="P25" i="2"/>
  <c r="N13" i="2"/>
  <c r="O13" i="2" s="1"/>
  <c r="P13" i="2"/>
  <c r="N1437" i="2"/>
  <c r="O1437" i="2" s="1"/>
  <c r="P1437" i="2"/>
  <c r="N609" i="2"/>
  <c r="O609" i="2" s="1"/>
  <c r="P609" i="2"/>
  <c r="P585" i="2"/>
  <c r="N585" i="2"/>
  <c r="O585" i="2" s="1"/>
  <c r="P536" i="2"/>
  <c r="N536" i="2"/>
  <c r="O536" i="2" s="1"/>
  <c r="N297" i="2"/>
  <c r="O297" i="2" s="1"/>
  <c r="P297" i="2"/>
  <c r="N236" i="2"/>
  <c r="O236" i="2" s="1"/>
  <c r="P236" i="2"/>
  <c r="N151" i="2"/>
  <c r="O151" i="2" s="1"/>
  <c r="P151" i="2"/>
  <c r="N1445" i="2"/>
  <c r="O1445" i="2" s="1"/>
  <c r="N1414" i="2"/>
  <c r="O1414" i="2" s="1"/>
  <c r="N1353" i="2"/>
  <c r="O1353" i="2" s="1"/>
  <c r="N1325" i="2"/>
  <c r="O1325" i="2" s="1"/>
  <c r="N1260" i="2"/>
  <c r="O1260" i="2" s="1"/>
  <c r="N1225" i="2"/>
  <c r="O1225" i="2" s="1"/>
  <c r="N1061" i="2"/>
  <c r="O1061" i="2" s="1"/>
  <c r="N1030" i="2"/>
  <c r="O1030" i="2" s="1"/>
  <c r="N994" i="2"/>
  <c r="O994" i="2" s="1"/>
  <c r="N957" i="2"/>
  <c r="O957" i="2" s="1"/>
  <c r="N920" i="2"/>
  <c r="O920" i="2" s="1"/>
  <c r="N841" i="2"/>
  <c r="O841" i="2" s="1"/>
  <c r="N760" i="2"/>
  <c r="O760" i="2" s="1"/>
  <c r="N720" i="2"/>
  <c r="O720" i="2" s="1"/>
  <c r="N670" i="2"/>
  <c r="O670" i="2" s="1"/>
  <c r="N632" i="2"/>
  <c r="O632" i="2" s="1"/>
  <c r="N473" i="2"/>
  <c r="O473" i="2" s="1"/>
  <c r="N166" i="2"/>
  <c r="O166" i="2" s="1"/>
  <c r="N56" i="2"/>
  <c r="O56" i="2" s="1"/>
  <c r="P958" i="2"/>
  <c r="P877" i="2"/>
  <c r="P792" i="2"/>
  <c r="P635" i="2"/>
  <c r="P550" i="2"/>
  <c r="P382" i="2"/>
  <c r="P12" i="2"/>
  <c r="N14" i="2"/>
  <c r="O14" i="2" s="1"/>
  <c r="P14" i="2"/>
  <c r="P1167" i="2"/>
  <c r="N1167" i="2"/>
  <c r="O1167" i="2" s="1"/>
  <c r="P945" i="2"/>
  <c r="N945" i="2"/>
  <c r="O945" i="2" s="1"/>
  <c r="P868" i="2"/>
  <c r="N868" i="2"/>
  <c r="O868" i="2" s="1"/>
  <c r="N613" i="2"/>
  <c r="O613" i="2" s="1"/>
  <c r="P613" i="2"/>
  <c r="P512" i="2"/>
  <c r="N512" i="2"/>
  <c r="O512" i="2" s="1"/>
  <c r="P436" i="2"/>
  <c r="N436" i="2"/>
  <c r="O436" i="2" s="1"/>
  <c r="P363" i="2"/>
  <c r="N363" i="2"/>
  <c r="O363" i="2" s="1"/>
  <c r="P281" i="2"/>
  <c r="N281" i="2"/>
  <c r="O281" i="2" s="1"/>
  <c r="P196" i="2"/>
  <c r="N196" i="2"/>
  <c r="O196" i="2" s="1"/>
  <c r="P107" i="2"/>
  <c r="N107" i="2"/>
  <c r="O107" i="2" s="1"/>
  <c r="P985" i="2"/>
  <c r="N985" i="2"/>
  <c r="O985" i="2" s="1"/>
  <c r="N781" i="2"/>
  <c r="O781" i="2" s="1"/>
  <c r="P781" i="2"/>
  <c r="N745" i="2"/>
  <c r="O745" i="2" s="1"/>
  <c r="P745" i="2"/>
  <c r="N553" i="2"/>
  <c r="O553" i="2" s="1"/>
  <c r="P553" i="2"/>
  <c r="N505" i="2"/>
  <c r="O505" i="2" s="1"/>
  <c r="P505" i="2"/>
  <c r="N445" i="2"/>
  <c r="O445" i="2" s="1"/>
  <c r="P445" i="2"/>
  <c r="N397" i="2"/>
  <c r="O397" i="2" s="1"/>
  <c r="P397" i="2"/>
  <c r="P289" i="2"/>
  <c r="N289" i="2"/>
  <c r="O289" i="2" s="1"/>
  <c r="P193" i="2"/>
  <c r="N193" i="2"/>
  <c r="O193" i="2" s="1"/>
  <c r="P97" i="2"/>
  <c r="N97" i="2"/>
  <c r="O97" i="2" s="1"/>
  <c r="N1500" i="2"/>
  <c r="O1500" i="2" s="1"/>
  <c r="P1500" i="2"/>
  <c r="N1380" i="2"/>
  <c r="O1380" i="2" s="1"/>
  <c r="P1380" i="2"/>
  <c r="N1368" i="2"/>
  <c r="O1368" i="2" s="1"/>
  <c r="P1368" i="2"/>
  <c r="P1356" i="2"/>
  <c r="N1356" i="2"/>
  <c r="O1356" i="2" s="1"/>
  <c r="P1332" i="2"/>
  <c r="N1332" i="2"/>
  <c r="O1332" i="2" s="1"/>
  <c r="P1320" i="2"/>
  <c r="N1320" i="2"/>
  <c r="O1320" i="2" s="1"/>
  <c r="P1284" i="2"/>
  <c r="N1284" i="2"/>
  <c r="O1284" i="2" s="1"/>
  <c r="P1272" i="2"/>
  <c r="N1272" i="2"/>
  <c r="O1272" i="2" s="1"/>
  <c r="P1236" i="2"/>
  <c r="N1236" i="2"/>
  <c r="O1236" i="2" s="1"/>
  <c r="P1224" i="2"/>
  <c r="N1224" i="2"/>
  <c r="O1224" i="2" s="1"/>
  <c r="P1212" i="2"/>
  <c r="N1212" i="2"/>
  <c r="O1212" i="2" s="1"/>
  <c r="P1188" i="2"/>
  <c r="N1188" i="2"/>
  <c r="O1188" i="2" s="1"/>
  <c r="P1140" i="2"/>
  <c r="N1140" i="2"/>
  <c r="O1140" i="2" s="1"/>
  <c r="N1128" i="2"/>
  <c r="O1128" i="2" s="1"/>
  <c r="P1128" i="2"/>
  <c r="P1080" i="2"/>
  <c r="N1080" i="2"/>
  <c r="O1080" i="2" s="1"/>
  <c r="P1068" i="2"/>
  <c r="N1068" i="2"/>
  <c r="O1068" i="2" s="1"/>
  <c r="P1056" i="2"/>
  <c r="N1056" i="2"/>
  <c r="O1056" i="2" s="1"/>
  <c r="P1044" i="2"/>
  <c r="N1044" i="2"/>
  <c r="O1044" i="2" s="1"/>
  <c r="P1032" i="2"/>
  <c r="N1032" i="2"/>
  <c r="O1032" i="2" s="1"/>
  <c r="P996" i="2"/>
  <c r="N996" i="2"/>
  <c r="O996" i="2" s="1"/>
  <c r="P984" i="2"/>
  <c r="N984" i="2"/>
  <c r="O984" i="2" s="1"/>
  <c r="P960" i="2"/>
  <c r="N960" i="2"/>
  <c r="O960" i="2" s="1"/>
  <c r="P900" i="2"/>
  <c r="N900" i="2"/>
  <c r="O900" i="2" s="1"/>
  <c r="P864" i="2"/>
  <c r="N864" i="2"/>
  <c r="O864" i="2" s="1"/>
  <c r="N852" i="2"/>
  <c r="O852" i="2" s="1"/>
  <c r="P852" i="2"/>
  <c r="P804" i="2"/>
  <c r="N804" i="2"/>
  <c r="O804" i="2" s="1"/>
  <c r="P780" i="2"/>
  <c r="N780" i="2"/>
  <c r="O780" i="2" s="1"/>
  <c r="P756" i="2"/>
  <c r="N756" i="2"/>
  <c r="O756" i="2" s="1"/>
  <c r="P732" i="2"/>
  <c r="N732" i="2"/>
  <c r="O732" i="2" s="1"/>
  <c r="P696" i="2"/>
  <c r="N696" i="2"/>
  <c r="O696" i="2" s="1"/>
  <c r="P672" i="2"/>
  <c r="N672" i="2"/>
  <c r="O672" i="2" s="1"/>
  <c r="N660" i="2"/>
  <c r="O660" i="2" s="1"/>
  <c r="P660" i="2"/>
  <c r="P648" i="2"/>
  <c r="N648" i="2"/>
  <c r="O648" i="2" s="1"/>
  <c r="P612" i="2"/>
  <c r="N612" i="2"/>
  <c r="O612" i="2" s="1"/>
  <c r="P588" i="2"/>
  <c r="N588" i="2"/>
  <c r="O588" i="2" s="1"/>
  <c r="P576" i="2"/>
  <c r="N576" i="2"/>
  <c r="O576" i="2" s="1"/>
  <c r="N564" i="2"/>
  <c r="O564" i="2" s="1"/>
  <c r="P564" i="2"/>
  <c r="N528" i="2"/>
  <c r="O528" i="2" s="1"/>
  <c r="P528" i="2"/>
  <c r="N516" i="2"/>
  <c r="O516" i="2" s="1"/>
  <c r="P516" i="2"/>
  <c r="N504" i="2"/>
  <c r="O504" i="2" s="1"/>
  <c r="P504" i="2"/>
  <c r="N468" i="2"/>
  <c r="O468" i="2" s="1"/>
  <c r="P468" i="2"/>
  <c r="P420" i="2"/>
  <c r="N420" i="2"/>
  <c r="O420" i="2" s="1"/>
  <c r="N372" i="2"/>
  <c r="O372" i="2" s="1"/>
  <c r="P372" i="2"/>
  <c r="P336" i="2"/>
  <c r="N336" i="2"/>
  <c r="O336" i="2" s="1"/>
  <c r="P324" i="2"/>
  <c r="N324" i="2"/>
  <c r="O324" i="2" s="1"/>
  <c r="P312" i="2"/>
  <c r="N312" i="2"/>
  <c r="O312" i="2" s="1"/>
  <c r="N300" i="2"/>
  <c r="O300" i="2" s="1"/>
  <c r="P300" i="2"/>
  <c r="N276" i="2"/>
  <c r="O276" i="2" s="1"/>
  <c r="P276" i="2"/>
  <c r="P264" i="2"/>
  <c r="N264" i="2"/>
  <c r="O264" i="2" s="1"/>
  <c r="P252" i="2"/>
  <c r="N252" i="2"/>
  <c r="O252" i="2" s="1"/>
  <c r="P228" i="2"/>
  <c r="N228" i="2"/>
  <c r="O228" i="2" s="1"/>
  <c r="N204" i="2"/>
  <c r="O204" i="2" s="1"/>
  <c r="P204" i="2"/>
  <c r="P192" i="2"/>
  <c r="N192" i="2"/>
  <c r="O192" i="2" s="1"/>
  <c r="P168" i="2"/>
  <c r="N168" i="2"/>
  <c r="O168" i="2" s="1"/>
  <c r="N156" i="2"/>
  <c r="O156" i="2" s="1"/>
  <c r="P156" i="2"/>
  <c r="N84" i="2"/>
  <c r="O84" i="2" s="1"/>
  <c r="P84" i="2"/>
  <c r="N60" i="2"/>
  <c r="O60" i="2" s="1"/>
  <c r="P60" i="2"/>
  <c r="N48" i="2"/>
  <c r="O48" i="2" s="1"/>
  <c r="P48" i="2"/>
  <c r="P24" i="2"/>
  <c r="N24" i="2"/>
  <c r="O24" i="2" s="1"/>
  <c r="P1161" i="2"/>
  <c r="N1161" i="2"/>
  <c r="O1161" i="2" s="1"/>
  <c r="P993" i="2"/>
  <c r="N993" i="2"/>
  <c r="O993" i="2" s="1"/>
  <c r="N813" i="2"/>
  <c r="O813" i="2" s="1"/>
  <c r="P813" i="2"/>
  <c r="N657" i="2"/>
  <c r="O657" i="2" s="1"/>
  <c r="P657" i="2"/>
  <c r="P633" i="2"/>
  <c r="N633" i="2"/>
  <c r="O633" i="2" s="1"/>
  <c r="N608" i="2"/>
  <c r="O608" i="2" s="1"/>
  <c r="P608" i="2"/>
  <c r="P584" i="2"/>
  <c r="N584" i="2"/>
  <c r="O584" i="2" s="1"/>
  <c r="P319" i="2"/>
  <c r="N319" i="2"/>
  <c r="O319" i="2" s="1"/>
  <c r="N296" i="2"/>
  <c r="O296" i="2" s="1"/>
  <c r="P296" i="2"/>
  <c r="P212" i="2"/>
  <c r="N212" i="2"/>
  <c r="O212" i="2" s="1"/>
  <c r="N1503" i="2"/>
  <c r="O1503" i="2" s="1"/>
  <c r="N1441" i="2"/>
  <c r="O1441" i="2" s="1"/>
  <c r="N1379" i="2"/>
  <c r="O1379" i="2" s="1"/>
  <c r="N1253" i="2"/>
  <c r="O1253" i="2" s="1"/>
  <c r="N1191" i="2"/>
  <c r="O1191" i="2" s="1"/>
  <c r="N1092" i="2"/>
  <c r="O1092" i="2" s="1"/>
  <c r="N1021" i="2"/>
  <c r="O1021" i="2" s="1"/>
  <c r="N912" i="2"/>
  <c r="O912" i="2" s="1"/>
  <c r="N840" i="2"/>
  <c r="O840" i="2" s="1"/>
  <c r="N797" i="2"/>
  <c r="O797" i="2" s="1"/>
  <c r="N759" i="2"/>
  <c r="O759" i="2" s="1"/>
  <c r="N718" i="2"/>
  <c r="O718" i="2" s="1"/>
  <c r="N669" i="2"/>
  <c r="O669" i="2" s="1"/>
  <c r="N581" i="2"/>
  <c r="O581" i="2" s="1"/>
  <c r="N396" i="2"/>
  <c r="O396" i="2" s="1"/>
  <c r="N226" i="2"/>
  <c r="O226" i="2" s="1"/>
  <c r="N55" i="2"/>
  <c r="O55" i="2" s="1"/>
  <c r="P1104" i="2"/>
  <c r="P876" i="2"/>
  <c r="P791" i="2"/>
  <c r="P695" i="2"/>
  <c r="P623" i="2"/>
  <c r="P457" i="2"/>
  <c r="P381" i="2"/>
  <c r="P302" i="2"/>
  <c r="P11" i="2"/>
  <c r="N374" i="2"/>
  <c r="O374" i="2" s="1"/>
  <c r="P374" i="2"/>
  <c r="P1419" i="2"/>
  <c r="N1419" i="2"/>
  <c r="O1419" i="2" s="1"/>
  <c r="P1213" i="2"/>
  <c r="N1213" i="2"/>
  <c r="O1213" i="2" s="1"/>
  <c r="P1141" i="2"/>
  <c r="N1141" i="2"/>
  <c r="O1141" i="2" s="1"/>
  <c r="P1120" i="2"/>
  <c r="N1120" i="2"/>
  <c r="O1120" i="2" s="1"/>
  <c r="P976" i="2"/>
  <c r="N976" i="2"/>
  <c r="O976" i="2" s="1"/>
  <c r="P665" i="2"/>
  <c r="N665" i="2"/>
  <c r="O665" i="2" s="1"/>
  <c r="P537" i="2"/>
  <c r="N537" i="2"/>
  <c r="O537" i="2" s="1"/>
  <c r="N488" i="2"/>
  <c r="O488" i="2" s="1"/>
  <c r="P488" i="2"/>
  <c r="P387" i="2"/>
  <c r="N387" i="2"/>
  <c r="O387" i="2" s="1"/>
  <c r="N1001" i="2"/>
  <c r="O1001" i="2" s="1"/>
  <c r="N350" i="2"/>
  <c r="O350" i="2" s="1"/>
  <c r="N57" i="2"/>
  <c r="O57" i="2" s="1"/>
  <c r="P1177" i="2"/>
  <c r="N1177" i="2"/>
  <c r="O1177" i="2" s="1"/>
  <c r="P1033" i="2"/>
  <c r="N1033" i="2"/>
  <c r="O1033" i="2" s="1"/>
  <c r="N889" i="2"/>
  <c r="O889" i="2" s="1"/>
  <c r="P889" i="2"/>
  <c r="N697" i="2"/>
  <c r="O697" i="2" s="1"/>
  <c r="P697" i="2"/>
  <c r="P337" i="2"/>
  <c r="N337" i="2"/>
  <c r="O337" i="2" s="1"/>
  <c r="N229" i="2"/>
  <c r="O229" i="2" s="1"/>
  <c r="P229" i="2"/>
  <c r="P145" i="2"/>
  <c r="N145" i="2"/>
  <c r="O145" i="2" s="1"/>
  <c r="P49" i="2"/>
  <c r="N49" i="2"/>
  <c r="O49" i="2" s="1"/>
  <c r="P1499" i="2"/>
  <c r="N1499" i="2"/>
  <c r="O1499" i="2" s="1"/>
  <c r="N1487" i="2"/>
  <c r="O1487" i="2" s="1"/>
  <c r="P1487" i="2"/>
  <c r="N1475" i="2"/>
  <c r="O1475" i="2" s="1"/>
  <c r="P1475" i="2"/>
  <c r="P1463" i="2"/>
  <c r="N1463" i="2"/>
  <c r="O1463" i="2" s="1"/>
  <c r="P1439" i="2"/>
  <c r="N1439" i="2"/>
  <c r="O1439" i="2" s="1"/>
  <c r="P1427" i="2"/>
  <c r="N1427" i="2"/>
  <c r="O1427" i="2" s="1"/>
  <c r="P1403" i="2"/>
  <c r="N1403" i="2"/>
  <c r="O1403" i="2" s="1"/>
  <c r="P1391" i="2"/>
  <c r="N1391" i="2"/>
  <c r="O1391" i="2" s="1"/>
  <c r="N1367" i="2"/>
  <c r="O1367" i="2" s="1"/>
  <c r="P1367" i="2"/>
  <c r="P1355" i="2"/>
  <c r="N1355" i="2"/>
  <c r="O1355" i="2" s="1"/>
  <c r="P1295" i="2"/>
  <c r="N1295" i="2"/>
  <c r="O1295" i="2" s="1"/>
  <c r="P1271" i="2"/>
  <c r="N1271" i="2"/>
  <c r="O1271" i="2" s="1"/>
  <c r="P1235" i="2"/>
  <c r="N1235" i="2"/>
  <c r="O1235" i="2" s="1"/>
  <c r="P1223" i="2"/>
  <c r="N1223" i="2"/>
  <c r="O1223" i="2" s="1"/>
  <c r="P1187" i="2"/>
  <c r="N1187" i="2"/>
  <c r="O1187" i="2" s="1"/>
  <c r="P1139" i="2"/>
  <c r="N1139" i="2"/>
  <c r="O1139" i="2" s="1"/>
  <c r="N1127" i="2"/>
  <c r="O1127" i="2" s="1"/>
  <c r="P1127" i="2"/>
  <c r="P1103" i="2"/>
  <c r="N1103" i="2"/>
  <c r="O1103" i="2" s="1"/>
  <c r="P1055" i="2"/>
  <c r="N1055" i="2"/>
  <c r="O1055" i="2" s="1"/>
  <c r="P1007" i="2"/>
  <c r="N1007" i="2"/>
  <c r="O1007" i="2" s="1"/>
  <c r="N995" i="2"/>
  <c r="O995" i="2" s="1"/>
  <c r="P995" i="2"/>
  <c r="P947" i="2"/>
  <c r="N947" i="2"/>
  <c r="O947" i="2" s="1"/>
  <c r="P923" i="2"/>
  <c r="N923" i="2"/>
  <c r="O923" i="2" s="1"/>
  <c r="N899" i="2"/>
  <c r="O899" i="2" s="1"/>
  <c r="P899" i="2"/>
  <c r="P875" i="2"/>
  <c r="N875" i="2"/>
  <c r="O875" i="2" s="1"/>
  <c r="N863" i="2"/>
  <c r="O863" i="2" s="1"/>
  <c r="P863" i="2"/>
  <c r="N851" i="2"/>
  <c r="O851" i="2" s="1"/>
  <c r="P851" i="2"/>
  <c r="P815" i="2"/>
  <c r="N815" i="2"/>
  <c r="O815" i="2" s="1"/>
  <c r="P803" i="2"/>
  <c r="N803" i="2"/>
  <c r="O803" i="2" s="1"/>
  <c r="N767" i="2"/>
  <c r="O767" i="2" s="1"/>
  <c r="P767" i="2"/>
  <c r="P755" i="2"/>
  <c r="N755" i="2"/>
  <c r="O755" i="2" s="1"/>
  <c r="N671" i="2"/>
  <c r="O671" i="2" s="1"/>
  <c r="P671" i="2"/>
  <c r="N659" i="2"/>
  <c r="O659" i="2" s="1"/>
  <c r="P659" i="2"/>
  <c r="P647" i="2"/>
  <c r="N647" i="2"/>
  <c r="O647" i="2" s="1"/>
  <c r="P611" i="2"/>
  <c r="N611" i="2"/>
  <c r="O611" i="2" s="1"/>
  <c r="P587" i="2"/>
  <c r="N587" i="2"/>
  <c r="O587" i="2" s="1"/>
  <c r="N563" i="2"/>
  <c r="O563" i="2" s="1"/>
  <c r="P563" i="2"/>
  <c r="P527" i="2"/>
  <c r="N527" i="2"/>
  <c r="O527" i="2" s="1"/>
  <c r="N515" i="2"/>
  <c r="O515" i="2" s="1"/>
  <c r="P515" i="2"/>
  <c r="N503" i="2"/>
  <c r="O503" i="2" s="1"/>
  <c r="P503" i="2"/>
  <c r="P491" i="2"/>
  <c r="N491" i="2"/>
  <c r="O491" i="2" s="1"/>
  <c r="N467" i="2"/>
  <c r="O467" i="2" s="1"/>
  <c r="P467" i="2"/>
  <c r="P455" i="2"/>
  <c r="N455" i="2"/>
  <c r="O455" i="2" s="1"/>
  <c r="P443" i="2"/>
  <c r="N443" i="2"/>
  <c r="O443" i="2" s="1"/>
  <c r="P419" i="2"/>
  <c r="N419" i="2"/>
  <c r="O419" i="2" s="1"/>
  <c r="N383" i="2"/>
  <c r="O383" i="2" s="1"/>
  <c r="P383" i="2"/>
  <c r="P119" i="2"/>
  <c r="N119" i="2"/>
  <c r="O119" i="2" s="1"/>
  <c r="N1113" i="2"/>
  <c r="O1113" i="2" s="1"/>
  <c r="P1113" i="2"/>
  <c r="N1041" i="2"/>
  <c r="O1041" i="2" s="1"/>
  <c r="P1041" i="2"/>
  <c r="P705" i="2"/>
  <c r="N705" i="2"/>
  <c r="O705" i="2" s="1"/>
  <c r="N681" i="2"/>
  <c r="O681" i="2" s="1"/>
  <c r="P681" i="2"/>
  <c r="N295" i="2"/>
  <c r="O295" i="2" s="1"/>
  <c r="P295" i="2"/>
  <c r="P211" i="2"/>
  <c r="N211" i="2"/>
  <c r="O211" i="2" s="1"/>
  <c r="N1440" i="2"/>
  <c r="O1440" i="2" s="1"/>
  <c r="N1378" i="2"/>
  <c r="O1378" i="2" s="1"/>
  <c r="N1319" i="2"/>
  <c r="O1319" i="2" s="1"/>
  <c r="N1152" i="2"/>
  <c r="O1152" i="2" s="1"/>
  <c r="N1089" i="2"/>
  <c r="O1089" i="2" s="1"/>
  <c r="N1057" i="2"/>
  <c r="O1057" i="2" s="1"/>
  <c r="N1020" i="2"/>
  <c r="O1020" i="2" s="1"/>
  <c r="N839" i="2"/>
  <c r="O839" i="2" s="1"/>
  <c r="N796" i="2"/>
  <c r="O796" i="2" s="1"/>
  <c r="N747" i="2"/>
  <c r="O747" i="2" s="1"/>
  <c r="N712" i="2"/>
  <c r="O712" i="2" s="1"/>
  <c r="N624" i="2"/>
  <c r="O624" i="2" s="1"/>
  <c r="N575" i="2"/>
  <c r="O575" i="2" s="1"/>
  <c r="N456" i="2"/>
  <c r="O456" i="2" s="1"/>
  <c r="N395" i="2"/>
  <c r="O395" i="2" s="1"/>
  <c r="N284" i="2"/>
  <c r="O284" i="2" s="1"/>
  <c r="N223" i="2"/>
  <c r="O223" i="2" s="1"/>
  <c r="P1366" i="2"/>
  <c r="P1240" i="2"/>
  <c r="P779" i="2"/>
  <c r="P622" i="2"/>
  <c r="P454" i="2"/>
  <c r="P360" i="2"/>
  <c r="P301" i="2"/>
  <c r="P154" i="2"/>
  <c r="P398" i="2"/>
  <c r="N398" i="2"/>
  <c r="O398" i="2" s="1"/>
  <c r="P278" i="2"/>
  <c r="N278" i="2"/>
  <c r="O278" i="2" s="1"/>
  <c r="N230" i="2"/>
  <c r="O230" i="2" s="1"/>
  <c r="P230" i="2"/>
  <c r="P158" i="2"/>
  <c r="N158" i="2"/>
  <c r="O158" i="2" s="1"/>
  <c r="P110" i="2"/>
  <c r="N110" i="2"/>
  <c r="O110" i="2" s="1"/>
  <c r="P26" i="2"/>
  <c r="N26" i="2"/>
  <c r="O26" i="2" s="1"/>
  <c r="P1257" i="2"/>
  <c r="N1257" i="2"/>
  <c r="O1257" i="2" s="1"/>
  <c r="N1185" i="2"/>
  <c r="O1185" i="2" s="1"/>
  <c r="P1185" i="2"/>
  <c r="P921" i="2"/>
  <c r="N921" i="2"/>
  <c r="O921" i="2" s="1"/>
  <c r="P843" i="2"/>
  <c r="N843" i="2"/>
  <c r="O843" i="2" s="1"/>
  <c r="P689" i="2"/>
  <c r="N689" i="2"/>
  <c r="O689" i="2" s="1"/>
  <c r="P640" i="2"/>
  <c r="N640" i="2"/>
  <c r="O640" i="2" s="1"/>
  <c r="P561" i="2"/>
  <c r="N561" i="2"/>
  <c r="O561" i="2" s="1"/>
  <c r="P463" i="2"/>
  <c r="N463" i="2"/>
  <c r="O463" i="2" s="1"/>
  <c r="N237" i="2"/>
  <c r="O237" i="2" s="1"/>
  <c r="P237" i="2"/>
  <c r="P175" i="2"/>
  <c r="N175" i="2"/>
  <c r="O175" i="2" s="1"/>
  <c r="N152" i="2"/>
  <c r="O152" i="2" s="1"/>
  <c r="P152" i="2"/>
  <c r="P82" i="2"/>
  <c r="N82" i="2"/>
  <c r="O82" i="2" s="1"/>
  <c r="N591" i="2"/>
  <c r="O591" i="2" s="1"/>
  <c r="P1417" i="2"/>
  <c r="N1417" i="2"/>
  <c r="O1417" i="2" s="1"/>
  <c r="P1369" i="2"/>
  <c r="N1369" i="2"/>
  <c r="O1369" i="2" s="1"/>
  <c r="P1321" i="2"/>
  <c r="N1321" i="2"/>
  <c r="O1321" i="2" s="1"/>
  <c r="P1081" i="2"/>
  <c r="N1081" i="2"/>
  <c r="O1081" i="2" s="1"/>
  <c r="N973" i="2"/>
  <c r="O973" i="2" s="1"/>
  <c r="P973" i="2"/>
  <c r="N733" i="2"/>
  <c r="O733" i="2" s="1"/>
  <c r="P733" i="2"/>
  <c r="N649" i="2"/>
  <c r="O649" i="2" s="1"/>
  <c r="P649" i="2"/>
  <c r="N589" i="2"/>
  <c r="O589" i="2" s="1"/>
  <c r="P589" i="2"/>
  <c r="N541" i="2"/>
  <c r="O541" i="2" s="1"/>
  <c r="P541" i="2"/>
  <c r="N361" i="2"/>
  <c r="O361" i="2" s="1"/>
  <c r="P361" i="2"/>
  <c r="N157" i="2"/>
  <c r="O157" i="2" s="1"/>
  <c r="P157" i="2"/>
  <c r="N85" i="2"/>
  <c r="O85" i="2" s="1"/>
  <c r="P85" i="2"/>
  <c r="N61" i="2"/>
  <c r="O61" i="2" s="1"/>
  <c r="P61" i="2"/>
  <c r="P1498" i="2"/>
  <c r="N1498" i="2"/>
  <c r="O1498" i="2" s="1"/>
  <c r="N1486" i="2"/>
  <c r="O1486" i="2" s="1"/>
  <c r="P1486" i="2"/>
  <c r="N1474" i="2"/>
  <c r="O1474" i="2" s="1"/>
  <c r="P1474" i="2"/>
  <c r="P1462" i="2"/>
  <c r="N1462" i="2"/>
  <c r="O1462" i="2" s="1"/>
  <c r="P1438" i="2"/>
  <c r="N1438" i="2"/>
  <c r="O1438" i="2" s="1"/>
  <c r="P1426" i="2"/>
  <c r="N1426" i="2"/>
  <c r="O1426" i="2" s="1"/>
  <c r="P1402" i="2"/>
  <c r="N1402" i="2"/>
  <c r="O1402" i="2" s="1"/>
  <c r="P1390" i="2"/>
  <c r="N1390" i="2"/>
  <c r="O1390" i="2" s="1"/>
  <c r="N1354" i="2"/>
  <c r="O1354" i="2" s="1"/>
  <c r="P1354" i="2"/>
  <c r="P1342" i="2"/>
  <c r="N1342" i="2"/>
  <c r="O1342" i="2" s="1"/>
  <c r="N1330" i="2"/>
  <c r="O1330" i="2" s="1"/>
  <c r="P1330" i="2"/>
  <c r="P1294" i="2"/>
  <c r="N1294" i="2"/>
  <c r="O1294" i="2" s="1"/>
  <c r="P1282" i="2"/>
  <c r="N1282" i="2"/>
  <c r="O1282" i="2" s="1"/>
  <c r="P1270" i="2"/>
  <c r="N1270" i="2"/>
  <c r="O1270" i="2" s="1"/>
  <c r="P1258" i="2"/>
  <c r="N1258" i="2"/>
  <c r="O1258" i="2" s="1"/>
  <c r="P1246" i="2"/>
  <c r="N1246" i="2"/>
  <c r="O1246" i="2" s="1"/>
  <c r="P1198" i="2"/>
  <c r="N1198" i="2"/>
  <c r="O1198" i="2" s="1"/>
  <c r="N1186" i="2"/>
  <c r="O1186" i="2" s="1"/>
  <c r="P1186" i="2"/>
  <c r="P1162" i="2"/>
  <c r="N1162" i="2"/>
  <c r="O1162" i="2" s="1"/>
  <c r="P1138" i="2"/>
  <c r="N1138" i="2"/>
  <c r="O1138" i="2" s="1"/>
  <c r="P1126" i="2"/>
  <c r="N1126" i="2"/>
  <c r="O1126" i="2" s="1"/>
  <c r="N1114" i="2"/>
  <c r="O1114" i="2" s="1"/>
  <c r="P1114" i="2"/>
  <c r="P1102" i="2"/>
  <c r="N1102" i="2"/>
  <c r="O1102" i="2" s="1"/>
  <c r="P1090" i="2"/>
  <c r="N1090" i="2"/>
  <c r="O1090" i="2" s="1"/>
  <c r="P1054" i="2"/>
  <c r="N1054" i="2"/>
  <c r="O1054" i="2" s="1"/>
  <c r="N1042" i="2"/>
  <c r="O1042" i="2" s="1"/>
  <c r="P1042" i="2"/>
  <c r="P1006" i="2"/>
  <c r="N1006" i="2"/>
  <c r="O1006" i="2" s="1"/>
  <c r="N982" i="2"/>
  <c r="O982" i="2" s="1"/>
  <c r="P982" i="2"/>
  <c r="P922" i="2"/>
  <c r="N922" i="2"/>
  <c r="O922" i="2" s="1"/>
  <c r="P898" i="2"/>
  <c r="N898" i="2"/>
  <c r="O898" i="2" s="1"/>
  <c r="P874" i="2"/>
  <c r="N874" i="2"/>
  <c r="O874" i="2" s="1"/>
  <c r="P838" i="2"/>
  <c r="N838" i="2"/>
  <c r="O838" i="2" s="1"/>
  <c r="N826" i="2"/>
  <c r="O826" i="2" s="1"/>
  <c r="P826" i="2"/>
  <c r="P814" i="2"/>
  <c r="N814" i="2"/>
  <c r="O814" i="2" s="1"/>
  <c r="P802" i="2"/>
  <c r="N802" i="2"/>
  <c r="O802" i="2" s="1"/>
  <c r="N790" i="2"/>
  <c r="O790" i="2" s="1"/>
  <c r="P790" i="2"/>
  <c r="N778" i="2"/>
  <c r="O778" i="2" s="1"/>
  <c r="P778" i="2"/>
  <c r="P754" i="2"/>
  <c r="N754" i="2"/>
  <c r="O754" i="2" s="1"/>
  <c r="P706" i="2"/>
  <c r="N706" i="2"/>
  <c r="O706" i="2" s="1"/>
  <c r="P658" i="2"/>
  <c r="N658" i="2"/>
  <c r="O658" i="2" s="1"/>
  <c r="N634" i="2"/>
  <c r="O634" i="2" s="1"/>
  <c r="P634" i="2"/>
  <c r="P610" i="2"/>
  <c r="N610" i="2"/>
  <c r="O610" i="2" s="1"/>
  <c r="P586" i="2"/>
  <c r="N586" i="2"/>
  <c r="O586" i="2" s="1"/>
  <c r="P562" i="2"/>
  <c r="N562" i="2"/>
  <c r="O562" i="2" s="1"/>
  <c r="N538" i="2"/>
  <c r="O538" i="2" s="1"/>
  <c r="P538" i="2"/>
  <c r="P526" i="2"/>
  <c r="N526" i="2"/>
  <c r="O526" i="2" s="1"/>
  <c r="P514" i="2"/>
  <c r="N514" i="2"/>
  <c r="O514" i="2" s="1"/>
  <c r="P490" i="2"/>
  <c r="N490" i="2"/>
  <c r="O490" i="2" s="1"/>
  <c r="N478" i="2"/>
  <c r="O478" i="2" s="1"/>
  <c r="P478" i="2"/>
  <c r="P466" i="2"/>
  <c r="N466" i="2"/>
  <c r="O466" i="2" s="1"/>
  <c r="P442" i="2"/>
  <c r="N442" i="2"/>
  <c r="O442" i="2" s="1"/>
  <c r="P418" i="2"/>
  <c r="N418" i="2"/>
  <c r="O418" i="2" s="1"/>
  <c r="P394" i="2"/>
  <c r="N394" i="2"/>
  <c r="O394" i="2" s="1"/>
  <c r="P358" i="2"/>
  <c r="N358" i="2"/>
  <c r="O358" i="2" s="1"/>
  <c r="N346" i="2"/>
  <c r="O346" i="2" s="1"/>
  <c r="P346" i="2"/>
  <c r="P334" i="2"/>
  <c r="N334" i="2"/>
  <c r="O334" i="2" s="1"/>
  <c r="P322" i="2"/>
  <c r="N322" i="2"/>
  <c r="O322" i="2" s="1"/>
  <c r="P298" i="2"/>
  <c r="N298" i="2"/>
  <c r="O298" i="2" s="1"/>
  <c r="P286" i="2"/>
  <c r="N286" i="2"/>
  <c r="O286" i="2" s="1"/>
  <c r="P274" i="2"/>
  <c r="N274" i="2"/>
  <c r="O274" i="2" s="1"/>
  <c r="N250" i="2"/>
  <c r="O250" i="2" s="1"/>
  <c r="P250" i="2"/>
  <c r="N238" i="2"/>
  <c r="O238" i="2" s="1"/>
  <c r="P238" i="2"/>
  <c r="P214" i="2"/>
  <c r="N214" i="2"/>
  <c r="O214" i="2" s="1"/>
  <c r="N202" i="2"/>
  <c r="O202" i="2" s="1"/>
  <c r="P202" i="2"/>
  <c r="N190" i="2"/>
  <c r="O190" i="2" s="1"/>
  <c r="P190" i="2"/>
  <c r="P178" i="2"/>
  <c r="N178" i="2"/>
  <c r="O178" i="2" s="1"/>
  <c r="P142" i="2"/>
  <c r="N142" i="2"/>
  <c r="O142" i="2" s="1"/>
  <c r="P130" i="2"/>
  <c r="N130" i="2"/>
  <c r="O130" i="2" s="1"/>
  <c r="P118" i="2"/>
  <c r="N118" i="2"/>
  <c r="O118" i="2" s="1"/>
  <c r="P106" i="2"/>
  <c r="N106" i="2"/>
  <c r="O106" i="2" s="1"/>
  <c r="P1341" i="2"/>
  <c r="N1341" i="2"/>
  <c r="O1341" i="2" s="1"/>
  <c r="P1065" i="2"/>
  <c r="N1065" i="2"/>
  <c r="O1065" i="2" s="1"/>
  <c r="P861" i="2"/>
  <c r="N861" i="2"/>
  <c r="O861" i="2" s="1"/>
  <c r="P753" i="2"/>
  <c r="N753" i="2"/>
  <c r="O753" i="2" s="1"/>
  <c r="P729" i="2"/>
  <c r="N729" i="2"/>
  <c r="O729" i="2" s="1"/>
  <c r="N704" i="2"/>
  <c r="O704" i="2" s="1"/>
  <c r="P704" i="2"/>
  <c r="N680" i="2"/>
  <c r="O680" i="2" s="1"/>
  <c r="P680" i="2"/>
  <c r="N429" i="2"/>
  <c r="O429" i="2" s="1"/>
  <c r="P429" i="2"/>
  <c r="P403" i="2"/>
  <c r="N403" i="2"/>
  <c r="O403" i="2" s="1"/>
  <c r="N189" i="2"/>
  <c r="O189" i="2" s="1"/>
  <c r="P189" i="2"/>
  <c r="N47" i="2"/>
  <c r="O47" i="2" s="1"/>
  <c r="P47" i="2"/>
  <c r="P22" i="2"/>
  <c r="N22" i="2"/>
  <c r="O22" i="2" s="1"/>
  <c r="N1497" i="2"/>
  <c r="O1497" i="2" s="1"/>
  <c r="N1467" i="2"/>
  <c r="O1467" i="2" s="1"/>
  <c r="N1318" i="2"/>
  <c r="O1318" i="2" s="1"/>
  <c r="N1283" i="2"/>
  <c r="O1283" i="2" s="1"/>
  <c r="N1053" i="2"/>
  <c r="O1053" i="2" s="1"/>
  <c r="N983" i="2"/>
  <c r="O983" i="2" s="1"/>
  <c r="N948" i="2"/>
  <c r="O948" i="2" s="1"/>
  <c r="N910" i="2"/>
  <c r="O910" i="2" s="1"/>
  <c r="N708" i="2"/>
  <c r="O708" i="2" s="1"/>
  <c r="N520" i="2"/>
  <c r="O520" i="2" s="1"/>
  <c r="N161" i="2"/>
  <c r="O161" i="2" s="1"/>
  <c r="N101" i="2"/>
  <c r="O101" i="2" s="1"/>
  <c r="N40" i="2"/>
  <c r="O40" i="2" s="1"/>
  <c r="P935" i="2"/>
  <c r="P601" i="2"/>
  <c r="P444" i="2"/>
  <c r="P356" i="2"/>
  <c r="P217" i="2"/>
  <c r="P153" i="2"/>
  <c r="N620" i="2"/>
  <c r="O620" i="2" s="1"/>
  <c r="P620" i="2"/>
  <c r="P524" i="2"/>
  <c r="N524" i="2"/>
  <c r="O524" i="2" s="1"/>
  <c r="P428" i="2"/>
  <c r="N428" i="2"/>
  <c r="O428" i="2" s="1"/>
  <c r="P380" i="2"/>
  <c r="N380" i="2"/>
  <c r="O380" i="2" s="1"/>
  <c r="P307" i="2"/>
  <c r="N307" i="2"/>
  <c r="O307" i="2" s="1"/>
  <c r="N249" i="2"/>
  <c r="O249" i="2" s="1"/>
  <c r="P249" i="2"/>
  <c r="P235" i="2"/>
  <c r="N235" i="2"/>
  <c r="O235" i="2" s="1"/>
  <c r="P177" i="2"/>
  <c r="N177" i="2"/>
  <c r="O177" i="2" s="1"/>
  <c r="P163" i="2"/>
  <c r="N163" i="2"/>
  <c r="O163" i="2" s="1"/>
  <c r="N33" i="2"/>
  <c r="O33" i="2" s="1"/>
  <c r="P33" i="2"/>
  <c r="N476" i="2"/>
  <c r="O476" i="2" s="1"/>
  <c r="N837" i="2"/>
  <c r="O837" i="2" s="1"/>
  <c r="N81" i="2"/>
  <c r="O81" i="2" s="1"/>
  <c r="P69" i="2"/>
  <c r="N93" i="2"/>
  <c r="O93" i="2" s="1"/>
  <c r="P93" i="2"/>
  <c r="P273" i="2"/>
  <c r="N273" i="2"/>
  <c r="O273" i="2" s="1"/>
  <c r="N201" i="2"/>
  <c r="O201" i="2" s="1"/>
  <c r="P201" i="2"/>
  <c r="P129" i="2"/>
  <c r="N129" i="2"/>
  <c r="O129" i="2" s="1"/>
  <c r="N45" i="2"/>
  <c r="O45" i="2" s="1"/>
  <c r="P45" i="2"/>
  <c r="N1317" i="2"/>
  <c r="O1317" i="2" s="1"/>
  <c r="P572" i="2"/>
  <c r="P104" i="2"/>
  <c r="N104" i="2"/>
  <c r="O104" i="2" s="1"/>
  <c r="N92" i="2"/>
  <c r="O92" i="2" s="1"/>
  <c r="P92" i="2"/>
  <c r="P1461" i="2"/>
  <c r="N1461" i="2"/>
  <c r="O1461" i="2" s="1"/>
  <c r="P981" i="2"/>
  <c r="N981" i="2"/>
  <c r="O981" i="2" s="1"/>
  <c r="P789" i="2"/>
  <c r="N789" i="2"/>
  <c r="O789" i="2" s="1"/>
  <c r="P597" i="2"/>
  <c r="N597" i="2"/>
  <c r="O597" i="2" s="1"/>
  <c r="P549" i="2"/>
  <c r="N549" i="2"/>
  <c r="O549" i="2" s="1"/>
  <c r="N501" i="2"/>
  <c r="O501" i="2" s="1"/>
  <c r="P501" i="2"/>
  <c r="N453" i="2"/>
  <c r="O453" i="2" s="1"/>
  <c r="P453" i="2"/>
  <c r="P405" i="2"/>
  <c r="N405" i="2"/>
  <c r="O405" i="2" s="1"/>
  <c r="P91" i="2"/>
  <c r="N91" i="2"/>
  <c r="O91" i="2" s="1"/>
  <c r="P67" i="2"/>
  <c r="N67" i="2"/>
  <c r="O67" i="2" s="1"/>
  <c r="P357" i="2"/>
  <c r="N357" i="2"/>
  <c r="O357" i="2" s="1"/>
  <c r="P213" i="2"/>
  <c r="N213" i="2"/>
  <c r="O213" i="2" s="1"/>
  <c r="P141" i="2"/>
  <c r="N141" i="2"/>
  <c r="O141" i="2" s="1"/>
  <c r="N59" i="2"/>
  <c r="O59" i="2" s="1"/>
  <c r="P59" i="2"/>
  <c r="P23" i="2"/>
  <c r="N23" i="2"/>
  <c r="O23" i="2" s="1"/>
  <c r="N285" i="2"/>
  <c r="O285" i="2" s="1"/>
  <c r="N299" i="2"/>
  <c r="O299" i="2" s="1"/>
  <c r="N275" i="2"/>
  <c r="O275" i="2" s="1"/>
  <c r="N359" i="2"/>
  <c r="O359" i="2" s="1"/>
  <c r="P359" i="2"/>
  <c r="P263" i="2"/>
  <c r="N263" i="2"/>
  <c r="O263" i="2" s="1"/>
  <c r="N105" i="2"/>
  <c r="O105" i="2" s="1"/>
  <c r="N167" i="2"/>
  <c r="O167" i="2" s="1"/>
  <c r="Q36" i="7" l="1"/>
  <c r="L21" i="7"/>
  <c r="P21" i="7"/>
  <c r="V21" i="7" s="1"/>
  <c r="Q43" i="7"/>
  <c r="L39" i="7"/>
  <c r="P39" i="7"/>
  <c r="V39" i="7" s="1"/>
  <c r="L24" i="7"/>
  <c r="P24" i="7"/>
  <c r="V24" i="7" s="1"/>
  <c r="Q10" i="7"/>
  <c r="Q42" i="7"/>
  <c r="L51" i="7"/>
  <c r="P51" i="7"/>
  <c r="V51" i="7" s="1"/>
  <c r="L46" i="7"/>
  <c r="P46" i="7"/>
  <c r="V46" i="7" s="1"/>
  <c r="P25" i="7"/>
  <c r="V25" i="7" s="1"/>
  <c r="Q49" i="7"/>
  <c r="Q15" i="7"/>
  <c r="Q16" i="7"/>
  <c r="Q39" i="7"/>
  <c r="P18" i="7"/>
  <c r="V18" i="7" s="1"/>
  <c r="P57" i="7"/>
  <c r="V57" i="7" s="1"/>
  <c r="L40" i="7"/>
  <c r="P40" i="7"/>
  <c r="V40" i="7" s="1"/>
  <c r="L19" i="7"/>
  <c r="P19" i="7"/>
  <c r="V19" i="7" s="1"/>
  <c r="P45" i="7"/>
  <c r="V45" i="7" s="1"/>
  <c r="L30" i="7"/>
  <c r="P30" i="7"/>
  <c r="V30" i="7" s="1"/>
  <c r="Q34" i="7"/>
  <c r="Q48" i="7"/>
  <c r="Q9" i="7"/>
  <c r="P52" i="7"/>
  <c r="V52" i="7" s="1"/>
  <c r="L31" i="7"/>
  <c r="P31" i="7"/>
  <c r="V31" i="7" s="1"/>
  <c r="Q55" i="7"/>
  <c r="Q33" i="7"/>
  <c r="Q40" i="7"/>
  <c r="Q17" i="7"/>
  <c r="Q54" i="7"/>
  <c r="Q21" i="7"/>
  <c r="L58" i="7"/>
  <c r="P58" i="7"/>
  <c r="V58" i="7" s="1"/>
  <c r="L37" i="7"/>
  <c r="P37" i="7"/>
  <c r="V37" i="7" s="1"/>
  <c r="Q61" i="7"/>
  <c r="Q45" i="7"/>
  <c r="L42" i="7"/>
  <c r="P42" i="7"/>
  <c r="V42" i="7" s="1"/>
  <c r="Q11" i="7"/>
  <c r="Q60" i="7"/>
  <c r="Q27" i="7"/>
  <c r="Q28" i="7"/>
  <c r="L43" i="7"/>
  <c r="P43" i="7"/>
  <c r="V43" i="7" s="1"/>
  <c r="L14" i="7"/>
  <c r="P14" i="7"/>
  <c r="V14" i="7" s="1"/>
  <c r="Q57" i="7"/>
  <c r="Q29" i="7"/>
  <c r="Q41" i="7"/>
  <c r="L48" i="7"/>
  <c r="P48" i="7"/>
  <c r="V48" i="7" s="1"/>
  <c r="P26" i="7"/>
  <c r="V26" i="7" s="1"/>
  <c r="Q53" i="7"/>
  <c r="L36" i="7"/>
  <c r="P36" i="7"/>
  <c r="V36" i="7" s="1"/>
  <c r="Q52" i="7"/>
  <c r="Q35" i="7"/>
  <c r="L55" i="7"/>
  <c r="P55" i="7"/>
  <c r="V55" i="7" s="1"/>
  <c r="P38" i="7"/>
  <c r="V38" i="7" s="1"/>
  <c r="Q46" i="7"/>
  <c r="L60" i="7"/>
  <c r="P60" i="7"/>
  <c r="V60" i="7" s="1"/>
  <c r="Q47" i="7"/>
  <c r="L44" i="7"/>
  <c r="P44" i="7"/>
  <c r="V44" i="7" s="1"/>
  <c r="L10" i="7"/>
  <c r="P10" i="7"/>
  <c r="V10" i="7" s="1"/>
  <c r="L11" i="7"/>
  <c r="P11" i="7"/>
  <c r="V11" i="7" s="1"/>
  <c r="Q13" i="7"/>
  <c r="L50" i="7"/>
  <c r="P50" i="7"/>
  <c r="V50" i="7" s="1"/>
  <c r="L17" i="7"/>
  <c r="P17" i="7"/>
  <c r="V17" i="7" s="1"/>
  <c r="Q59" i="7"/>
  <c r="L61" i="7"/>
  <c r="P61" i="7"/>
  <c r="V61" i="7" s="1"/>
  <c r="P20" i="7"/>
  <c r="V20" i="7" s="1"/>
  <c r="L54" i="7"/>
  <c r="P54" i="7"/>
  <c r="V54" i="7" s="1"/>
  <c r="Q58" i="7"/>
  <c r="Q12" i="7"/>
  <c r="L16" i="7"/>
  <c r="P16" i="7"/>
  <c r="V16" i="7" s="1"/>
  <c r="Q20" i="7"/>
  <c r="Q50" i="7"/>
  <c r="Q18" i="7"/>
  <c r="Q14" i="7"/>
  <c r="L22" i="7"/>
  <c r="P22" i="7"/>
  <c r="V22" i="7" s="1"/>
  <c r="L35" i="7"/>
  <c r="P35" i="7"/>
  <c r="V35" i="7" s="1"/>
  <c r="Q25" i="7"/>
  <c r="Q38" i="7"/>
  <c r="L41" i="7"/>
  <c r="P41" i="7"/>
  <c r="V41" i="7" s="1"/>
  <c r="P8" i="7"/>
  <c r="V8" i="7" s="1"/>
  <c r="Q23" i="7"/>
  <c r="Q22" i="7"/>
  <c r="Q51" i="7"/>
  <c r="L56" i="7"/>
  <c r="P56" i="7"/>
  <c r="V56" i="7" s="1"/>
  <c r="Q19" i="7"/>
  <c r="L9" i="7"/>
  <c r="P9" i="7"/>
  <c r="V9" i="7" s="1"/>
  <c r="Q24" i="7"/>
  <c r="Q32" i="7"/>
  <c r="P28" i="7"/>
  <c r="V28" i="7" s="1"/>
  <c r="L47" i="7"/>
  <c r="P47" i="7"/>
  <c r="V47" i="7" s="1"/>
  <c r="Q31" i="7"/>
  <c r="Q56" i="7"/>
  <c r="P59" i="7"/>
  <c r="V59" i="7" s="1"/>
  <c r="L53" i="7"/>
  <c r="P53" i="7"/>
  <c r="V53" i="7" s="1"/>
  <c r="L49" i="7"/>
  <c r="P49" i="7"/>
  <c r="V49" i="7" s="1"/>
  <c r="L32" i="7"/>
  <c r="P32" i="7"/>
  <c r="V32" i="7" s="1"/>
  <c r="Q26" i="7"/>
  <c r="L23" i="7"/>
  <c r="P23" i="7"/>
  <c r="V23" i="7" s="1"/>
  <c r="L29" i="7"/>
  <c r="P29" i="7"/>
  <c r="V29" i="7" s="1"/>
  <c r="P12" i="7"/>
  <c r="V12" i="7" s="1"/>
  <c r="L33" i="7"/>
  <c r="P33" i="7"/>
  <c r="V33" i="7" s="1"/>
  <c r="Q30" i="7"/>
  <c r="Q44" i="7"/>
  <c r="L34" i="7"/>
  <c r="P34" i="7"/>
  <c r="V34" i="7" s="1"/>
  <c r="P13" i="7"/>
  <c r="V13" i="7" s="1"/>
  <c r="Q37" i="7"/>
  <c r="L27" i="7"/>
  <c r="P27" i="7"/>
  <c r="V27" i="7" s="1"/>
  <c r="P15" i="7"/>
  <c r="V15" i="7" s="1"/>
  <c r="L15" i="7"/>
  <c r="J52" i="7"/>
  <c r="L52" i="7"/>
  <c r="J25" i="7"/>
  <c r="L25" i="7"/>
  <c r="J61" i="7"/>
  <c r="J26" i="7"/>
  <c r="L26" i="7"/>
  <c r="J38" i="7"/>
  <c r="L38" i="7"/>
  <c r="J8" i="7"/>
  <c r="N8" i="7" s="1"/>
  <c r="AA8" i="7" s="1"/>
  <c r="L8" i="7"/>
  <c r="J20" i="7"/>
  <c r="L20" i="7"/>
  <c r="J28" i="7"/>
  <c r="L28" i="7"/>
  <c r="J59" i="7"/>
  <c r="L59" i="7"/>
  <c r="J12" i="7"/>
  <c r="L12" i="7"/>
  <c r="J13" i="7"/>
  <c r="L13" i="7"/>
  <c r="F3" i="7"/>
  <c r="F4" i="7" s="1"/>
  <c r="J18" i="7"/>
  <c r="L18" i="7"/>
  <c r="J57" i="7"/>
  <c r="L57" i="7"/>
  <c r="J45" i="7"/>
  <c r="L45" i="7"/>
  <c r="J53" i="7"/>
  <c r="J58" i="7"/>
  <c r="J14" i="7"/>
  <c r="J9" i="7"/>
  <c r="J47" i="7"/>
  <c r="J34" i="7"/>
  <c r="J27" i="7"/>
  <c r="J15" i="7"/>
  <c r="J33" i="7"/>
  <c r="J21" i="7"/>
  <c r="J40" i="7"/>
  <c r="J19" i="7"/>
  <c r="J39" i="7"/>
  <c r="J51" i="7"/>
  <c r="J46" i="7"/>
  <c r="J24" i="7"/>
  <c r="J31" i="7"/>
  <c r="J42" i="7"/>
  <c r="J49" i="7"/>
  <c r="J30" i="7"/>
  <c r="J32" i="7"/>
  <c r="J37" i="7"/>
  <c r="J60" i="7"/>
  <c r="J44" i="7"/>
  <c r="J10" i="7"/>
  <c r="J11" i="7"/>
  <c r="J50" i="7"/>
  <c r="J17" i="7"/>
  <c r="J43" i="7"/>
  <c r="J56" i="7"/>
  <c r="J16" i="7"/>
  <c r="J23" i="7"/>
  <c r="J29" i="7"/>
  <c r="J36" i="7"/>
  <c r="J48" i="7"/>
  <c r="J54" i="7"/>
  <c r="J55" i="7"/>
  <c r="J22" i="7"/>
  <c r="J35" i="7"/>
  <c r="J41" i="7"/>
  <c r="V5" i="2"/>
  <c r="V4" i="2"/>
  <c r="V2" i="2"/>
  <c r="N17" i="7" l="1"/>
  <c r="R17" i="7"/>
  <c r="N13" i="7"/>
  <c r="R13" i="7"/>
  <c r="N35" i="7"/>
  <c r="R35" i="7"/>
  <c r="N50" i="7"/>
  <c r="R50" i="7"/>
  <c r="N46" i="7"/>
  <c r="R46" i="7"/>
  <c r="N14" i="7"/>
  <c r="R14" i="7"/>
  <c r="N22" i="7"/>
  <c r="R22" i="7"/>
  <c r="N11" i="7"/>
  <c r="R11" i="7"/>
  <c r="N51" i="7"/>
  <c r="R51" i="7"/>
  <c r="N58" i="7"/>
  <c r="R58" i="7"/>
  <c r="N12" i="7"/>
  <c r="R12" i="7"/>
  <c r="N26" i="7"/>
  <c r="R26" i="7"/>
  <c r="N31" i="7"/>
  <c r="R31" i="7"/>
  <c r="N41" i="7"/>
  <c r="R41" i="7"/>
  <c r="N38" i="7"/>
  <c r="R38" i="7"/>
  <c r="N10" i="7"/>
  <c r="R10" i="7"/>
  <c r="N53" i="7"/>
  <c r="R53" i="7"/>
  <c r="N54" i="7"/>
  <c r="R54" i="7"/>
  <c r="N44" i="7"/>
  <c r="R44" i="7"/>
  <c r="N19" i="7"/>
  <c r="R19" i="7"/>
  <c r="N59" i="7"/>
  <c r="R59" i="7"/>
  <c r="N43" i="7"/>
  <c r="R43" i="7"/>
  <c r="N9" i="7"/>
  <c r="R9" i="7"/>
  <c r="N55" i="7"/>
  <c r="R55" i="7"/>
  <c r="N39" i="7"/>
  <c r="R39" i="7"/>
  <c r="N61" i="7"/>
  <c r="R61" i="7"/>
  <c r="N48" i="7"/>
  <c r="R48" i="7"/>
  <c r="N60" i="7"/>
  <c r="R60" i="7"/>
  <c r="N40" i="7"/>
  <c r="R40" i="7"/>
  <c r="N45" i="7"/>
  <c r="R45" i="7"/>
  <c r="N25" i="7"/>
  <c r="R25" i="7"/>
  <c r="N36" i="7"/>
  <c r="R36" i="7"/>
  <c r="N37" i="7"/>
  <c r="R37" i="7"/>
  <c r="N21" i="7"/>
  <c r="R21" i="7"/>
  <c r="N28" i="7"/>
  <c r="R28" i="7"/>
  <c r="N52" i="7"/>
  <c r="R52" i="7"/>
  <c r="N29" i="7"/>
  <c r="R29" i="7"/>
  <c r="N23" i="7"/>
  <c r="R23" i="7"/>
  <c r="N30" i="7"/>
  <c r="R30" i="7"/>
  <c r="N15" i="7"/>
  <c r="R15" i="7"/>
  <c r="N20" i="7"/>
  <c r="R20" i="7"/>
  <c r="N24" i="7"/>
  <c r="R24" i="7"/>
  <c r="N33" i="7"/>
  <c r="R33" i="7"/>
  <c r="N16" i="7"/>
  <c r="R16" i="7"/>
  <c r="N49" i="7"/>
  <c r="R49" i="7"/>
  <c r="N27" i="7"/>
  <c r="R27" i="7"/>
  <c r="N18" i="7"/>
  <c r="R18" i="7"/>
  <c r="N32" i="7"/>
  <c r="R32" i="7"/>
  <c r="N57" i="7"/>
  <c r="R57" i="7"/>
  <c r="N56" i="7"/>
  <c r="R56" i="7"/>
  <c r="N42" i="7"/>
  <c r="R42" i="7"/>
  <c r="N34" i="7"/>
  <c r="R34" i="7"/>
  <c r="R8" i="7"/>
  <c r="N47" i="7"/>
  <c r="R47" i="7"/>
  <c r="M25" i="7"/>
  <c r="M26" i="7"/>
  <c r="M43" i="7"/>
  <c r="M56" i="7"/>
  <c r="M61" i="7"/>
  <c r="M8" i="7"/>
  <c r="M20" i="7"/>
  <c r="M11" i="7"/>
  <c r="M40" i="7"/>
  <c r="M37" i="7"/>
  <c r="M19" i="7"/>
  <c r="M17" i="7"/>
  <c r="M33" i="7"/>
  <c r="M38" i="7"/>
  <c r="M12" i="7"/>
  <c r="M45" i="7"/>
  <c r="M55" i="7"/>
  <c r="M50" i="7"/>
  <c r="M58" i="7"/>
  <c r="M54" i="7"/>
  <c r="M48" i="7"/>
  <c r="M44" i="7"/>
  <c r="M31" i="7"/>
  <c r="M14" i="7"/>
  <c r="M59" i="7"/>
  <c r="M36" i="7"/>
  <c r="M30" i="7"/>
  <c r="M18" i="7"/>
  <c r="M46" i="7"/>
  <c r="M21" i="7"/>
  <c r="M9" i="7"/>
  <c r="M32" i="7"/>
  <c r="M15" i="7"/>
  <c r="M34" i="7"/>
  <c r="M13" i="7"/>
  <c r="M24" i="7"/>
  <c r="M16" i="7"/>
  <c r="M47" i="7"/>
  <c r="M22" i="7"/>
  <c r="M23" i="7"/>
  <c r="M49" i="7"/>
  <c r="M53" i="7"/>
  <c r="M35" i="7"/>
  <c r="M39" i="7"/>
  <c r="M28" i="7"/>
  <c r="M42" i="7"/>
  <c r="M10" i="7"/>
  <c r="M51" i="7"/>
  <c r="M52" i="7"/>
  <c r="M27" i="7"/>
  <c r="M60" i="7"/>
  <c r="M41" i="7"/>
  <c r="M57" i="7"/>
  <c r="M29" i="7"/>
  <c r="T57" i="7" l="1"/>
  <c r="W57" i="7"/>
  <c r="X57" i="7" s="1"/>
  <c r="T49" i="7"/>
  <c r="W49" i="7"/>
  <c r="X49" i="7" s="1"/>
  <c r="T46" i="7"/>
  <c r="W46" i="7"/>
  <c r="X46" i="7" s="1"/>
  <c r="T55" i="7"/>
  <c r="W55" i="7"/>
  <c r="X55" i="7" s="1"/>
  <c r="T61" i="7"/>
  <c r="W61" i="7"/>
  <c r="X61" i="7" s="1"/>
  <c r="T50" i="7"/>
  <c r="W50" i="7"/>
  <c r="X50" i="7" s="1"/>
  <c r="T23" i="7"/>
  <c r="W23" i="7"/>
  <c r="X23" i="7" s="1"/>
  <c r="T30" i="7"/>
  <c r="W30" i="7"/>
  <c r="X30" i="7" s="1"/>
  <c r="T36" i="7"/>
  <c r="W36" i="7"/>
  <c r="X36" i="7" s="1"/>
  <c r="T35" i="7"/>
  <c r="W35" i="7"/>
  <c r="X35" i="7" s="1"/>
  <c r="T21" i="7"/>
  <c r="W21" i="7"/>
  <c r="X21" i="7" s="1"/>
  <c r="T45" i="7"/>
  <c r="W45" i="7"/>
  <c r="X45" i="7" s="1"/>
  <c r="T53" i="7"/>
  <c r="W53" i="7"/>
  <c r="X53" i="7" s="1"/>
  <c r="T41" i="7"/>
  <c r="W41" i="7"/>
  <c r="X41" i="7" s="1"/>
  <c r="T38" i="7"/>
  <c r="W38" i="7"/>
  <c r="X38" i="7" s="1"/>
  <c r="T33" i="7"/>
  <c r="W33" i="7"/>
  <c r="X33" i="7" s="1"/>
  <c r="T14" i="7"/>
  <c r="W14" i="7"/>
  <c r="X14" i="7" s="1"/>
  <c r="T10" i="7"/>
  <c r="W10" i="7"/>
  <c r="X10" i="7" s="1"/>
  <c r="T13" i="7"/>
  <c r="W13" i="7"/>
  <c r="X13" i="7" s="1"/>
  <c r="T31" i="7"/>
  <c r="W31" i="7"/>
  <c r="X31" i="7" s="1"/>
  <c r="T19" i="7"/>
  <c r="W19" i="7"/>
  <c r="X19" i="7" s="1"/>
  <c r="T56" i="7"/>
  <c r="W56" i="7"/>
  <c r="X56" i="7" s="1"/>
  <c r="T22" i="7"/>
  <c r="W22" i="7"/>
  <c r="X22" i="7" s="1"/>
  <c r="T47" i="7"/>
  <c r="W47" i="7"/>
  <c r="X47" i="7" s="1"/>
  <c r="T59" i="7"/>
  <c r="W59" i="7"/>
  <c r="X59" i="7" s="1"/>
  <c r="T51" i="7"/>
  <c r="W51" i="7"/>
  <c r="X51" i="7" s="1"/>
  <c r="T42" i="7"/>
  <c r="W42" i="7"/>
  <c r="X42" i="7" s="1"/>
  <c r="T37" i="7"/>
  <c r="W37" i="7"/>
  <c r="X37" i="7" s="1"/>
  <c r="T9" i="7"/>
  <c r="W9" i="7"/>
  <c r="X9" i="7" s="1"/>
  <c r="T20" i="7"/>
  <c r="W20" i="7"/>
  <c r="X20" i="7" s="1"/>
  <c r="T29" i="7"/>
  <c r="W29" i="7"/>
  <c r="X29" i="7" s="1"/>
  <c r="T12" i="7"/>
  <c r="W12" i="7"/>
  <c r="X12" i="7" s="1"/>
  <c r="T27" i="7"/>
  <c r="W27" i="7"/>
  <c r="X27" i="7" s="1"/>
  <c r="T52" i="7"/>
  <c r="W52" i="7"/>
  <c r="X52" i="7" s="1"/>
  <c r="T25" i="7"/>
  <c r="W25" i="7"/>
  <c r="X25" i="7" s="1"/>
  <c r="T24" i="7"/>
  <c r="W24" i="7"/>
  <c r="X24" i="7" s="1"/>
  <c r="T17" i="7"/>
  <c r="W17" i="7"/>
  <c r="X17" i="7" s="1"/>
  <c r="T34" i="7"/>
  <c r="W34" i="7"/>
  <c r="X34" i="7" s="1"/>
  <c r="T44" i="7"/>
  <c r="W44" i="7"/>
  <c r="X44" i="7" s="1"/>
  <c r="T28" i="7"/>
  <c r="W28" i="7"/>
  <c r="X28" i="7" s="1"/>
  <c r="T15" i="7"/>
  <c r="W15" i="7"/>
  <c r="X15" i="7" s="1"/>
  <c r="T48" i="7"/>
  <c r="W48" i="7"/>
  <c r="X48" i="7" s="1"/>
  <c r="T40" i="7"/>
  <c r="W40" i="7"/>
  <c r="X40" i="7" s="1"/>
  <c r="T58" i="7"/>
  <c r="W58" i="7"/>
  <c r="X58" i="7" s="1"/>
  <c r="AB8" i="7"/>
  <c r="W8" i="7"/>
  <c r="X8" i="7" s="1"/>
  <c r="T18" i="7"/>
  <c r="W18" i="7"/>
  <c r="X18" i="7" s="1"/>
  <c r="T60" i="7"/>
  <c r="W60" i="7"/>
  <c r="X60" i="7" s="1"/>
  <c r="T43" i="7"/>
  <c r="W43" i="7"/>
  <c r="X43" i="7" s="1"/>
  <c r="T26" i="7"/>
  <c r="W26" i="7"/>
  <c r="X26" i="7" s="1"/>
  <c r="T16" i="7"/>
  <c r="W16" i="7"/>
  <c r="X16" i="7" s="1"/>
  <c r="T39" i="7"/>
  <c r="W39" i="7"/>
  <c r="X39" i="7" s="1"/>
  <c r="T32" i="7"/>
  <c r="W32" i="7"/>
  <c r="X32" i="7" s="1"/>
  <c r="T54" i="7"/>
  <c r="W54" i="7"/>
  <c r="X54" i="7" s="1"/>
  <c r="T11" i="7"/>
  <c r="W11" i="7"/>
  <c r="X11" i="7" s="1"/>
  <c r="Q8" i="7"/>
  <c r="T8" i="7"/>
  <c r="X2" i="7" l="1"/>
  <c r="Z3" i="7" s="1"/>
  <c r="D3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91899</author>
  </authors>
  <commentList>
    <comment ref="M3" authorId="0" shapeId="0" xr:uid="{FAC440E5-CE60-4885-B49B-C870931DE328}">
      <text>
        <r>
          <rPr>
            <b/>
            <sz val="9"/>
            <color indexed="81"/>
            <rFont val="Tahoma"/>
            <family val="2"/>
          </rPr>
          <t>Abhishek:</t>
        </r>
        <r>
          <rPr>
            <sz val="9"/>
            <color indexed="81"/>
            <rFont val="Tahoma"/>
            <family val="2"/>
          </rPr>
          <t xml:space="preserve">
Probabilities value lies betw 0 to </t>
        </r>
      </text>
    </comment>
    <comment ref="N3" authorId="0" shapeId="0" xr:uid="{2ED018A5-885B-4743-B57F-07A66B130CE7}">
      <text>
        <r>
          <rPr>
            <b/>
            <sz val="9"/>
            <color indexed="81"/>
            <rFont val="Tahoma"/>
            <family val="2"/>
          </rPr>
          <t>Abhishek:</t>
        </r>
        <r>
          <rPr>
            <sz val="9"/>
            <color indexed="81"/>
            <rFont val="Tahoma"/>
            <family val="2"/>
          </rPr>
          <t xml:space="preserve">
Maximizing probabilities of default and non default </t>
        </r>
      </text>
    </comment>
    <comment ref="O3" authorId="0" shapeId="0" xr:uid="{88347FD6-DB82-4004-B8FB-711CC17C4F33}">
      <text>
        <r>
          <rPr>
            <b/>
            <sz val="9"/>
            <color indexed="81"/>
            <rFont val="Tahoma"/>
            <family val="2"/>
          </rPr>
          <t xml:space="preserve">Abhishek:
Taking log here because maximizing individual probability is not possible, need to max all the probabilities. Join prob = Sum of indi prob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<sst xmlns="http://schemas.openxmlformats.org/spreadsheetml/2006/main" count="183" uniqueCount="124">
  <si>
    <t>customer</t>
  </si>
  <si>
    <t>age</t>
  </si>
  <si>
    <t>ed</t>
  </si>
  <si>
    <t>employ</t>
  </si>
  <si>
    <t>address</t>
  </si>
  <si>
    <t>income</t>
  </si>
  <si>
    <t>debtinc</t>
  </si>
  <si>
    <t>creddebt</t>
  </si>
  <si>
    <t>othdebt</t>
  </si>
  <si>
    <t>default</t>
  </si>
  <si>
    <t>Sigmoid</t>
  </si>
  <si>
    <t>Likelihood</t>
  </si>
  <si>
    <t>LL</t>
  </si>
  <si>
    <t>Score</t>
  </si>
  <si>
    <t>Grade_1</t>
  </si>
  <si>
    <t>Grade_2</t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</si>
  <si>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</si>
  <si>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</si>
  <si>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</si>
  <si>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</si>
  <si>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</si>
  <si>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</si>
  <si>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</si>
  <si>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</si>
  <si>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</si>
  <si>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branch</t>
  </si>
  <si>
    <t>branch code</t>
  </si>
  <si>
    <t>ncust</t>
  </si>
  <si>
    <t>number of customers</t>
  </si>
  <si>
    <t>age of the borrower</t>
  </si>
  <si>
    <t>educational qualification based on degrees</t>
  </si>
  <si>
    <t>number of years in the job</t>
  </si>
  <si>
    <t>number of years in the current address</t>
  </si>
  <si>
    <t>Cut Off</t>
  </si>
  <si>
    <t>TP</t>
  </si>
  <si>
    <t>FP</t>
  </si>
  <si>
    <t>TN</t>
  </si>
  <si>
    <t>FN</t>
  </si>
  <si>
    <t>FPR</t>
  </si>
  <si>
    <t>TPR</t>
  </si>
  <si>
    <t>income in '000$</t>
  </si>
  <si>
    <t>debt to income ratio (or burden) in %</t>
  </si>
  <si>
    <t>credit card debt in '000$</t>
  </si>
  <si>
    <t>other debt in $mn</t>
  </si>
  <si>
    <t>dummy for default incidents</t>
  </si>
  <si>
    <t>D</t>
  </si>
  <si>
    <t>ND</t>
  </si>
  <si>
    <t>Median</t>
  </si>
  <si>
    <t>LB</t>
  </si>
  <si>
    <t>UB</t>
  </si>
  <si>
    <t>Grade</t>
  </si>
  <si>
    <t>PSI test pass</t>
  </si>
  <si>
    <t>Good</t>
  </si>
  <si>
    <t>Bad</t>
  </si>
  <si>
    <t>Total</t>
  </si>
  <si>
    <t>A_random</t>
  </si>
  <si>
    <t>A_perfect</t>
  </si>
  <si>
    <t>Bucket</t>
  </si>
  <si>
    <t>PD</t>
  </si>
  <si>
    <t>Prob</t>
  </si>
  <si>
    <t>Odds</t>
  </si>
  <si>
    <t>Log Odds</t>
  </si>
  <si>
    <t>Factor</t>
  </si>
  <si>
    <t>(Mid - Low)/10</t>
  </si>
  <si>
    <t>Offset</t>
  </si>
  <si>
    <t>Based on Mid Value of score band</t>
  </si>
  <si>
    <t>Logistic Regression - linking PD to Credit Score</t>
  </si>
  <si>
    <t>In Credit Scoring Applications, score is linearly linked to Log (Odds)</t>
  </si>
  <si>
    <t>Assume Score = Factor x ln (Odds) + Offset</t>
  </si>
  <si>
    <t>First we decide a base score which corresponds to a base Odds</t>
  </si>
  <si>
    <t>Let's say a Score 600 refers to an Odds ratio 50 : 1</t>
  </si>
  <si>
    <t xml:space="preserve">Then </t>
  </si>
  <si>
    <t>600 = Factor x ln(50) + Offset</t>
  </si>
  <si>
    <t>620 = Factor x ln(100) + Offset</t>
  </si>
  <si>
    <t>Subtracting , 20 = Factor x ln(2)</t>
  </si>
  <si>
    <t xml:space="preserve">Factor = </t>
  </si>
  <si>
    <t xml:space="preserve">Offset = </t>
  </si>
  <si>
    <t>Score = 28.8539 x ln ((1-PD)/PD) + 487.123</t>
  </si>
  <si>
    <t xml:space="preserve">Now, </t>
  </si>
  <si>
    <t>assume score increases by 20 points when the odds double</t>
  </si>
  <si>
    <t>Then</t>
  </si>
  <si>
    <t>If</t>
  </si>
  <si>
    <t>Default P</t>
  </si>
  <si>
    <t>MIN</t>
  </si>
  <si>
    <t>MAX</t>
  </si>
  <si>
    <t>Log Odds (Y Hat)</t>
  </si>
  <si>
    <t>0 to 1</t>
  </si>
  <si>
    <t>Value: -Inf to + Inf</t>
  </si>
  <si>
    <t>SUM of LL</t>
  </si>
  <si>
    <t>Equation = 487.123+(28.853)*Log (1-Sigmoid)/Log Sigmoid</t>
  </si>
  <si>
    <t>LL Prob</t>
  </si>
  <si>
    <t>UP Prob</t>
  </si>
  <si>
    <t>GRADE_1</t>
  </si>
  <si>
    <t>GRADE_2</t>
  </si>
  <si>
    <t>Total Bins</t>
  </si>
  <si>
    <t>Comm.Goods</t>
  </si>
  <si>
    <t>Comm.Bads</t>
  </si>
  <si>
    <t>Cumulative %</t>
  </si>
  <si>
    <t>Marginal</t>
  </si>
  <si>
    <t>Graph: Bottom</t>
  </si>
  <si>
    <t>30th Bucket</t>
  </si>
  <si>
    <t>Actual Model</t>
  </si>
  <si>
    <t>Random Model</t>
  </si>
  <si>
    <t>Ideal Model</t>
  </si>
  <si>
    <t>Maximum Distance 30th Bucket</t>
  </si>
  <si>
    <t>KS</t>
  </si>
  <si>
    <t>Width</t>
  </si>
  <si>
    <t>Sum of Parallel Sides</t>
  </si>
  <si>
    <t>AUC</t>
  </si>
  <si>
    <t>GINI</t>
  </si>
  <si>
    <t>Check all the Graphs at the bottom</t>
  </si>
  <si>
    <t>Accuracy Ratio</t>
  </si>
  <si>
    <t>Comm % Accounts</t>
  </si>
  <si>
    <t>Comm % Bad</t>
  </si>
  <si>
    <t>CAP Curve</t>
  </si>
  <si>
    <t>Dx</t>
  </si>
  <si>
    <t>CAPAUC</t>
  </si>
  <si>
    <t>ROCAUC</t>
  </si>
  <si>
    <t>Area Under Curve</t>
  </si>
  <si>
    <t>Assuming</t>
  </si>
  <si>
    <t>Equation</t>
  </si>
  <si>
    <t>Offset + (Offset)*(Log Odds)</t>
  </si>
  <si>
    <t>where</t>
  </si>
  <si>
    <t>Logs odds = Ln ((1-PD)/PD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</si>
</sst>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%"/>
    <numFmt numFmtId="187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right"/>
    </xf>
    <xf numFmtId="10" fontId="0" fillId="0" borderId="3" xfId="1" applyNumberFormat="1" applyFont="1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1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0" borderId="7" xfId="0" applyBorder="1"/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8" xfId="0" applyFill="1" applyBorder="1"/>
    <xf numFmtId="0" fontId="0" fillId="4" borderId="10" xfId="0" applyFill="1" applyBorder="1"/>
    <xf numFmtId="0" fontId="0" fillId="0" borderId="6" xfId="0" applyBorder="1"/>
    <xf numFmtId="0" fontId="0" fillId="0" borderId="3" xfId="0" applyBorder="1" applyAlignment="1">
      <alignment horizontal="center" vertical="center"/>
    </xf>
    <xf numFmtId="10" fontId="0" fillId="0" borderId="11" xfId="1" applyNumberFormat="1" applyFont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10" fontId="0" fillId="0" borderId="4" xfId="1" applyNumberFormat="1" applyFont="1" applyBorder="1" applyAlignment="1">
      <alignment horizontal="center" vertical="center"/>
    </xf>
    <xf numFmtId="10" fontId="0" fillId="0" borderId="7" xfId="1" applyNumberFormat="1" applyFont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2" fillId="5" borderId="1" xfId="0" applyFont="1" applyFill="1" applyBorder="1"/>
    <xf numFmtId="0" fontId="0" fillId="4" borderId="8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/>
    <xf numFmtId="10" fontId="0" fillId="0" borderId="5" xfId="1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0" fontId="0" fillId="0" borderId="12" xfId="1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0" fontId="0" fillId="0" borderId="2" xfId="1" applyNumberFormat="1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0" fontId="2" fillId="5" borderId="8" xfId="0" applyFont="1" applyFill="1" applyBorder="1"/>
    <xf numFmtId="0" fontId="0" fillId="5" borderId="10" xfId="0" applyFill="1" applyBorder="1"/>
    <xf numFmtId="0" fontId="0" fillId="5" borderId="8" xfId="0" applyFill="1" applyBorder="1"/>
    <xf numFmtId="0" fontId="0" fillId="5" borderId="9" xfId="0" applyFill="1" applyBorder="1"/>
    <xf numFmtId="0" fontId="6" fillId="0" borderId="0" xfId="0" applyFont="1"/>
    <xf numFmtId="10" fontId="0" fillId="0" borderId="15" xfId="1" applyNumberFormat="1" applyFont="1" applyBorder="1" applyAlignment="1">
      <alignment horizontal="center" vertical="center"/>
    </xf>
    <xf numFmtId="10" fontId="0" fillId="0" borderId="14" xfId="1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5" xfId="0" applyFill="1" applyBorder="1"/>
    <xf numFmtId="0" fontId="0" fillId="4" borderId="14" xfId="0" applyFill="1" applyBorder="1"/>
    <xf numFmtId="2" fontId="0" fillId="0" borderId="15" xfId="0" applyNumberFormat="1" applyBorder="1"/>
    <xf numFmtId="2" fontId="0" fillId="0" borderId="14" xfId="0" applyNumberFormat="1" applyBorder="1"/>
    <xf numFmtId="10" fontId="0" fillId="0" borderId="11" xfId="0" applyNumberFormat="1" applyBorder="1"/>
    <xf numFmtId="10" fontId="0" fillId="0" borderId="12" xfId="0" applyNumberFormat="1" applyBorder="1"/>
    <xf numFmtId="10" fontId="0" fillId="0" borderId="4" xfId="0" applyNumberFormat="1" applyBorder="1"/>
    <xf numFmtId="10" fontId="0" fillId="0" borderId="5" xfId="0" applyNumberFormat="1" applyBorder="1"/>
    <xf numFmtId="0" fontId="7" fillId="2" borderId="1" xfId="0" applyFont="1" applyFill="1" applyBorder="1" applyAlignment="1">
      <alignment horizontal="center" vertical="center"/>
    </xf>
    <xf numFmtId="0" fontId="8" fillId="0" borderId="0" xfId="0" applyFont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9" fontId="9" fillId="2" borderId="1" xfId="1" applyNumberFormat="1" applyFont="1" applyFill="1" applyBorder="1" applyAlignment="1">
      <alignment horizontal="center" vertical="center"/>
    </xf>
    <xf numFmtId="0" fontId="2" fillId="4" borderId="1" xfId="0" applyFont="1" applyFill="1" applyBorder="1"/>
    <xf numFmtId="10" fontId="7" fillId="2" borderId="14" xfId="1" applyNumberFormat="1" applyFont="1" applyFill="1" applyBorder="1" applyAlignment="1">
      <alignment horizontal="center" vertical="center"/>
    </xf>
    <xf numFmtId="10" fontId="0" fillId="0" borderId="0" xfId="0" applyNumberFormat="1" applyBorder="1"/>
    <xf numFmtId="10" fontId="0" fillId="0" borderId="7" xfId="0" applyNumberFormat="1" applyBorder="1"/>
    <xf numFmtId="176" fontId="0" fillId="0" borderId="12" xfId="1" applyNumberFormat="1" applyFont="1" applyBorder="1"/>
    <xf numFmtId="176" fontId="0" fillId="0" borderId="5" xfId="1" applyNumberFormat="1" applyFont="1" applyBorder="1"/>
    <xf numFmtId="10" fontId="0" fillId="0" borderId="1" xfId="1" applyNumberFormat="1" applyFont="1" applyBorder="1" applyAlignment="1">
      <alignment horizontal="center" vertical="center"/>
    </xf>
    <xf numFmtId="10" fontId="2" fillId="0" borderId="10" xfId="1" applyNumberFormat="1" applyFont="1" applyBorder="1" applyAlignment="1">
      <alignment horizontal="center" vertical="center"/>
    </xf>
    <xf numFmtId="0" fontId="0" fillId="0" borderId="10" xfId="0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9" fontId="0" fillId="0" borderId="11" xfId="1" applyFont="1" applyBorder="1"/>
    <xf numFmtId="9" fontId="0" fillId="0" borderId="4" xfId="1" applyFont="1" applyBorder="1"/>
    <xf numFmtId="2" fontId="0" fillId="0" borderId="0" xfId="0" applyNumberFormat="1" applyBorder="1"/>
    <xf numFmtId="2" fontId="0" fillId="0" borderId="7" xfId="0" applyNumberFormat="1" applyBorder="1"/>
    <xf numFmtId="187" fontId="0" fillId="0" borderId="0" xfId="0" applyNumberFormat="1" applyBorder="1"/>
    <xf numFmtId="187" fontId="0" fillId="0" borderId="7" xfId="0" applyNumberFormat="1" applyBorder="1"/>
    <xf numFmtId="2" fontId="0" fillId="0" borderId="12" xfId="0" applyNumberFormat="1" applyBorder="1"/>
    <xf numFmtId="2" fontId="0" fillId="0" borderId="5" xfId="0" applyNumberFormat="1" applyBorder="1"/>
    <xf numFmtId="0" fontId="2" fillId="0" borderId="0" xfId="0" applyFont="1"/>
    <xf numFmtId="0" fontId="1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KS Distribition</a:t>
            </a:r>
          </a:p>
          <a:p>
            <a:pPr>
              <a:defRPr/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Bucket wise - Cumm. Good Rate vs Cumm. Bad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ROC_GINI_AUC_KS!$L$7</c:f>
              <c:strCache>
                <c:ptCount val="1"/>
                <c:pt idx="0">
                  <c:v>Good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ROC_GINI_AUC_KS!$L$8:$L$61</c:f>
              <c:numCache>
                <c:formatCode>0.00%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1.0504201680672268E-3</c:v>
                </c:pt>
                <c:pt idx="20">
                  <c:v>2.1008403361344537E-3</c:v>
                </c:pt>
                <c:pt idx="21">
                  <c:v>2.1008403361344537E-3</c:v>
                </c:pt>
                <c:pt idx="22">
                  <c:v>3.1512605042016808E-3</c:v>
                </c:pt>
                <c:pt idx="23">
                  <c:v>3.1512605042016808E-3</c:v>
                </c:pt>
                <c:pt idx="24">
                  <c:v>4.2016806722689074E-3</c:v>
                </c:pt>
                <c:pt idx="25">
                  <c:v>6.3025210084033615E-3</c:v>
                </c:pt>
                <c:pt idx="26">
                  <c:v>1.1554621848739496E-2</c:v>
                </c:pt>
                <c:pt idx="27">
                  <c:v>3.8865546218487396E-2</c:v>
                </c:pt>
                <c:pt idx="28">
                  <c:v>9.1386554621848734E-2</c:v>
                </c:pt>
                <c:pt idx="29">
                  <c:v>0.20063025210084034</c:v>
                </c:pt>
                <c:pt idx="30">
                  <c:v>0.33823529411764708</c:v>
                </c:pt>
                <c:pt idx="31">
                  <c:v>0.47373949579831931</c:v>
                </c:pt>
                <c:pt idx="32">
                  <c:v>0.59033613445378152</c:v>
                </c:pt>
                <c:pt idx="33">
                  <c:v>0.68067226890756305</c:v>
                </c:pt>
                <c:pt idx="34">
                  <c:v>0.73739495798319332</c:v>
                </c:pt>
                <c:pt idx="35">
                  <c:v>0.79726890756302526</c:v>
                </c:pt>
                <c:pt idx="36">
                  <c:v>0.83298319327731096</c:v>
                </c:pt>
                <c:pt idx="37">
                  <c:v>0.85504201680672265</c:v>
                </c:pt>
                <c:pt idx="38">
                  <c:v>0.87815126050420167</c:v>
                </c:pt>
                <c:pt idx="39">
                  <c:v>0.90441176470588236</c:v>
                </c:pt>
                <c:pt idx="40">
                  <c:v>0.92752100840336138</c:v>
                </c:pt>
                <c:pt idx="41">
                  <c:v>0.95273109243697474</c:v>
                </c:pt>
                <c:pt idx="42">
                  <c:v>0.9642857142857143</c:v>
                </c:pt>
                <c:pt idx="43">
                  <c:v>0.97058823529411764</c:v>
                </c:pt>
                <c:pt idx="44">
                  <c:v>0.97899159663865543</c:v>
                </c:pt>
                <c:pt idx="45">
                  <c:v>0.98424369747899154</c:v>
                </c:pt>
                <c:pt idx="46">
                  <c:v>0.98844537815126055</c:v>
                </c:pt>
                <c:pt idx="47">
                  <c:v>0.99579831932773111</c:v>
                </c:pt>
                <c:pt idx="48">
                  <c:v>0.99684873949579833</c:v>
                </c:pt>
                <c:pt idx="49">
                  <c:v>0.99789915966386555</c:v>
                </c:pt>
                <c:pt idx="50">
                  <c:v>0.99789915966386555</c:v>
                </c:pt>
                <c:pt idx="51">
                  <c:v>0.99894957983193278</c:v>
                </c:pt>
                <c:pt idx="52">
                  <c:v>0.99894957983193278</c:v>
                </c:pt>
                <c:pt idx="5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D9-4373-95FA-DDF4D294ED46}"/>
            </c:ext>
          </c:extLst>
        </c:ser>
        <c:ser>
          <c:idx val="1"/>
          <c:order val="1"/>
          <c:tx>
            <c:strRef>
              <c:f>ROC_GINI_AUC_KS!$M$7</c:f>
              <c:strCache>
                <c:ptCount val="1"/>
                <c:pt idx="0">
                  <c:v>Bad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ROC_GINI_AUC_KS!$M$8:$M$61</c:f>
              <c:numCache>
                <c:formatCode>0.00%</c:formatCode>
                <c:ptCount val="54"/>
                <c:pt idx="0">
                  <c:v>1.8248175182481751E-3</c:v>
                </c:pt>
                <c:pt idx="1">
                  <c:v>1.8248175182481751E-3</c:v>
                </c:pt>
                <c:pt idx="2">
                  <c:v>1.8248175182481751E-3</c:v>
                </c:pt>
                <c:pt idx="3">
                  <c:v>1.8248175182481751E-3</c:v>
                </c:pt>
                <c:pt idx="4">
                  <c:v>1.8248175182481751E-3</c:v>
                </c:pt>
                <c:pt idx="5">
                  <c:v>1.8248175182481751E-3</c:v>
                </c:pt>
                <c:pt idx="6">
                  <c:v>1.8248175182481751E-3</c:v>
                </c:pt>
                <c:pt idx="7">
                  <c:v>1.8248175182481751E-3</c:v>
                </c:pt>
                <c:pt idx="8">
                  <c:v>1.8248175182481751E-3</c:v>
                </c:pt>
                <c:pt idx="9">
                  <c:v>1.8248175182481751E-3</c:v>
                </c:pt>
                <c:pt idx="10">
                  <c:v>1.8248175182481751E-3</c:v>
                </c:pt>
                <c:pt idx="11">
                  <c:v>1.8248175182481751E-3</c:v>
                </c:pt>
                <c:pt idx="12">
                  <c:v>1.8248175182481751E-3</c:v>
                </c:pt>
                <c:pt idx="13">
                  <c:v>1.8248175182481751E-3</c:v>
                </c:pt>
                <c:pt idx="14">
                  <c:v>1.8248175182481751E-3</c:v>
                </c:pt>
                <c:pt idx="15">
                  <c:v>3.6496350364963502E-3</c:v>
                </c:pt>
                <c:pt idx="16">
                  <c:v>3.6496350364963502E-3</c:v>
                </c:pt>
                <c:pt idx="17">
                  <c:v>7.2992700729927005E-3</c:v>
                </c:pt>
                <c:pt idx="18">
                  <c:v>9.1240875912408752E-3</c:v>
                </c:pt>
                <c:pt idx="19">
                  <c:v>2.3722627737226276E-2</c:v>
                </c:pt>
                <c:pt idx="20">
                  <c:v>3.4671532846715328E-2</c:v>
                </c:pt>
                <c:pt idx="21">
                  <c:v>5.2919708029197078E-2</c:v>
                </c:pt>
                <c:pt idx="22">
                  <c:v>6.569343065693431E-2</c:v>
                </c:pt>
                <c:pt idx="23">
                  <c:v>8.7591240875912413E-2</c:v>
                </c:pt>
                <c:pt idx="24">
                  <c:v>0.11496350364963503</c:v>
                </c:pt>
                <c:pt idx="25">
                  <c:v>0.18613138686131386</c:v>
                </c:pt>
                <c:pt idx="26">
                  <c:v>0.26459854014598538</c:v>
                </c:pt>
                <c:pt idx="27">
                  <c:v>0.37956204379562042</c:v>
                </c:pt>
                <c:pt idx="28">
                  <c:v>0.51824817518248179</c:v>
                </c:pt>
                <c:pt idx="29">
                  <c:v>0.68795620437956206</c:v>
                </c:pt>
                <c:pt idx="30">
                  <c:v>0.84124087591240881</c:v>
                </c:pt>
                <c:pt idx="31">
                  <c:v>0.91970802919708028</c:v>
                </c:pt>
                <c:pt idx="32">
                  <c:v>0.97080291970802923</c:v>
                </c:pt>
                <c:pt idx="33">
                  <c:v>0.98722627737226276</c:v>
                </c:pt>
                <c:pt idx="34">
                  <c:v>0.9963503649635036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D9-4373-95FA-DDF4D294E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4314976"/>
        <c:axId val="1654315936"/>
      </c:lineChart>
      <c:catAx>
        <c:axId val="165431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315936"/>
        <c:crosses val="autoZero"/>
        <c:auto val="1"/>
        <c:lblAlgn val="ctr"/>
        <c:lblOffset val="100"/>
        <c:noMultiLvlLbl val="0"/>
      </c:catAx>
      <c:valAx>
        <c:axId val="165431593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31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Bucket</a:t>
            </a:r>
            <a:r>
              <a:rPr lang="en-IN" baseline="0"/>
              <a:t> wise - </a:t>
            </a:r>
            <a:r>
              <a:rPr lang="en-IN"/>
              <a:t>Marginal</a:t>
            </a:r>
            <a:r>
              <a:rPr lang="en-IN" baseline="0"/>
              <a:t> Good Rate vs Marginal Bad Rate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ROC_GINI_AUC_KS!$P$7</c:f>
              <c:strCache>
                <c:ptCount val="1"/>
                <c:pt idx="0">
                  <c:v>Good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ROC_GINI_AUC_KS!$P$8:$P$61</c:f>
              <c:numCache>
                <c:formatCode>0.00%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1.0504201680672268E-3</c:v>
                </c:pt>
                <c:pt idx="20">
                  <c:v>1.0504201680672268E-3</c:v>
                </c:pt>
                <c:pt idx="21">
                  <c:v>0</c:v>
                </c:pt>
                <c:pt idx="22">
                  <c:v>1.0504201680672268E-3</c:v>
                </c:pt>
                <c:pt idx="23">
                  <c:v>0</c:v>
                </c:pt>
                <c:pt idx="24">
                  <c:v>1.0504201680672268E-3</c:v>
                </c:pt>
                <c:pt idx="25">
                  <c:v>2.1008403361344537E-3</c:v>
                </c:pt>
                <c:pt idx="26">
                  <c:v>5.2521008403361349E-3</c:v>
                </c:pt>
                <c:pt idx="27">
                  <c:v>2.7310924369747899E-2</c:v>
                </c:pt>
                <c:pt idx="28">
                  <c:v>5.2521008403361345E-2</c:v>
                </c:pt>
                <c:pt idx="29">
                  <c:v>0.1092436974789916</c:v>
                </c:pt>
                <c:pt idx="30">
                  <c:v>0.13760504201680673</c:v>
                </c:pt>
                <c:pt idx="31">
                  <c:v>0.13550420168067226</c:v>
                </c:pt>
                <c:pt idx="32">
                  <c:v>0.11659663865546219</c:v>
                </c:pt>
                <c:pt idx="33">
                  <c:v>9.0336134453781511E-2</c:v>
                </c:pt>
                <c:pt idx="34">
                  <c:v>5.6722689075630252E-2</c:v>
                </c:pt>
                <c:pt idx="35">
                  <c:v>5.9873949579831935E-2</c:v>
                </c:pt>
                <c:pt idx="36">
                  <c:v>3.5714285714285712E-2</c:v>
                </c:pt>
                <c:pt idx="37">
                  <c:v>2.2058823529411766E-2</c:v>
                </c:pt>
                <c:pt idx="38">
                  <c:v>2.3109243697478993E-2</c:v>
                </c:pt>
                <c:pt idx="39">
                  <c:v>2.6260504201680673E-2</c:v>
                </c:pt>
                <c:pt idx="40">
                  <c:v>2.3109243697478993E-2</c:v>
                </c:pt>
                <c:pt idx="41">
                  <c:v>2.5210084033613446E-2</c:v>
                </c:pt>
                <c:pt idx="42">
                  <c:v>1.1554621848739496E-2</c:v>
                </c:pt>
                <c:pt idx="43">
                  <c:v>6.3025210084033615E-3</c:v>
                </c:pt>
                <c:pt idx="44">
                  <c:v>8.4033613445378148E-3</c:v>
                </c:pt>
                <c:pt idx="45">
                  <c:v>5.2521008403361349E-3</c:v>
                </c:pt>
                <c:pt idx="46">
                  <c:v>4.2016806722689074E-3</c:v>
                </c:pt>
                <c:pt idx="47">
                  <c:v>7.3529411764705881E-3</c:v>
                </c:pt>
                <c:pt idx="48">
                  <c:v>1.0504201680672268E-3</c:v>
                </c:pt>
                <c:pt idx="49">
                  <c:v>1.0504201680672268E-3</c:v>
                </c:pt>
                <c:pt idx="50">
                  <c:v>0</c:v>
                </c:pt>
                <c:pt idx="51">
                  <c:v>1.0504201680672268E-3</c:v>
                </c:pt>
                <c:pt idx="52">
                  <c:v>0</c:v>
                </c:pt>
                <c:pt idx="53">
                  <c:v>1.0504201680672268E-3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B1-4963-B22F-774EA9C90006}"/>
            </c:ext>
          </c:extLst>
        </c:ser>
        <c:ser>
          <c:idx val="1"/>
          <c:order val="1"/>
          <c:tx>
            <c:strRef>
              <c:f>ROC_GINI_AUC_KS!$Q$7</c:f>
              <c:strCache>
                <c:ptCount val="1"/>
                <c:pt idx="0">
                  <c:v>Bad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ROC_GINI_AUC_KS!$Q$8:$Q$61</c:f>
              <c:numCache>
                <c:formatCode>0.00%</c:formatCode>
                <c:ptCount val="54"/>
                <c:pt idx="0">
                  <c:v>3.329958974905429E-6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1.0504201680672268E-3</c:v>
                </c:pt>
                <c:pt idx="16">
                  <c:v>0</c:v>
                </c:pt>
                <c:pt idx="17">
                  <c:v>2.1008403361344537E-3</c:v>
                </c:pt>
                <c:pt idx="18">
                  <c:v>1.0504201680672268E-3</c:v>
                </c:pt>
                <c:pt idx="19">
                  <c:v>8.4033613445378148E-3</c:v>
                </c:pt>
                <c:pt idx="20">
                  <c:v>6.3025210084033615E-3</c:v>
                </c:pt>
                <c:pt idx="21">
                  <c:v>1.050420168067227E-2</c:v>
                </c:pt>
                <c:pt idx="22">
                  <c:v>7.3529411764705881E-3</c:v>
                </c:pt>
                <c:pt idx="23">
                  <c:v>1.2605042016806723E-2</c:v>
                </c:pt>
                <c:pt idx="24">
                  <c:v>1.5756302521008403E-2</c:v>
                </c:pt>
                <c:pt idx="25">
                  <c:v>4.0966386554621849E-2</c:v>
                </c:pt>
                <c:pt idx="26">
                  <c:v>4.5168067226890755E-2</c:v>
                </c:pt>
                <c:pt idx="27">
                  <c:v>6.6176470588235295E-2</c:v>
                </c:pt>
                <c:pt idx="28">
                  <c:v>7.9831932773109238E-2</c:v>
                </c:pt>
                <c:pt idx="29">
                  <c:v>9.7689075630252101E-2</c:v>
                </c:pt>
                <c:pt idx="30">
                  <c:v>8.8235294117647065E-2</c:v>
                </c:pt>
                <c:pt idx="31">
                  <c:v>4.5168067226890755E-2</c:v>
                </c:pt>
                <c:pt idx="32">
                  <c:v>2.9411764705882353E-2</c:v>
                </c:pt>
                <c:pt idx="33">
                  <c:v>9.4537815126050414E-3</c:v>
                </c:pt>
                <c:pt idx="34">
                  <c:v>5.2521008403361349E-3</c:v>
                </c:pt>
                <c:pt idx="35">
                  <c:v>2.1008403361344537E-3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B1-4963-B22F-774EA9C90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2494672"/>
        <c:axId val="1722494192"/>
      </c:lineChart>
      <c:catAx>
        <c:axId val="172249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494192"/>
        <c:crosses val="autoZero"/>
        <c:auto val="1"/>
        <c:lblAlgn val="ctr"/>
        <c:lblOffset val="100"/>
        <c:noMultiLvlLbl val="0"/>
      </c:catAx>
      <c:valAx>
        <c:axId val="172249419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49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ROC Curve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(% Comm. Good vs % Comm. Bad)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xVal>
            <c:numRef>
              <c:f>ROC_GINI_AUC_KS!$L$8:$L$61</c:f>
              <c:numCache>
                <c:formatCode>0.00%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1.0504201680672268E-3</c:v>
                </c:pt>
                <c:pt idx="20">
                  <c:v>2.1008403361344537E-3</c:v>
                </c:pt>
                <c:pt idx="21">
                  <c:v>2.1008403361344537E-3</c:v>
                </c:pt>
                <c:pt idx="22">
                  <c:v>3.1512605042016808E-3</c:v>
                </c:pt>
                <c:pt idx="23">
                  <c:v>3.1512605042016808E-3</c:v>
                </c:pt>
                <c:pt idx="24">
                  <c:v>4.2016806722689074E-3</c:v>
                </c:pt>
                <c:pt idx="25">
                  <c:v>6.3025210084033615E-3</c:v>
                </c:pt>
                <c:pt idx="26">
                  <c:v>1.1554621848739496E-2</c:v>
                </c:pt>
                <c:pt idx="27">
                  <c:v>3.8865546218487396E-2</c:v>
                </c:pt>
                <c:pt idx="28">
                  <c:v>9.1386554621848734E-2</c:v>
                </c:pt>
                <c:pt idx="29">
                  <c:v>0.20063025210084034</c:v>
                </c:pt>
                <c:pt idx="30">
                  <c:v>0.33823529411764708</c:v>
                </c:pt>
                <c:pt idx="31">
                  <c:v>0.47373949579831931</c:v>
                </c:pt>
                <c:pt idx="32">
                  <c:v>0.59033613445378152</c:v>
                </c:pt>
                <c:pt idx="33">
                  <c:v>0.68067226890756305</c:v>
                </c:pt>
                <c:pt idx="34">
                  <c:v>0.73739495798319332</c:v>
                </c:pt>
                <c:pt idx="35">
                  <c:v>0.79726890756302526</c:v>
                </c:pt>
                <c:pt idx="36">
                  <c:v>0.83298319327731096</c:v>
                </c:pt>
                <c:pt idx="37">
                  <c:v>0.85504201680672265</c:v>
                </c:pt>
                <c:pt idx="38">
                  <c:v>0.87815126050420167</c:v>
                </c:pt>
                <c:pt idx="39">
                  <c:v>0.90441176470588236</c:v>
                </c:pt>
                <c:pt idx="40">
                  <c:v>0.92752100840336138</c:v>
                </c:pt>
                <c:pt idx="41">
                  <c:v>0.95273109243697474</c:v>
                </c:pt>
                <c:pt idx="42">
                  <c:v>0.9642857142857143</c:v>
                </c:pt>
                <c:pt idx="43">
                  <c:v>0.97058823529411764</c:v>
                </c:pt>
                <c:pt idx="44">
                  <c:v>0.97899159663865543</c:v>
                </c:pt>
                <c:pt idx="45">
                  <c:v>0.98424369747899154</c:v>
                </c:pt>
                <c:pt idx="46">
                  <c:v>0.98844537815126055</c:v>
                </c:pt>
                <c:pt idx="47">
                  <c:v>0.99579831932773111</c:v>
                </c:pt>
                <c:pt idx="48">
                  <c:v>0.99684873949579833</c:v>
                </c:pt>
                <c:pt idx="49">
                  <c:v>0.99789915966386555</c:v>
                </c:pt>
                <c:pt idx="50">
                  <c:v>0.99789915966386555</c:v>
                </c:pt>
                <c:pt idx="51">
                  <c:v>0.99894957983193278</c:v>
                </c:pt>
                <c:pt idx="52">
                  <c:v>0.99894957983193278</c:v>
                </c:pt>
                <c:pt idx="53">
                  <c:v>1</c:v>
                </c:pt>
              </c:numCache>
            </c:numRef>
          </c:xVal>
          <c:yVal>
            <c:numRef>
              <c:f>ROC_GINI_AUC_KS!$M$8:$M$61</c:f>
              <c:numCache>
                <c:formatCode>0.00%</c:formatCode>
                <c:ptCount val="54"/>
                <c:pt idx="0">
                  <c:v>1.8248175182481751E-3</c:v>
                </c:pt>
                <c:pt idx="1">
                  <c:v>1.8248175182481751E-3</c:v>
                </c:pt>
                <c:pt idx="2">
                  <c:v>1.8248175182481751E-3</c:v>
                </c:pt>
                <c:pt idx="3">
                  <c:v>1.8248175182481751E-3</c:v>
                </c:pt>
                <c:pt idx="4">
                  <c:v>1.8248175182481751E-3</c:v>
                </c:pt>
                <c:pt idx="5">
                  <c:v>1.8248175182481751E-3</c:v>
                </c:pt>
                <c:pt idx="6">
                  <c:v>1.8248175182481751E-3</c:v>
                </c:pt>
                <c:pt idx="7">
                  <c:v>1.8248175182481751E-3</c:v>
                </c:pt>
                <c:pt idx="8">
                  <c:v>1.8248175182481751E-3</c:v>
                </c:pt>
                <c:pt idx="9">
                  <c:v>1.8248175182481751E-3</c:v>
                </c:pt>
                <c:pt idx="10">
                  <c:v>1.8248175182481751E-3</c:v>
                </c:pt>
                <c:pt idx="11">
                  <c:v>1.8248175182481751E-3</c:v>
                </c:pt>
                <c:pt idx="12">
                  <c:v>1.8248175182481751E-3</c:v>
                </c:pt>
                <c:pt idx="13">
                  <c:v>1.8248175182481751E-3</c:v>
                </c:pt>
                <c:pt idx="14">
                  <c:v>1.8248175182481751E-3</c:v>
                </c:pt>
                <c:pt idx="15">
                  <c:v>3.6496350364963502E-3</c:v>
                </c:pt>
                <c:pt idx="16">
                  <c:v>3.6496350364963502E-3</c:v>
                </c:pt>
                <c:pt idx="17">
                  <c:v>7.2992700729927005E-3</c:v>
                </c:pt>
                <c:pt idx="18">
                  <c:v>9.1240875912408752E-3</c:v>
                </c:pt>
                <c:pt idx="19">
                  <c:v>2.3722627737226276E-2</c:v>
                </c:pt>
                <c:pt idx="20">
                  <c:v>3.4671532846715328E-2</c:v>
                </c:pt>
                <c:pt idx="21">
                  <c:v>5.2919708029197078E-2</c:v>
                </c:pt>
                <c:pt idx="22">
                  <c:v>6.569343065693431E-2</c:v>
                </c:pt>
                <c:pt idx="23">
                  <c:v>8.7591240875912413E-2</c:v>
                </c:pt>
                <c:pt idx="24">
                  <c:v>0.11496350364963503</c:v>
                </c:pt>
                <c:pt idx="25">
                  <c:v>0.18613138686131386</c:v>
                </c:pt>
                <c:pt idx="26">
                  <c:v>0.26459854014598538</c:v>
                </c:pt>
                <c:pt idx="27">
                  <c:v>0.37956204379562042</c:v>
                </c:pt>
                <c:pt idx="28">
                  <c:v>0.51824817518248179</c:v>
                </c:pt>
                <c:pt idx="29">
                  <c:v>0.68795620437956206</c:v>
                </c:pt>
                <c:pt idx="30">
                  <c:v>0.84124087591240881</c:v>
                </c:pt>
                <c:pt idx="31">
                  <c:v>0.91970802919708028</c:v>
                </c:pt>
                <c:pt idx="32">
                  <c:v>0.97080291970802923</c:v>
                </c:pt>
                <c:pt idx="33">
                  <c:v>0.98722627737226276</c:v>
                </c:pt>
                <c:pt idx="34">
                  <c:v>0.9963503649635036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532-498D-80E7-FFAA6287DD8D}"/>
            </c:ext>
          </c:extLst>
        </c:ser>
        <c:ser>
          <c:idx val="3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ROC_GINI_AUC_KS!$L$8:$L$61</c:f>
              <c:numCache>
                <c:formatCode>0.00%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1.0504201680672268E-3</c:v>
                </c:pt>
                <c:pt idx="20">
                  <c:v>2.1008403361344537E-3</c:v>
                </c:pt>
                <c:pt idx="21">
                  <c:v>2.1008403361344537E-3</c:v>
                </c:pt>
                <c:pt idx="22">
                  <c:v>3.1512605042016808E-3</c:v>
                </c:pt>
                <c:pt idx="23">
                  <c:v>3.1512605042016808E-3</c:v>
                </c:pt>
                <c:pt idx="24">
                  <c:v>4.2016806722689074E-3</c:v>
                </c:pt>
                <c:pt idx="25">
                  <c:v>6.3025210084033615E-3</c:v>
                </c:pt>
                <c:pt idx="26">
                  <c:v>1.1554621848739496E-2</c:v>
                </c:pt>
                <c:pt idx="27">
                  <c:v>3.8865546218487396E-2</c:v>
                </c:pt>
                <c:pt idx="28">
                  <c:v>9.1386554621848734E-2</c:v>
                </c:pt>
                <c:pt idx="29">
                  <c:v>0.20063025210084034</c:v>
                </c:pt>
                <c:pt idx="30">
                  <c:v>0.33823529411764708</c:v>
                </c:pt>
                <c:pt idx="31">
                  <c:v>0.47373949579831931</c:v>
                </c:pt>
                <c:pt idx="32">
                  <c:v>0.59033613445378152</c:v>
                </c:pt>
                <c:pt idx="33">
                  <c:v>0.68067226890756305</c:v>
                </c:pt>
                <c:pt idx="34">
                  <c:v>0.73739495798319332</c:v>
                </c:pt>
                <c:pt idx="35">
                  <c:v>0.79726890756302526</c:v>
                </c:pt>
                <c:pt idx="36">
                  <c:v>0.83298319327731096</c:v>
                </c:pt>
                <c:pt idx="37">
                  <c:v>0.85504201680672265</c:v>
                </c:pt>
                <c:pt idx="38">
                  <c:v>0.87815126050420167</c:v>
                </c:pt>
                <c:pt idx="39">
                  <c:v>0.90441176470588236</c:v>
                </c:pt>
                <c:pt idx="40">
                  <c:v>0.92752100840336138</c:v>
                </c:pt>
                <c:pt idx="41">
                  <c:v>0.95273109243697474</c:v>
                </c:pt>
                <c:pt idx="42">
                  <c:v>0.9642857142857143</c:v>
                </c:pt>
                <c:pt idx="43">
                  <c:v>0.97058823529411764</c:v>
                </c:pt>
                <c:pt idx="44">
                  <c:v>0.97899159663865543</c:v>
                </c:pt>
                <c:pt idx="45">
                  <c:v>0.98424369747899154</c:v>
                </c:pt>
                <c:pt idx="46">
                  <c:v>0.98844537815126055</c:v>
                </c:pt>
                <c:pt idx="47">
                  <c:v>0.99579831932773111</c:v>
                </c:pt>
                <c:pt idx="48">
                  <c:v>0.99684873949579833</c:v>
                </c:pt>
                <c:pt idx="49">
                  <c:v>0.99789915966386555</c:v>
                </c:pt>
                <c:pt idx="50">
                  <c:v>0.99789915966386555</c:v>
                </c:pt>
                <c:pt idx="51">
                  <c:v>0.99894957983193278</c:v>
                </c:pt>
                <c:pt idx="52">
                  <c:v>0.99894957983193278</c:v>
                </c:pt>
                <c:pt idx="53">
                  <c:v>1</c:v>
                </c:pt>
              </c:numCache>
            </c:numRef>
          </c:xVal>
          <c:yVal>
            <c:numRef>
              <c:f>ROC_GINI_AUC_KS!$M$8:$M$61</c:f>
              <c:numCache>
                <c:formatCode>0.00%</c:formatCode>
                <c:ptCount val="54"/>
                <c:pt idx="0">
                  <c:v>1.8248175182481751E-3</c:v>
                </c:pt>
                <c:pt idx="1">
                  <c:v>1.8248175182481751E-3</c:v>
                </c:pt>
                <c:pt idx="2">
                  <c:v>1.8248175182481751E-3</c:v>
                </c:pt>
                <c:pt idx="3">
                  <c:v>1.8248175182481751E-3</c:v>
                </c:pt>
                <c:pt idx="4">
                  <c:v>1.8248175182481751E-3</c:v>
                </c:pt>
                <c:pt idx="5">
                  <c:v>1.8248175182481751E-3</c:v>
                </c:pt>
                <c:pt idx="6">
                  <c:v>1.8248175182481751E-3</c:v>
                </c:pt>
                <c:pt idx="7">
                  <c:v>1.8248175182481751E-3</c:v>
                </c:pt>
                <c:pt idx="8">
                  <c:v>1.8248175182481751E-3</c:v>
                </c:pt>
                <c:pt idx="9">
                  <c:v>1.8248175182481751E-3</c:v>
                </c:pt>
                <c:pt idx="10">
                  <c:v>1.8248175182481751E-3</c:v>
                </c:pt>
                <c:pt idx="11">
                  <c:v>1.8248175182481751E-3</c:v>
                </c:pt>
                <c:pt idx="12">
                  <c:v>1.8248175182481751E-3</c:v>
                </c:pt>
                <c:pt idx="13">
                  <c:v>1.8248175182481751E-3</c:v>
                </c:pt>
                <c:pt idx="14">
                  <c:v>1.8248175182481751E-3</c:v>
                </c:pt>
                <c:pt idx="15">
                  <c:v>3.6496350364963502E-3</c:v>
                </c:pt>
                <c:pt idx="16">
                  <c:v>3.6496350364963502E-3</c:v>
                </c:pt>
                <c:pt idx="17">
                  <c:v>7.2992700729927005E-3</c:v>
                </c:pt>
                <c:pt idx="18">
                  <c:v>9.1240875912408752E-3</c:v>
                </c:pt>
                <c:pt idx="19">
                  <c:v>2.3722627737226276E-2</c:v>
                </c:pt>
                <c:pt idx="20">
                  <c:v>3.4671532846715328E-2</c:v>
                </c:pt>
                <c:pt idx="21">
                  <c:v>5.2919708029197078E-2</c:v>
                </c:pt>
                <c:pt idx="22">
                  <c:v>6.569343065693431E-2</c:v>
                </c:pt>
                <c:pt idx="23">
                  <c:v>8.7591240875912413E-2</c:v>
                </c:pt>
                <c:pt idx="24">
                  <c:v>0.11496350364963503</c:v>
                </c:pt>
                <c:pt idx="25">
                  <c:v>0.18613138686131386</c:v>
                </c:pt>
                <c:pt idx="26">
                  <c:v>0.26459854014598538</c:v>
                </c:pt>
                <c:pt idx="27">
                  <c:v>0.37956204379562042</c:v>
                </c:pt>
                <c:pt idx="28">
                  <c:v>0.51824817518248179</c:v>
                </c:pt>
                <c:pt idx="29">
                  <c:v>0.68795620437956206</c:v>
                </c:pt>
                <c:pt idx="30">
                  <c:v>0.84124087591240881</c:v>
                </c:pt>
                <c:pt idx="31">
                  <c:v>0.91970802919708028</c:v>
                </c:pt>
                <c:pt idx="32">
                  <c:v>0.97080291970802923</c:v>
                </c:pt>
                <c:pt idx="33">
                  <c:v>0.98722627737226276</c:v>
                </c:pt>
                <c:pt idx="34">
                  <c:v>0.9963503649635036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532-498D-80E7-FFAA6287DD8D}"/>
            </c:ext>
          </c:extLst>
        </c:ser>
        <c:ser>
          <c:idx val="1"/>
          <c:order val="2"/>
          <c:xVal>
            <c:numRef>
              <c:f>ROC_GINI_AUC_KS!$L$8:$L$61</c:f>
              <c:numCache>
                <c:formatCode>0.00%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1.0504201680672268E-3</c:v>
                </c:pt>
                <c:pt idx="20">
                  <c:v>2.1008403361344537E-3</c:v>
                </c:pt>
                <c:pt idx="21">
                  <c:v>2.1008403361344537E-3</c:v>
                </c:pt>
                <c:pt idx="22">
                  <c:v>3.1512605042016808E-3</c:v>
                </c:pt>
                <c:pt idx="23">
                  <c:v>3.1512605042016808E-3</c:v>
                </c:pt>
                <c:pt idx="24">
                  <c:v>4.2016806722689074E-3</c:v>
                </c:pt>
                <c:pt idx="25">
                  <c:v>6.3025210084033615E-3</c:v>
                </c:pt>
                <c:pt idx="26">
                  <c:v>1.1554621848739496E-2</c:v>
                </c:pt>
                <c:pt idx="27">
                  <c:v>3.8865546218487396E-2</c:v>
                </c:pt>
                <c:pt idx="28">
                  <c:v>9.1386554621848734E-2</c:v>
                </c:pt>
                <c:pt idx="29">
                  <c:v>0.20063025210084034</c:v>
                </c:pt>
                <c:pt idx="30">
                  <c:v>0.33823529411764708</c:v>
                </c:pt>
                <c:pt idx="31">
                  <c:v>0.47373949579831931</c:v>
                </c:pt>
                <c:pt idx="32">
                  <c:v>0.59033613445378152</c:v>
                </c:pt>
                <c:pt idx="33">
                  <c:v>0.68067226890756305</c:v>
                </c:pt>
                <c:pt idx="34">
                  <c:v>0.73739495798319332</c:v>
                </c:pt>
                <c:pt idx="35">
                  <c:v>0.79726890756302526</c:v>
                </c:pt>
                <c:pt idx="36">
                  <c:v>0.83298319327731096</c:v>
                </c:pt>
                <c:pt idx="37">
                  <c:v>0.85504201680672265</c:v>
                </c:pt>
                <c:pt idx="38">
                  <c:v>0.87815126050420167</c:v>
                </c:pt>
                <c:pt idx="39">
                  <c:v>0.90441176470588236</c:v>
                </c:pt>
                <c:pt idx="40">
                  <c:v>0.92752100840336138</c:v>
                </c:pt>
                <c:pt idx="41">
                  <c:v>0.95273109243697474</c:v>
                </c:pt>
                <c:pt idx="42">
                  <c:v>0.9642857142857143</c:v>
                </c:pt>
                <c:pt idx="43">
                  <c:v>0.97058823529411764</c:v>
                </c:pt>
                <c:pt idx="44">
                  <c:v>0.97899159663865543</c:v>
                </c:pt>
                <c:pt idx="45">
                  <c:v>0.98424369747899154</c:v>
                </c:pt>
                <c:pt idx="46">
                  <c:v>0.98844537815126055</c:v>
                </c:pt>
                <c:pt idx="47">
                  <c:v>0.99579831932773111</c:v>
                </c:pt>
                <c:pt idx="48">
                  <c:v>0.99684873949579833</c:v>
                </c:pt>
                <c:pt idx="49">
                  <c:v>0.99789915966386555</c:v>
                </c:pt>
                <c:pt idx="50">
                  <c:v>0.99789915966386555</c:v>
                </c:pt>
                <c:pt idx="51">
                  <c:v>0.99894957983193278</c:v>
                </c:pt>
                <c:pt idx="52">
                  <c:v>0.99894957983193278</c:v>
                </c:pt>
                <c:pt idx="53">
                  <c:v>1</c:v>
                </c:pt>
              </c:numCache>
            </c:numRef>
          </c:xVal>
          <c:yVal>
            <c:numRef>
              <c:f>ROC_GINI_AUC_KS!$M$8:$M$61</c:f>
              <c:numCache>
                <c:formatCode>0.00%</c:formatCode>
                <c:ptCount val="54"/>
                <c:pt idx="0">
                  <c:v>1.8248175182481751E-3</c:v>
                </c:pt>
                <c:pt idx="1">
                  <c:v>1.8248175182481751E-3</c:v>
                </c:pt>
                <c:pt idx="2">
                  <c:v>1.8248175182481751E-3</c:v>
                </c:pt>
                <c:pt idx="3">
                  <c:v>1.8248175182481751E-3</c:v>
                </c:pt>
                <c:pt idx="4">
                  <c:v>1.8248175182481751E-3</c:v>
                </c:pt>
                <c:pt idx="5">
                  <c:v>1.8248175182481751E-3</c:v>
                </c:pt>
                <c:pt idx="6">
                  <c:v>1.8248175182481751E-3</c:v>
                </c:pt>
                <c:pt idx="7">
                  <c:v>1.8248175182481751E-3</c:v>
                </c:pt>
                <c:pt idx="8">
                  <c:v>1.8248175182481751E-3</c:v>
                </c:pt>
                <c:pt idx="9">
                  <c:v>1.8248175182481751E-3</c:v>
                </c:pt>
                <c:pt idx="10">
                  <c:v>1.8248175182481751E-3</c:v>
                </c:pt>
                <c:pt idx="11">
                  <c:v>1.8248175182481751E-3</c:v>
                </c:pt>
                <c:pt idx="12">
                  <c:v>1.8248175182481751E-3</c:v>
                </c:pt>
                <c:pt idx="13">
                  <c:v>1.8248175182481751E-3</c:v>
                </c:pt>
                <c:pt idx="14">
                  <c:v>1.8248175182481751E-3</c:v>
                </c:pt>
                <c:pt idx="15">
                  <c:v>3.6496350364963502E-3</c:v>
                </c:pt>
                <c:pt idx="16">
                  <c:v>3.6496350364963502E-3</c:v>
                </c:pt>
                <c:pt idx="17">
                  <c:v>7.2992700729927005E-3</c:v>
                </c:pt>
                <c:pt idx="18">
                  <c:v>9.1240875912408752E-3</c:v>
                </c:pt>
                <c:pt idx="19">
                  <c:v>2.3722627737226276E-2</c:v>
                </c:pt>
                <c:pt idx="20">
                  <c:v>3.4671532846715328E-2</c:v>
                </c:pt>
                <c:pt idx="21">
                  <c:v>5.2919708029197078E-2</c:v>
                </c:pt>
                <c:pt idx="22">
                  <c:v>6.569343065693431E-2</c:v>
                </c:pt>
                <c:pt idx="23">
                  <c:v>8.7591240875912413E-2</c:v>
                </c:pt>
                <c:pt idx="24">
                  <c:v>0.11496350364963503</c:v>
                </c:pt>
                <c:pt idx="25">
                  <c:v>0.18613138686131386</c:v>
                </c:pt>
                <c:pt idx="26">
                  <c:v>0.26459854014598538</c:v>
                </c:pt>
                <c:pt idx="27">
                  <c:v>0.37956204379562042</c:v>
                </c:pt>
                <c:pt idx="28">
                  <c:v>0.51824817518248179</c:v>
                </c:pt>
                <c:pt idx="29">
                  <c:v>0.68795620437956206</c:v>
                </c:pt>
                <c:pt idx="30">
                  <c:v>0.84124087591240881</c:v>
                </c:pt>
                <c:pt idx="31">
                  <c:v>0.91970802919708028</c:v>
                </c:pt>
                <c:pt idx="32">
                  <c:v>0.97080291970802923</c:v>
                </c:pt>
                <c:pt idx="33">
                  <c:v>0.98722627737226276</c:v>
                </c:pt>
                <c:pt idx="34">
                  <c:v>0.9963503649635036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32-498D-80E7-FFAA6287DD8D}"/>
            </c:ext>
          </c:extLst>
        </c:ser>
        <c:ser>
          <c:idx val="0"/>
          <c:order val="3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ROC_GINI_AUC_KS!$L$8:$L$61</c:f>
              <c:numCache>
                <c:formatCode>0.00%</c:formatCode>
                <c:ptCount val="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1.0504201680672268E-3</c:v>
                </c:pt>
                <c:pt idx="20">
                  <c:v>2.1008403361344537E-3</c:v>
                </c:pt>
                <c:pt idx="21">
                  <c:v>2.1008403361344537E-3</c:v>
                </c:pt>
                <c:pt idx="22">
                  <c:v>3.1512605042016808E-3</c:v>
                </c:pt>
                <c:pt idx="23">
                  <c:v>3.1512605042016808E-3</c:v>
                </c:pt>
                <c:pt idx="24">
                  <c:v>4.2016806722689074E-3</c:v>
                </c:pt>
                <c:pt idx="25">
                  <c:v>6.3025210084033615E-3</c:v>
                </c:pt>
                <c:pt idx="26">
                  <c:v>1.1554621848739496E-2</c:v>
                </c:pt>
                <c:pt idx="27">
                  <c:v>3.8865546218487396E-2</c:v>
                </c:pt>
                <c:pt idx="28">
                  <c:v>9.1386554621848734E-2</c:v>
                </c:pt>
                <c:pt idx="29">
                  <c:v>0.20063025210084034</c:v>
                </c:pt>
                <c:pt idx="30">
                  <c:v>0.33823529411764708</c:v>
                </c:pt>
                <c:pt idx="31">
                  <c:v>0.47373949579831931</c:v>
                </c:pt>
                <c:pt idx="32">
                  <c:v>0.59033613445378152</c:v>
                </c:pt>
                <c:pt idx="33">
                  <c:v>0.68067226890756305</c:v>
                </c:pt>
                <c:pt idx="34">
                  <c:v>0.73739495798319332</c:v>
                </c:pt>
                <c:pt idx="35">
                  <c:v>0.79726890756302526</c:v>
                </c:pt>
                <c:pt idx="36">
                  <c:v>0.83298319327731096</c:v>
                </c:pt>
                <c:pt idx="37">
                  <c:v>0.85504201680672265</c:v>
                </c:pt>
                <c:pt idx="38">
                  <c:v>0.87815126050420167</c:v>
                </c:pt>
                <c:pt idx="39">
                  <c:v>0.90441176470588236</c:v>
                </c:pt>
                <c:pt idx="40">
                  <c:v>0.92752100840336138</c:v>
                </c:pt>
                <c:pt idx="41">
                  <c:v>0.95273109243697474</c:v>
                </c:pt>
                <c:pt idx="42">
                  <c:v>0.9642857142857143</c:v>
                </c:pt>
                <c:pt idx="43">
                  <c:v>0.97058823529411764</c:v>
                </c:pt>
                <c:pt idx="44">
                  <c:v>0.97899159663865543</c:v>
                </c:pt>
                <c:pt idx="45">
                  <c:v>0.98424369747899154</c:v>
                </c:pt>
                <c:pt idx="46">
                  <c:v>0.98844537815126055</c:v>
                </c:pt>
                <c:pt idx="47">
                  <c:v>0.99579831932773111</c:v>
                </c:pt>
                <c:pt idx="48">
                  <c:v>0.99684873949579833</c:v>
                </c:pt>
                <c:pt idx="49">
                  <c:v>0.99789915966386555</c:v>
                </c:pt>
                <c:pt idx="50">
                  <c:v>0.99789915966386555</c:v>
                </c:pt>
                <c:pt idx="51">
                  <c:v>0.99894957983193278</c:v>
                </c:pt>
                <c:pt idx="52">
                  <c:v>0.99894957983193278</c:v>
                </c:pt>
                <c:pt idx="53">
                  <c:v>1</c:v>
                </c:pt>
              </c:numCache>
            </c:numRef>
          </c:xVal>
          <c:yVal>
            <c:numRef>
              <c:f>ROC_GINI_AUC_KS!$M$8:$M$61</c:f>
              <c:numCache>
                <c:formatCode>0.00%</c:formatCode>
                <c:ptCount val="54"/>
                <c:pt idx="0">
                  <c:v>1.8248175182481751E-3</c:v>
                </c:pt>
                <c:pt idx="1">
                  <c:v>1.8248175182481751E-3</c:v>
                </c:pt>
                <c:pt idx="2">
                  <c:v>1.8248175182481751E-3</c:v>
                </c:pt>
                <c:pt idx="3">
                  <c:v>1.8248175182481751E-3</c:v>
                </c:pt>
                <c:pt idx="4">
                  <c:v>1.8248175182481751E-3</c:v>
                </c:pt>
                <c:pt idx="5">
                  <c:v>1.8248175182481751E-3</c:v>
                </c:pt>
                <c:pt idx="6">
                  <c:v>1.8248175182481751E-3</c:v>
                </c:pt>
                <c:pt idx="7">
                  <c:v>1.8248175182481751E-3</c:v>
                </c:pt>
                <c:pt idx="8">
                  <c:v>1.8248175182481751E-3</c:v>
                </c:pt>
                <c:pt idx="9">
                  <c:v>1.8248175182481751E-3</c:v>
                </c:pt>
                <c:pt idx="10">
                  <c:v>1.8248175182481751E-3</c:v>
                </c:pt>
                <c:pt idx="11">
                  <c:v>1.8248175182481751E-3</c:v>
                </c:pt>
                <c:pt idx="12">
                  <c:v>1.8248175182481751E-3</c:v>
                </c:pt>
                <c:pt idx="13">
                  <c:v>1.8248175182481751E-3</c:v>
                </c:pt>
                <c:pt idx="14">
                  <c:v>1.8248175182481751E-3</c:v>
                </c:pt>
                <c:pt idx="15">
                  <c:v>3.6496350364963502E-3</c:v>
                </c:pt>
                <c:pt idx="16">
                  <c:v>3.6496350364963502E-3</c:v>
                </c:pt>
                <c:pt idx="17">
                  <c:v>7.2992700729927005E-3</c:v>
                </c:pt>
                <c:pt idx="18">
                  <c:v>9.1240875912408752E-3</c:v>
                </c:pt>
                <c:pt idx="19">
                  <c:v>2.3722627737226276E-2</c:v>
                </c:pt>
                <c:pt idx="20">
                  <c:v>3.4671532846715328E-2</c:v>
                </c:pt>
                <c:pt idx="21">
                  <c:v>5.2919708029197078E-2</c:v>
                </c:pt>
                <c:pt idx="22">
                  <c:v>6.569343065693431E-2</c:v>
                </c:pt>
                <c:pt idx="23">
                  <c:v>8.7591240875912413E-2</c:v>
                </c:pt>
                <c:pt idx="24">
                  <c:v>0.11496350364963503</c:v>
                </c:pt>
                <c:pt idx="25">
                  <c:v>0.18613138686131386</c:v>
                </c:pt>
                <c:pt idx="26">
                  <c:v>0.26459854014598538</c:v>
                </c:pt>
                <c:pt idx="27">
                  <c:v>0.37956204379562042</c:v>
                </c:pt>
                <c:pt idx="28">
                  <c:v>0.51824817518248179</c:v>
                </c:pt>
                <c:pt idx="29">
                  <c:v>0.68795620437956206</c:v>
                </c:pt>
                <c:pt idx="30">
                  <c:v>0.84124087591240881</c:v>
                </c:pt>
                <c:pt idx="31">
                  <c:v>0.91970802919708028</c:v>
                </c:pt>
                <c:pt idx="32">
                  <c:v>0.97080291970802923</c:v>
                </c:pt>
                <c:pt idx="33">
                  <c:v>0.98722627737226276</c:v>
                </c:pt>
                <c:pt idx="34">
                  <c:v>0.9963503649635036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32-498D-80E7-FFAA6287D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539888"/>
        <c:axId val="754540848"/>
      </c:scatterChart>
      <c:valAx>
        <c:axId val="75453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540848"/>
        <c:crosses val="autoZero"/>
        <c:crossBetween val="midCat"/>
      </c:valAx>
      <c:valAx>
        <c:axId val="75454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53988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Diff Comm Good &amp;</a:t>
            </a:r>
            <a:r>
              <a:rPr lang="en-IN" baseline="0"/>
              <a:t> Comm Bad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ROC_GINI_AUC_KS!$T$8:$T$61</c:f>
              <c:numCache>
                <c:formatCode>0.00%</c:formatCode>
                <c:ptCount val="54"/>
                <c:pt idx="0">
                  <c:v>1.8248175182481751E-3</c:v>
                </c:pt>
                <c:pt idx="1">
                  <c:v>1.8248175182481751E-3</c:v>
                </c:pt>
                <c:pt idx="2">
                  <c:v>1.8248175182481751E-3</c:v>
                </c:pt>
                <c:pt idx="3">
                  <c:v>1.8248175182481751E-3</c:v>
                </c:pt>
                <c:pt idx="4">
                  <c:v>1.8248175182481751E-3</c:v>
                </c:pt>
                <c:pt idx="5">
                  <c:v>1.8248175182481751E-3</c:v>
                </c:pt>
                <c:pt idx="6">
                  <c:v>1.8248175182481751E-3</c:v>
                </c:pt>
                <c:pt idx="7">
                  <c:v>1.8248175182481751E-3</c:v>
                </c:pt>
                <c:pt idx="8">
                  <c:v>1.8248175182481751E-3</c:v>
                </c:pt>
                <c:pt idx="9">
                  <c:v>1.8248175182481751E-3</c:v>
                </c:pt>
                <c:pt idx="10">
                  <c:v>1.8248175182481751E-3</c:v>
                </c:pt>
                <c:pt idx="11">
                  <c:v>1.8248175182481751E-3</c:v>
                </c:pt>
                <c:pt idx="12">
                  <c:v>1.8248175182481751E-3</c:v>
                </c:pt>
                <c:pt idx="13">
                  <c:v>1.8248175182481751E-3</c:v>
                </c:pt>
                <c:pt idx="14">
                  <c:v>1.8248175182481751E-3</c:v>
                </c:pt>
                <c:pt idx="15">
                  <c:v>3.6496350364963502E-3</c:v>
                </c:pt>
                <c:pt idx="16">
                  <c:v>3.6496350364963502E-3</c:v>
                </c:pt>
                <c:pt idx="17">
                  <c:v>7.2992700729927005E-3</c:v>
                </c:pt>
                <c:pt idx="18">
                  <c:v>9.1240875912408752E-3</c:v>
                </c:pt>
                <c:pt idx="19">
                  <c:v>2.267220756915905E-2</c:v>
                </c:pt>
                <c:pt idx="20">
                  <c:v>3.2570692510580875E-2</c:v>
                </c:pt>
                <c:pt idx="21">
                  <c:v>5.0818867693062625E-2</c:v>
                </c:pt>
                <c:pt idx="22">
                  <c:v>6.2542170152732626E-2</c:v>
                </c:pt>
                <c:pt idx="23">
                  <c:v>8.4439980371710729E-2</c:v>
                </c:pt>
                <c:pt idx="24">
                  <c:v>0.11076182297736613</c:v>
                </c:pt>
                <c:pt idx="25">
                  <c:v>0.1798288658529105</c:v>
                </c:pt>
                <c:pt idx="26">
                  <c:v>0.25304391829724587</c:v>
                </c:pt>
                <c:pt idx="27">
                  <c:v>0.34069649757713305</c:v>
                </c:pt>
                <c:pt idx="28">
                  <c:v>0.42686162056063304</c:v>
                </c:pt>
                <c:pt idx="29">
                  <c:v>0.48732595227872172</c:v>
                </c:pt>
                <c:pt idx="30">
                  <c:v>0.50300558179476174</c:v>
                </c:pt>
                <c:pt idx="31">
                  <c:v>0.44596853339876097</c:v>
                </c:pt>
                <c:pt idx="32">
                  <c:v>0.38046678525424771</c:v>
                </c:pt>
                <c:pt idx="33">
                  <c:v>0.30655400846469971</c:v>
                </c:pt>
                <c:pt idx="34">
                  <c:v>0.25895540698031028</c:v>
                </c:pt>
                <c:pt idx="35">
                  <c:v>0.20273109243697474</c:v>
                </c:pt>
                <c:pt idx="36">
                  <c:v>0.16701680672268904</c:v>
                </c:pt>
                <c:pt idx="37">
                  <c:v>0.14495798319327735</c:v>
                </c:pt>
                <c:pt idx="38">
                  <c:v>0.12184873949579833</c:v>
                </c:pt>
                <c:pt idx="39">
                  <c:v>9.5588235294117641E-2</c:v>
                </c:pt>
                <c:pt idx="40">
                  <c:v>7.247899159663862E-2</c:v>
                </c:pt>
                <c:pt idx="41">
                  <c:v>4.7268907563025264E-2</c:v>
                </c:pt>
                <c:pt idx="42">
                  <c:v>3.5714285714285698E-2</c:v>
                </c:pt>
                <c:pt idx="43">
                  <c:v>2.9411764705882359E-2</c:v>
                </c:pt>
                <c:pt idx="44">
                  <c:v>2.1008403361344574E-2</c:v>
                </c:pt>
                <c:pt idx="45">
                  <c:v>1.5756302521008458E-2</c:v>
                </c:pt>
                <c:pt idx="46">
                  <c:v>1.1554621848739455E-2</c:v>
                </c:pt>
                <c:pt idx="47">
                  <c:v>4.2016806722688926E-3</c:v>
                </c:pt>
                <c:pt idx="48">
                  <c:v>3.1512605042016695E-3</c:v>
                </c:pt>
                <c:pt idx="49">
                  <c:v>2.1008403361344463E-3</c:v>
                </c:pt>
                <c:pt idx="50">
                  <c:v>2.1008403361344463E-3</c:v>
                </c:pt>
                <c:pt idx="51">
                  <c:v>1.0504201680672232E-3</c:v>
                </c:pt>
                <c:pt idx="52">
                  <c:v>1.0504201680672232E-3</c:v>
                </c:pt>
                <c:pt idx="5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2F-4C14-931E-73CBF3877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716976"/>
        <c:axId val="1718714576"/>
      </c:scatterChart>
      <c:valAx>
        <c:axId val="17187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714576"/>
        <c:crosses val="autoZero"/>
        <c:crossBetween val="midCat"/>
      </c:valAx>
      <c:valAx>
        <c:axId val="171871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71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CAP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ROC_GINI_AUC_KS!$AA$8:$AA$61</c:f>
              <c:numCache>
                <c:formatCode>0.00%</c:formatCode>
                <c:ptCount val="54"/>
                <c:pt idx="0">
                  <c:v>6.6666666666666664E-4</c:v>
                </c:pt>
                <c:pt idx="1">
                  <c:v>6.6666666666666664E-4</c:v>
                </c:pt>
                <c:pt idx="2">
                  <c:v>6.6666666666666664E-4</c:v>
                </c:pt>
                <c:pt idx="3">
                  <c:v>6.6666666666666664E-4</c:v>
                </c:pt>
                <c:pt idx="4">
                  <c:v>6.6666666666666664E-4</c:v>
                </c:pt>
                <c:pt idx="5">
                  <c:v>6.6666666666666664E-4</c:v>
                </c:pt>
                <c:pt idx="6">
                  <c:v>6.6666666666666664E-4</c:v>
                </c:pt>
                <c:pt idx="7">
                  <c:v>6.6666666666666664E-4</c:v>
                </c:pt>
                <c:pt idx="8">
                  <c:v>6.6666666666666664E-4</c:v>
                </c:pt>
                <c:pt idx="9">
                  <c:v>6.6666666666666664E-4</c:v>
                </c:pt>
                <c:pt idx="10">
                  <c:v>6.6666666666666664E-4</c:v>
                </c:pt>
                <c:pt idx="11">
                  <c:v>6.6666666666666664E-4</c:v>
                </c:pt>
                <c:pt idx="12">
                  <c:v>6.6666666666666664E-4</c:v>
                </c:pt>
                <c:pt idx="13">
                  <c:v>6.6666666666666664E-4</c:v>
                </c:pt>
                <c:pt idx="14">
                  <c:v>6.6666666666666664E-4</c:v>
                </c:pt>
                <c:pt idx="15">
                  <c:v>1.3333333333333333E-3</c:v>
                </c:pt>
                <c:pt idx="16">
                  <c:v>1.3333333333333333E-3</c:v>
                </c:pt>
                <c:pt idx="17">
                  <c:v>2.6666666666666666E-3</c:v>
                </c:pt>
                <c:pt idx="18">
                  <c:v>3.3333333333333335E-3</c:v>
                </c:pt>
                <c:pt idx="19">
                  <c:v>9.3333333333333341E-3</c:v>
                </c:pt>
                <c:pt idx="20">
                  <c:v>1.4E-2</c:v>
                </c:pt>
                <c:pt idx="21">
                  <c:v>2.0666666666666667E-2</c:v>
                </c:pt>
                <c:pt idx="22">
                  <c:v>2.5999999999999999E-2</c:v>
                </c:pt>
                <c:pt idx="23">
                  <c:v>3.4000000000000002E-2</c:v>
                </c:pt>
                <c:pt idx="24">
                  <c:v>4.4666666666666667E-2</c:v>
                </c:pt>
                <c:pt idx="25">
                  <c:v>7.1999999999999995E-2</c:v>
                </c:pt>
                <c:pt idx="26">
                  <c:v>0.104</c:v>
                </c:pt>
                <c:pt idx="27">
                  <c:v>0.16333333333333333</c:v>
                </c:pt>
                <c:pt idx="28">
                  <c:v>0.24733333333333332</c:v>
                </c:pt>
                <c:pt idx="29">
                  <c:v>0.37866666666666665</c:v>
                </c:pt>
                <c:pt idx="30">
                  <c:v>0.52200000000000002</c:v>
                </c:pt>
                <c:pt idx="31">
                  <c:v>0.63666666666666671</c:v>
                </c:pt>
                <c:pt idx="32">
                  <c:v>0.72933333333333328</c:v>
                </c:pt>
                <c:pt idx="33">
                  <c:v>0.79266666666666663</c:v>
                </c:pt>
                <c:pt idx="34">
                  <c:v>0.83199999999999996</c:v>
                </c:pt>
                <c:pt idx="35">
                  <c:v>0.87133333333333329</c:v>
                </c:pt>
                <c:pt idx="36">
                  <c:v>0.89400000000000002</c:v>
                </c:pt>
                <c:pt idx="37">
                  <c:v>0.90800000000000003</c:v>
                </c:pt>
                <c:pt idx="38">
                  <c:v>0.92266666666666663</c:v>
                </c:pt>
                <c:pt idx="39">
                  <c:v>0.93933333333333335</c:v>
                </c:pt>
                <c:pt idx="40">
                  <c:v>0.95399999999999996</c:v>
                </c:pt>
                <c:pt idx="41">
                  <c:v>0.97</c:v>
                </c:pt>
                <c:pt idx="42">
                  <c:v>0.97733333333333339</c:v>
                </c:pt>
                <c:pt idx="43">
                  <c:v>0.98133333333333328</c:v>
                </c:pt>
                <c:pt idx="44">
                  <c:v>0.98666666666666669</c:v>
                </c:pt>
                <c:pt idx="45">
                  <c:v>0.99</c:v>
                </c:pt>
                <c:pt idx="46">
                  <c:v>0.9926666666666667</c:v>
                </c:pt>
                <c:pt idx="47">
                  <c:v>0.99733333333333329</c:v>
                </c:pt>
                <c:pt idx="48">
                  <c:v>0.998</c:v>
                </c:pt>
                <c:pt idx="49">
                  <c:v>0.9986666666666667</c:v>
                </c:pt>
                <c:pt idx="50">
                  <c:v>0.9986666666666667</c:v>
                </c:pt>
                <c:pt idx="51">
                  <c:v>0.9993333333333333</c:v>
                </c:pt>
                <c:pt idx="52">
                  <c:v>0.9993333333333333</c:v>
                </c:pt>
                <c:pt idx="53">
                  <c:v>1</c:v>
                </c:pt>
              </c:numCache>
            </c:numRef>
          </c:xVal>
          <c:yVal>
            <c:numRef>
              <c:f>ROC_GINI_AUC_KS!$AB$8:$AB$61</c:f>
              <c:numCache>
                <c:formatCode>0.00%</c:formatCode>
                <c:ptCount val="54"/>
                <c:pt idx="0">
                  <c:v>1.8248175182481751E-3</c:v>
                </c:pt>
                <c:pt idx="1">
                  <c:v>1.8248175182481751E-3</c:v>
                </c:pt>
                <c:pt idx="2">
                  <c:v>1.8248175182481751E-3</c:v>
                </c:pt>
                <c:pt idx="3">
                  <c:v>1.8248175182481751E-3</c:v>
                </c:pt>
                <c:pt idx="4">
                  <c:v>1.8248175182481751E-3</c:v>
                </c:pt>
                <c:pt idx="5">
                  <c:v>1.8248175182481751E-3</c:v>
                </c:pt>
                <c:pt idx="6">
                  <c:v>1.8248175182481751E-3</c:v>
                </c:pt>
                <c:pt idx="7">
                  <c:v>1.8248175182481751E-3</c:v>
                </c:pt>
                <c:pt idx="8">
                  <c:v>1.8248175182481751E-3</c:v>
                </c:pt>
                <c:pt idx="9">
                  <c:v>1.8248175182481751E-3</c:v>
                </c:pt>
                <c:pt idx="10">
                  <c:v>1.8248175182481751E-3</c:v>
                </c:pt>
                <c:pt idx="11">
                  <c:v>1.8248175182481751E-3</c:v>
                </c:pt>
                <c:pt idx="12">
                  <c:v>1.8248175182481751E-3</c:v>
                </c:pt>
                <c:pt idx="13">
                  <c:v>1.8248175182481751E-3</c:v>
                </c:pt>
                <c:pt idx="14">
                  <c:v>1.8248175182481751E-3</c:v>
                </c:pt>
                <c:pt idx="15">
                  <c:v>3.6496350364963502E-3</c:v>
                </c:pt>
                <c:pt idx="16">
                  <c:v>3.6496350364963502E-3</c:v>
                </c:pt>
                <c:pt idx="17">
                  <c:v>7.2992700729927005E-3</c:v>
                </c:pt>
                <c:pt idx="18">
                  <c:v>9.1240875912408752E-3</c:v>
                </c:pt>
                <c:pt idx="19">
                  <c:v>2.3722627737226276E-2</c:v>
                </c:pt>
                <c:pt idx="20">
                  <c:v>3.4671532846715328E-2</c:v>
                </c:pt>
                <c:pt idx="21">
                  <c:v>5.2919708029197078E-2</c:v>
                </c:pt>
                <c:pt idx="22">
                  <c:v>6.569343065693431E-2</c:v>
                </c:pt>
                <c:pt idx="23">
                  <c:v>8.7591240875912413E-2</c:v>
                </c:pt>
                <c:pt idx="24">
                  <c:v>0.11496350364963503</c:v>
                </c:pt>
                <c:pt idx="25">
                  <c:v>0.18613138686131386</c:v>
                </c:pt>
                <c:pt idx="26">
                  <c:v>0.26459854014598538</c:v>
                </c:pt>
                <c:pt idx="27">
                  <c:v>0.37956204379562042</c:v>
                </c:pt>
                <c:pt idx="28">
                  <c:v>0.51824817518248179</c:v>
                </c:pt>
                <c:pt idx="29">
                  <c:v>0.68795620437956206</c:v>
                </c:pt>
                <c:pt idx="30">
                  <c:v>0.84124087591240881</c:v>
                </c:pt>
                <c:pt idx="31">
                  <c:v>0.91970802919708028</c:v>
                </c:pt>
                <c:pt idx="32">
                  <c:v>0.97080291970802923</c:v>
                </c:pt>
                <c:pt idx="33">
                  <c:v>0.98722627737226276</c:v>
                </c:pt>
                <c:pt idx="34">
                  <c:v>0.9963503649635036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24-4B3C-B34D-FB03D0DECC7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ROC_GINI_AUC_KS!$AA$8:$AA$61</c:f>
              <c:numCache>
                <c:formatCode>0.00%</c:formatCode>
                <c:ptCount val="54"/>
                <c:pt idx="0">
                  <c:v>6.6666666666666664E-4</c:v>
                </c:pt>
                <c:pt idx="1">
                  <c:v>6.6666666666666664E-4</c:v>
                </c:pt>
                <c:pt idx="2">
                  <c:v>6.6666666666666664E-4</c:v>
                </c:pt>
                <c:pt idx="3">
                  <c:v>6.6666666666666664E-4</c:v>
                </c:pt>
                <c:pt idx="4">
                  <c:v>6.6666666666666664E-4</c:v>
                </c:pt>
                <c:pt idx="5">
                  <c:v>6.6666666666666664E-4</c:v>
                </c:pt>
                <c:pt idx="6">
                  <c:v>6.6666666666666664E-4</c:v>
                </c:pt>
                <c:pt idx="7">
                  <c:v>6.6666666666666664E-4</c:v>
                </c:pt>
                <c:pt idx="8">
                  <c:v>6.6666666666666664E-4</c:v>
                </c:pt>
                <c:pt idx="9">
                  <c:v>6.6666666666666664E-4</c:v>
                </c:pt>
                <c:pt idx="10">
                  <c:v>6.6666666666666664E-4</c:v>
                </c:pt>
                <c:pt idx="11">
                  <c:v>6.6666666666666664E-4</c:v>
                </c:pt>
                <c:pt idx="12">
                  <c:v>6.6666666666666664E-4</c:v>
                </c:pt>
                <c:pt idx="13">
                  <c:v>6.6666666666666664E-4</c:v>
                </c:pt>
                <c:pt idx="14">
                  <c:v>6.6666666666666664E-4</c:v>
                </c:pt>
                <c:pt idx="15">
                  <c:v>1.3333333333333333E-3</c:v>
                </c:pt>
                <c:pt idx="16">
                  <c:v>1.3333333333333333E-3</c:v>
                </c:pt>
                <c:pt idx="17">
                  <c:v>2.6666666666666666E-3</c:v>
                </c:pt>
                <c:pt idx="18">
                  <c:v>3.3333333333333335E-3</c:v>
                </c:pt>
                <c:pt idx="19">
                  <c:v>9.3333333333333341E-3</c:v>
                </c:pt>
                <c:pt idx="20">
                  <c:v>1.4E-2</c:v>
                </c:pt>
                <c:pt idx="21">
                  <c:v>2.0666666666666667E-2</c:v>
                </c:pt>
                <c:pt idx="22">
                  <c:v>2.5999999999999999E-2</c:v>
                </c:pt>
                <c:pt idx="23">
                  <c:v>3.4000000000000002E-2</c:v>
                </c:pt>
                <c:pt idx="24">
                  <c:v>4.4666666666666667E-2</c:v>
                </c:pt>
                <c:pt idx="25">
                  <c:v>7.1999999999999995E-2</c:v>
                </c:pt>
                <c:pt idx="26">
                  <c:v>0.104</c:v>
                </c:pt>
                <c:pt idx="27">
                  <c:v>0.16333333333333333</c:v>
                </c:pt>
                <c:pt idx="28">
                  <c:v>0.24733333333333332</c:v>
                </c:pt>
                <c:pt idx="29">
                  <c:v>0.37866666666666665</c:v>
                </c:pt>
                <c:pt idx="30">
                  <c:v>0.52200000000000002</c:v>
                </c:pt>
                <c:pt idx="31">
                  <c:v>0.63666666666666671</c:v>
                </c:pt>
                <c:pt idx="32">
                  <c:v>0.72933333333333328</c:v>
                </c:pt>
                <c:pt idx="33">
                  <c:v>0.79266666666666663</c:v>
                </c:pt>
                <c:pt idx="34">
                  <c:v>0.83199999999999996</c:v>
                </c:pt>
                <c:pt idx="35">
                  <c:v>0.87133333333333329</c:v>
                </c:pt>
                <c:pt idx="36">
                  <c:v>0.89400000000000002</c:v>
                </c:pt>
                <c:pt idx="37">
                  <c:v>0.90800000000000003</c:v>
                </c:pt>
                <c:pt idx="38">
                  <c:v>0.92266666666666663</c:v>
                </c:pt>
                <c:pt idx="39">
                  <c:v>0.93933333333333335</c:v>
                </c:pt>
                <c:pt idx="40">
                  <c:v>0.95399999999999996</c:v>
                </c:pt>
                <c:pt idx="41">
                  <c:v>0.97</c:v>
                </c:pt>
                <c:pt idx="42">
                  <c:v>0.97733333333333339</c:v>
                </c:pt>
                <c:pt idx="43">
                  <c:v>0.98133333333333328</c:v>
                </c:pt>
                <c:pt idx="44">
                  <c:v>0.98666666666666669</c:v>
                </c:pt>
                <c:pt idx="45">
                  <c:v>0.99</c:v>
                </c:pt>
                <c:pt idx="46">
                  <c:v>0.9926666666666667</c:v>
                </c:pt>
                <c:pt idx="47">
                  <c:v>0.99733333333333329</c:v>
                </c:pt>
                <c:pt idx="48">
                  <c:v>0.998</c:v>
                </c:pt>
                <c:pt idx="49">
                  <c:v>0.9986666666666667</c:v>
                </c:pt>
                <c:pt idx="50">
                  <c:v>0.9986666666666667</c:v>
                </c:pt>
                <c:pt idx="51">
                  <c:v>0.9993333333333333</c:v>
                </c:pt>
                <c:pt idx="52">
                  <c:v>0.9993333333333333</c:v>
                </c:pt>
                <c:pt idx="53">
                  <c:v>1</c:v>
                </c:pt>
              </c:numCache>
            </c:numRef>
          </c:xVal>
          <c:yVal>
            <c:numRef>
              <c:f>ROC_GINI_AUC_KS!$N$8:$N$61</c:f>
              <c:numCache>
                <c:formatCode>0.00%</c:formatCode>
                <c:ptCount val="54"/>
                <c:pt idx="0">
                  <c:v>6.6666666666666664E-4</c:v>
                </c:pt>
                <c:pt idx="1">
                  <c:v>6.6666666666666664E-4</c:v>
                </c:pt>
                <c:pt idx="2">
                  <c:v>6.6666666666666664E-4</c:v>
                </c:pt>
                <c:pt idx="3">
                  <c:v>6.6666666666666664E-4</c:v>
                </c:pt>
                <c:pt idx="4">
                  <c:v>6.6666666666666664E-4</c:v>
                </c:pt>
                <c:pt idx="5">
                  <c:v>6.6666666666666664E-4</c:v>
                </c:pt>
                <c:pt idx="6">
                  <c:v>6.6666666666666664E-4</c:v>
                </c:pt>
                <c:pt idx="7">
                  <c:v>6.6666666666666664E-4</c:v>
                </c:pt>
                <c:pt idx="8">
                  <c:v>6.6666666666666664E-4</c:v>
                </c:pt>
                <c:pt idx="9">
                  <c:v>6.6666666666666664E-4</c:v>
                </c:pt>
                <c:pt idx="10">
                  <c:v>6.6666666666666664E-4</c:v>
                </c:pt>
                <c:pt idx="11">
                  <c:v>6.6666666666666664E-4</c:v>
                </c:pt>
                <c:pt idx="12">
                  <c:v>6.6666666666666664E-4</c:v>
                </c:pt>
                <c:pt idx="13">
                  <c:v>6.6666666666666664E-4</c:v>
                </c:pt>
                <c:pt idx="14">
                  <c:v>6.6666666666666664E-4</c:v>
                </c:pt>
                <c:pt idx="15">
                  <c:v>1.3333333333333333E-3</c:v>
                </c:pt>
                <c:pt idx="16">
                  <c:v>1.3333333333333333E-3</c:v>
                </c:pt>
                <c:pt idx="17">
                  <c:v>2.6666666666666666E-3</c:v>
                </c:pt>
                <c:pt idx="18">
                  <c:v>3.3333333333333335E-3</c:v>
                </c:pt>
                <c:pt idx="19">
                  <c:v>9.3333333333333341E-3</c:v>
                </c:pt>
                <c:pt idx="20">
                  <c:v>1.4E-2</c:v>
                </c:pt>
                <c:pt idx="21">
                  <c:v>2.0666666666666667E-2</c:v>
                </c:pt>
                <c:pt idx="22">
                  <c:v>2.5999999999999999E-2</c:v>
                </c:pt>
                <c:pt idx="23">
                  <c:v>3.4000000000000002E-2</c:v>
                </c:pt>
                <c:pt idx="24">
                  <c:v>4.4666666666666667E-2</c:v>
                </c:pt>
                <c:pt idx="25">
                  <c:v>7.1999999999999995E-2</c:v>
                </c:pt>
                <c:pt idx="26">
                  <c:v>0.104</c:v>
                </c:pt>
                <c:pt idx="27">
                  <c:v>0.16333333333333333</c:v>
                </c:pt>
                <c:pt idx="28">
                  <c:v>0.24733333333333332</c:v>
                </c:pt>
                <c:pt idx="29">
                  <c:v>0.37866666666666665</c:v>
                </c:pt>
                <c:pt idx="30">
                  <c:v>0.52200000000000002</c:v>
                </c:pt>
                <c:pt idx="31">
                  <c:v>0.63666666666666671</c:v>
                </c:pt>
                <c:pt idx="32">
                  <c:v>0.72933333333333328</c:v>
                </c:pt>
                <c:pt idx="33">
                  <c:v>0.79266666666666663</c:v>
                </c:pt>
                <c:pt idx="34">
                  <c:v>0.83199999999999996</c:v>
                </c:pt>
                <c:pt idx="35">
                  <c:v>0.87133333333333329</c:v>
                </c:pt>
                <c:pt idx="36">
                  <c:v>0.89400000000000002</c:v>
                </c:pt>
                <c:pt idx="37">
                  <c:v>0.90800000000000003</c:v>
                </c:pt>
                <c:pt idx="38">
                  <c:v>0.92266666666666663</c:v>
                </c:pt>
                <c:pt idx="39">
                  <c:v>0.93933333333333335</c:v>
                </c:pt>
                <c:pt idx="40">
                  <c:v>0.95399999999999996</c:v>
                </c:pt>
                <c:pt idx="41">
                  <c:v>0.97</c:v>
                </c:pt>
                <c:pt idx="42">
                  <c:v>0.97733333333333339</c:v>
                </c:pt>
                <c:pt idx="43">
                  <c:v>0.98133333333333328</c:v>
                </c:pt>
                <c:pt idx="44">
                  <c:v>0.98666666666666669</c:v>
                </c:pt>
                <c:pt idx="45">
                  <c:v>0.99</c:v>
                </c:pt>
                <c:pt idx="46">
                  <c:v>0.9926666666666667</c:v>
                </c:pt>
                <c:pt idx="47">
                  <c:v>0.99733333333333329</c:v>
                </c:pt>
                <c:pt idx="48">
                  <c:v>0.998</c:v>
                </c:pt>
                <c:pt idx="49">
                  <c:v>0.9986666666666667</c:v>
                </c:pt>
                <c:pt idx="50">
                  <c:v>0.9986666666666667</c:v>
                </c:pt>
                <c:pt idx="51">
                  <c:v>0.9993333333333333</c:v>
                </c:pt>
                <c:pt idx="52">
                  <c:v>0.9993333333333333</c:v>
                </c:pt>
                <c:pt idx="5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24-4B3C-B34D-FB03D0DE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836208"/>
        <c:axId val="1160831408"/>
      </c:scatterChart>
      <c:valAx>
        <c:axId val="116083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831408"/>
        <c:crosses val="autoZero"/>
        <c:crossBetween val="midCat"/>
      </c:valAx>
      <c:valAx>
        <c:axId val="116083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83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ustomXml" Target="../ink/ink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926125</xdr:colOff>
      <xdr:row>0</xdr:row>
      <xdr:rowOff>70338</xdr:rowOff>
    </xdr:from>
    <xdr:to>
      <xdr:col>12</xdr:col>
      <xdr:colOff>213461</xdr:colOff>
      <xdr:row>0</xdr:row>
      <xdr:rowOff>169985</xdr:rowOff>
    </xdr:to>
    <xdr:sp macro="" textlink="">
      <xdr:nvSpPr>
        <xdr:cNvPr id="2" name="Arrow: Curved Left 1">
          <a:extLst>
            <a:ext uri="{FF2B5EF4-FFF2-40B4-BE49-F238E27FC236}">
              <a16:creationId xmlns:a16="http://schemas.microsoft.com/office/drawing/2014/main" id="{EC831768-8E88-5796-C05B-F08CBCE88D2C}"/>
            </a:ext>
          </a:extLst>
        </xdr:cNvPr>
        <xdr:cNvSpPr/>
      </xdr:nvSpPr>
      <xdr:spPr>
        <a:xfrm rot="16200000">
          <a:off x="7873269" y="-171206"/>
          <a:ext cx="99647" cy="582736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457203</xdr:colOff>
      <xdr:row>0</xdr:row>
      <xdr:rowOff>64475</xdr:rowOff>
    </xdr:from>
    <xdr:to>
      <xdr:col>13</xdr:col>
      <xdr:colOff>430339</xdr:colOff>
      <xdr:row>0</xdr:row>
      <xdr:rowOff>164122</xdr:rowOff>
    </xdr:to>
    <xdr:sp macro="" textlink="">
      <xdr:nvSpPr>
        <xdr:cNvPr id="3" name="Arrow: Curved Left 2">
          <a:extLst>
            <a:ext uri="{FF2B5EF4-FFF2-40B4-BE49-F238E27FC236}">
              <a16:creationId xmlns:a16="http://schemas.microsoft.com/office/drawing/2014/main" id="{6CE89876-8954-4D66-B275-DAD693268A0B}"/>
            </a:ext>
          </a:extLst>
        </xdr:cNvPr>
        <xdr:cNvSpPr/>
      </xdr:nvSpPr>
      <xdr:spPr>
        <a:xfrm rot="16200000">
          <a:off x="8699747" y="-177069"/>
          <a:ext cx="99647" cy="582736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638003</xdr:colOff>
      <xdr:row>62</xdr:row>
      <xdr:rowOff>4503</xdr:rowOff>
    </xdr:from>
    <xdr:to>
      <xdr:col>14</xdr:col>
      <xdr:colOff>527166</xdr:colOff>
      <xdr:row>77</xdr:row>
      <xdr:rowOff>4502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596137-095C-C909-3624-65F146D9C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586740</xdr:colOff>
      <xdr:row>62</xdr:row>
      <xdr:rowOff>0</xdr:rowOff>
    </xdr:from>
    <xdr:to>
      <xdr:col>21</xdr:col>
      <xdr:colOff>281940</xdr:colOff>
      <xdr:row>77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B4AB36-05CF-46B2-841E-9A75544D5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544285</xdr:colOff>
      <xdr:row>68</xdr:row>
      <xdr:rowOff>108857</xdr:rowOff>
    </xdr:from>
    <xdr:to>
      <xdr:col>11</xdr:col>
      <xdr:colOff>547551</xdr:colOff>
      <xdr:row>71</xdr:row>
      <xdr:rowOff>132806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D9415DF-25CB-3121-BB40-A0B6C8C23CEC}"/>
            </a:ext>
          </a:extLst>
        </xdr:cNvPr>
        <xdr:cNvCxnSpPr/>
      </xdr:nvCxnSpPr>
      <xdr:spPr>
        <a:xfrm>
          <a:off x="7717971" y="12768943"/>
          <a:ext cx="3266" cy="5791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401682</xdr:colOff>
      <xdr:row>68</xdr:row>
      <xdr:rowOff>15240</xdr:rowOff>
    </xdr:from>
    <xdr:to>
      <xdr:col>18</xdr:col>
      <xdr:colOff>523602</xdr:colOff>
      <xdr:row>69</xdr:row>
      <xdr:rowOff>108857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E0B077FF-6936-5660-D5F6-9CF1F6183806}"/>
            </a:ext>
          </a:extLst>
        </xdr:cNvPr>
        <xdr:cNvSpPr/>
      </xdr:nvSpPr>
      <xdr:spPr>
        <a:xfrm>
          <a:off x="11842568" y="12958354"/>
          <a:ext cx="121920" cy="278674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464612</xdr:colOff>
      <xdr:row>68</xdr:row>
      <xdr:rowOff>181583</xdr:rowOff>
    </xdr:from>
    <xdr:to>
      <xdr:col>18</xdr:col>
      <xdr:colOff>464612</xdr:colOff>
      <xdr:row>74</xdr:row>
      <xdr:rowOff>132996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4DF8141-ECD8-15A1-AA45-AB10A1049079}"/>
            </a:ext>
          </a:extLst>
        </xdr:cNvPr>
        <xdr:cNvCxnSpPr/>
      </xdr:nvCxnSpPr>
      <xdr:spPr>
        <a:xfrm>
          <a:off x="11905498" y="13124697"/>
          <a:ext cx="0" cy="106175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511628</xdr:colOff>
      <xdr:row>73</xdr:row>
      <xdr:rowOff>76200</xdr:rowOff>
    </xdr:from>
    <xdr:to>
      <xdr:col>19</xdr:col>
      <xdr:colOff>596348</xdr:colOff>
      <xdr:row>77</xdr:row>
      <xdr:rowOff>178904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4763255-85AD-3FE8-B00E-CE9A6DA9317B}"/>
            </a:ext>
          </a:extLst>
        </xdr:cNvPr>
        <xdr:cNvCxnSpPr/>
      </xdr:nvCxnSpPr>
      <xdr:spPr>
        <a:xfrm flipH="1" flipV="1">
          <a:off x="11952514" y="13944600"/>
          <a:ext cx="694320" cy="8429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566057</xdr:colOff>
      <xdr:row>70</xdr:row>
      <xdr:rowOff>10886</xdr:rowOff>
    </xdr:from>
    <xdr:to>
      <xdr:col>13</xdr:col>
      <xdr:colOff>0</xdr:colOff>
      <xdr:row>77</xdr:row>
      <xdr:rowOff>174171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A4CD150F-05BC-4E56-A885-85A546FC68C3}"/>
            </a:ext>
          </a:extLst>
        </xdr:cNvPr>
        <xdr:cNvCxnSpPr/>
      </xdr:nvCxnSpPr>
      <xdr:spPr>
        <a:xfrm flipH="1" flipV="1">
          <a:off x="7739743" y="13041086"/>
          <a:ext cx="653143" cy="1458685"/>
        </a:xfrm>
        <a:prstGeom prst="straightConnector1">
          <a:avLst/>
        </a:prstGeom>
        <a:ln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658265</xdr:colOff>
      <xdr:row>80</xdr:row>
      <xdr:rowOff>181214</xdr:rowOff>
    </xdr:from>
    <xdr:to>
      <xdr:col>14</xdr:col>
      <xdr:colOff>551329</xdr:colOff>
      <xdr:row>96</xdr:row>
      <xdr:rowOff>51867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F1D6FA6-9EE2-3E2D-1420-ABD8A964B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370115</xdr:colOff>
      <xdr:row>86</xdr:row>
      <xdr:rowOff>97971</xdr:rowOff>
    </xdr:from>
    <xdr:to>
      <xdr:col>13</xdr:col>
      <xdr:colOff>217714</xdr:colOff>
      <xdr:row>94</xdr:row>
      <xdr:rowOff>141514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F83DD37-8BF7-FC9B-271B-9B286B1D2940}"/>
            </a:ext>
          </a:extLst>
        </xdr:cNvPr>
        <xdr:cNvCxnSpPr/>
      </xdr:nvCxnSpPr>
      <xdr:spPr>
        <a:xfrm flipV="1">
          <a:off x="5551715" y="16110857"/>
          <a:ext cx="3058885" cy="156754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370114</xdr:colOff>
      <xdr:row>85</xdr:row>
      <xdr:rowOff>65314</xdr:rowOff>
    </xdr:from>
    <xdr:to>
      <xdr:col>8</xdr:col>
      <xdr:colOff>370114</xdr:colOff>
      <xdr:row>94</xdr:row>
      <xdr:rowOff>152400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E3ADF2AA-EBA3-C8EB-FB3E-1DF1FCB0467F}"/>
            </a:ext>
          </a:extLst>
        </xdr:cNvPr>
        <xdr:cNvCxnSpPr/>
      </xdr:nvCxnSpPr>
      <xdr:spPr>
        <a:xfrm flipV="1">
          <a:off x="5551714" y="15893143"/>
          <a:ext cx="0" cy="175260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370114</xdr:colOff>
      <xdr:row>85</xdr:row>
      <xdr:rowOff>65314</xdr:rowOff>
    </xdr:from>
    <xdr:to>
      <xdr:col>8</xdr:col>
      <xdr:colOff>370114</xdr:colOff>
      <xdr:row>85</xdr:row>
      <xdr:rowOff>108857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439F5EF9-0769-49A0-BF46-3A3B6A26A6BA}"/>
            </a:ext>
          </a:extLst>
        </xdr:cNvPr>
        <xdr:cNvCxnSpPr/>
      </xdr:nvCxnSpPr>
      <xdr:spPr>
        <a:xfrm flipV="1">
          <a:off x="5551714" y="15893143"/>
          <a:ext cx="0" cy="43543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348343</xdr:colOff>
      <xdr:row>85</xdr:row>
      <xdr:rowOff>76200</xdr:rowOff>
    </xdr:from>
    <xdr:to>
      <xdr:col>13</xdr:col>
      <xdr:colOff>206828</xdr:colOff>
      <xdr:row>85</xdr:row>
      <xdr:rowOff>76200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5801CA64-DDEC-4D71-BFBA-F33D4DE4C0A1}"/>
            </a:ext>
          </a:extLst>
        </xdr:cNvPr>
        <xdr:cNvCxnSpPr/>
      </xdr:nvCxnSpPr>
      <xdr:spPr>
        <a:xfrm flipH="1">
          <a:off x="5529943" y="15904029"/>
          <a:ext cx="3069771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108857</xdr:colOff>
      <xdr:row>86</xdr:row>
      <xdr:rowOff>152400</xdr:rowOff>
    </xdr:from>
    <xdr:to>
      <xdr:col>16</xdr:col>
      <xdr:colOff>0</xdr:colOff>
      <xdr:row>91</xdr:row>
      <xdr:rowOff>163286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4F28C2EA-0E8F-45F4-88F9-ED9030A0A49F}"/>
            </a:ext>
          </a:extLst>
        </xdr:cNvPr>
        <xdr:cNvCxnSpPr/>
      </xdr:nvCxnSpPr>
      <xdr:spPr>
        <a:xfrm flipH="1" flipV="1">
          <a:off x="7282543" y="16165286"/>
          <a:ext cx="2939143" cy="9579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598714</xdr:colOff>
      <xdr:row>87</xdr:row>
      <xdr:rowOff>97971</xdr:rowOff>
    </xdr:from>
    <xdr:to>
      <xdr:col>15</xdr:col>
      <xdr:colOff>555171</xdr:colOff>
      <xdr:row>89</xdr:row>
      <xdr:rowOff>130629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65B91C4D-C066-4B0C-91DB-96CD8D04AFCB}"/>
            </a:ext>
          </a:extLst>
        </xdr:cNvPr>
        <xdr:cNvCxnSpPr/>
      </xdr:nvCxnSpPr>
      <xdr:spPr>
        <a:xfrm flipH="1" flipV="1">
          <a:off x="8382000" y="16295914"/>
          <a:ext cx="1785257" cy="4027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522514</xdr:colOff>
      <xdr:row>85</xdr:row>
      <xdr:rowOff>97971</xdr:rowOff>
    </xdr:from>
    <xdr:to>
      <xdr:col>16</xdr:col>
      <xdr:colOff>10885</xdr:colOff>
      <xdr:row>94</xdr:row>
      <xdr:rowOff>163285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E15015FD-F3DD-4F2C-B6AC-58FA5A4D5AB6}"/>
            </a:ext>
          </a:extLst>
        </xdr:cNvPr>
        <xdr:cNvCxnSpPr/>
      </xdr:nvCxnSpPr>
      <xdr:spPr>
        <a:xfrm flipH="1" flipV="1">
          <a:off x="5704114" y="15925800"/>
          <a:ext cx="4528457" cy="17743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522514</xdr:colOff>
      <xdr:row>61</xdr:row>
      <xdr:rowOff>141513</xdr:rowOff>
    </xdr:from>
    <xdr:to>
      <xdr:col>28</xdr:col>
      <xdr:colOff>217714</xdr:colOff>
      <xdr:row>76</xdr:row>
      <xdr:rowOff>108856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2586B84D-9485-B812-220A-089428F12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330654</xdr:colOff>
      <xdr:row>66</xdr:row>
      <xdr:rowOff>21771</xdr:rowOff>
    </xdr:from>
    <xdr:to>
      <xdr:col>27</xdr:col>
      <xdr:colOff>9525</xdr:colOff>
      <xdr:row>78</xdr:row>
      <xdr:rowOff>9525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CF1294D6-17B7-81DB-055F-0346F033D942}"/>
            </a:ext>
          </a:extLst>
        </xdr:cNvPr>
        <xdr:cNvCxnSpPr/>
      </xdr:nvCxnSpPr>
      <xdr:spPr>
        <a:xfrm flipH="1" flipV="1">
          <a:off x="16732704" y="12318546"/>
          <a:ext cx="1526721" cy="21689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190500</xdr:colOff>
      <xdr:row>11</xdr:row>
      <xdr:rowOff>104775</xdr:rowOff>
    </xdr:from>
    <xdr:to>
      <xdr:col>38</xdr:col>
      <xdr:colOff>276225</xdr:colOff>
      <xdr:row>11</xdr:row>
      <xdr:rowOff>109538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4BAA62ED-B58B-607A-F66C-57218C515E98}"/>
            </a:ext>
          </a:extLst>
        </xdr:cNvPr>
        <xdr:cNvCxnSpPr/>
      </xdr:nvCxnSpPr>
      <xdr:spPr>
        <a:xfrm flipV="1">
          <a:off x="24041100" y="2438400"/>
          <a:ext cx="1914525" cy="476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35</xdr:col>
      <xdr:colOff>356760</xdr:colOff>
      <xdr:row>8</xdr:row>
      <xdr:rowOff>109365</xdr:rowOff>
    </xdr:from>
    <xdr:to>
      <xdr:col>35</xdr:col>
      <xdr:colOff>357120</xdr:colOff>
      <xdr:row>8</xdr:row>
      <xdr:rowOff>109725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AA6F3D93-393F-6E77-CAC3-9D1A724CCC9E}"/>
                </a:ext>
              </a:extLst>
            </xdr14:cNvPr>
            <xdr14:cNvContentPartPr/>
          </xdr14:nvContentPartPr>
          <xdr14:nvPr macro=""/>
          <xdr14:xfrm>
            <a:off x="24616935" y="1900065"/>
            <a:ext cx="360" cy="36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AA6F3D93-393F-6E77-CAC3-9D1A724CCC9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4610815" y="189394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32</xdr:col>
      <xdr:colOff>228600</xdr:colOff>
      <xdr:row>4</xdr:row>
      <xdr:rowOff>1359</xdr:rowOff>
    </xdr:from>
    <xdr:to>
      <xdr:col>39</xdr:col>
      <xdr:colOff>533400</xdr:colOff>
      <xdr:row>18</xdr:row>
      <xdr:rowOff>122463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CB618DA-3BFD-12BD-5C59-DFD61D0A7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185738</xdr:colOff>
      <xdr:row>8</xdr:row>
      <xdr:rowOff>28575</xdr:rowOff>
    </xdr:from>
    <xdr:to>
      <xdr:col>35</xdr:col>
      <xdr:colOff>152400</xdr:colOff>
      <xdr:row>17</xdr:row>
      <xdr:rowOff>28575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BA328B93-E6AD-428C-DF9E-FF5B9D281C55}"/>
            </a:ext>
          </a:extLst>
        </xdr:cNvPr>
        <xdr:cNvCxnSpPr/>
      </xdr:nvCxnSpPr>
      <xdr:spPr>
        <a:xfrm flipV="1">
          <a:off x="23617238" y="1819275"/>
          <a:ext cx="1185862" cy="1628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133350</xdr:colOff>
      <xdr:row>8</xdr:row>
      <xdr:rowOff>19050</xdr:rowOff>
    </xdr:from>
    <xdr:to>
      <xdr:col>38</xdr:col>
      <xdr:colOff>219075</xdr:colOff>
      <xdr:row>8</xdr:row>
      <xdr:rowOff>23813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5AA72784-8893-FA68-4404-FC88F0E4CBCD}"/>
            </a:ext>
          </a:extLst>
        </xdr:cNvPr>
        <xdr:cNvCxnSpPr/>
      </xdr:nvCxnSpPr>
      <xdr:spPr>
        <a:xfrm flipV="1">
          <a:off x="24784050" y="1809750"/>
          <a:ext cx="1914525" cy="476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0.01825</cdr:y>
    </cdr:from>
    <cdr:to>
      <cdr:x>0.10242</cdr:x>
      <cdr:y>0.28492</cdr:y>
    </cdr:to>
    <cdr:cxnSp macro="">
      <cdr:nvCxnSpPr>
        <cdr:cNvPr id="2" name="Straight Arrow Connector 1">
          <a:extLst xmlns:a="http://schemas.openxmlformats.org/drawingml/2006/main">
            <a:ext uri="{FF2B5EF4-FFF2-40B4-BE49-F238E27FC236}">
              <a16:creationId xmlns:a16="http://schemas.microsoft.com/office/drawing/2014/main" id="{24763255-85AD-3FE8-B00E-CE9A6DA9317B}"/>
            </a:ext>
          </a:extLst>
        </cdr:cNvPr>
        <cdr:cNvCxnSpPr/>
      </cdr:nvCxnSpPr>
      <cdr:spPr>
        <a:xfrm xmlns:a="http://schemas.openxmlformats.org/drawingml/2006/main" flipH="1" flipV="1">
          <a:off x="50800" y="50800"/>
          <a:ext cx="417444" cy="742121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3T23:55:28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G25" sqref="G25"/>
    </sheetView>
  </sheetViews>
  <sheetFormatPr defaultRowHeight="14.4" x14ac:dyDescent="0.3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X1503"/>
  <sheetViews>
    <sheetView topLeftCell="S1" zoomScaleNormal="100" workbookViewId="0">
      <selection activeCell="G25" sqref="G25"/>
    </sheetView>
  </sheetViews>
  <sheetFormatPr defaultRowHeight="14.4" x14ac:dyDescent="0.3"/>
  <cols>
    <col min="12" max="12" width="18.88671875" bestFit="1" customWidth="1"/>
    <col min="14" max="14" width="13.77734375" bestFit="1" customWidth="1"/>
    <col min="21" max="21" width="9.5546875" customWidth="1"/>
  </cols>
  <sheetData>
    <row r="1" spans="2:50" ht="15" thickBot="1" x14ac:dyDescent="0.35"/>
    <row r="2" spans="2:50" ht="33.6" thickBot="1" x14ac:dyDescent="0.35">
      <c r="L2" s="23" t="s">
        <v>87</v>
      </c>
      <c r="M2" s="23" t="s">
        <v>86</v>
      </c>
      <c r="N2" s="23" t="s">
        <v>86</v>
      </c>
      <c r="Q2" s="43" t="s">
        <v>89</v>
      </c>
      <c r="U2" s="41" t="s">
        <v>88</v>
      </c>
      <c r="V2" s="42">
        <f>SUM(O4:O1503)</f>
        <v>-687.2213967592553</v>
      </c>
    </row>
    <row r="3" spans="2:50" ht="15" thickBot="1" x14ac:dyDescent="0.35">
      <c r="B3" s="14" t="s">
        <v>0</v>
      </c>
      <c r="C3" s="15" t="s">
        <v>1</v>
      </c>
      <c r="D3" s="15" t="s">
        <v>2</v>
      </c>
      <c r="E3" s="15" t="s">
        <v>3</v>
      </c>
      <c r="F3" s="15" t="s">
        <v>4</v>
      </c>
      <c r="G3" s="15" t="s">
        <v>5</v>
      </c>
      <c r="H3" s="15" t="s">
        <v>6</v>
      </c>
      <c r="I3" s="15" t="s">
        <v>7</v>
      </c>
      <c r="J3" s="15" t="s">
        <v>8</v>
      </c>
      <c r="K3" s="16" t="s">
        <v>9</v>
      </c>
      <c r="L3" s="18" t="s">
        <v>85</v>
      </c>
      <c r="M3" s="18" t="s">
        <v>10</v>
      </c>
      <c r="N3" s="18" t="s">
        <v>11</v>
      </c>
      <c r="O3" s="18" t="s">
        <v>12</v>
      </c>
      <c r="P3" s="18" t="s">
        <v>82</v>
      </c>
      <c r="Q3" s="18" t="s">
        <v>13</v>
      </c>
      <c r="R3" s="18" t="s">
        <v>14</v>
      </c>
      <c r="S3" s="19" t="s">
        <v>15</v>
      </c>
      <c r="Y3" s="3" t="s">
        <v>16</v>
      </c>
      <c r="Z3" s="31" t="s">
        <v>17</v>
      </c>
      <c r="AA3" s="31" t="s">
        <v>18</v>
      </c>
      <c r="AB3" s="31" t="s">
        <v>19</v>
      </c>
      <c r="AC3" s="31" t="s">
        <v>20</v>
      </c>
      <c r="AD3" s="31" t="s">
        <v>21</v>
      </c>
      <c r="AE3" s="31" t="s">
        <v>22</v>
      </c>
      <c r="AF3" s="31" t="s">
        <v>23</v>
      </c>
      <c r="AG3" s="21" t="s">
        <v>24</v>
      </c>
      <c r="AW3" t="s">
        <v>25</v>
      </c>
      <c r="AX3" t="s">
        <v>26</v>
      </c>
    </row>
    <row r="4" spans="2:50" ht="15" thickBot="1" x14ac:dyDescent="0.35">
      <c r="B4" s="24">
        <v>10012</v>
      </c>
      <c r="C4" s="25">
        <v>28</v>
      </c>
      <c r="D4" s="25">
        <v>2</v>
      </c>
      <c r="E4" s="25">
        <v>7</v>
      </c>
      <c r="F4" s="25">
        <v>2</v>
      </c>
      <c r="G4" s="25">
        <v>44</v>
      </c>
      <c r="H4" s="25">
        <v>17.7</v>
      </c>
      <c r="I4" s="25">
        <v>2.99</v>
      </c>
      <c r="J4" s="25">
        <v>4.8</v>
      </c>
      <c r="K4" s="26">
        <v>0</v>
      </c>
      <c r="L4" s="25">
        <f>$Y$4+SUMPRODUCT($Z$4:$AG$4,C4:J4)</f>
        <v>0.5483027362814068</v>
      </c>
      <c r="M4" s="25">
        <f>EXP(L4)/(1+EXP(L4))</f>
        <v>0.63374172328077638</v>
      </c>
      <c r="N4" s="25">
        <f>IF(K4=1,M4,(1-M4))</f>
        <v>0.36625827671922362</v>
      </c>
      <c r="O4" s="25">
        <f>LN(N4)</f>
        <v>-1.0044165203554223</v>
      </c>
      <c r="P4" s="25">
        <f>IF(M4&gt;0.4,1,0)</f>
        <v>1</v>
      </c>
      <c r="Q4" s="25">
        <f>28.8539*LN((1-M4)/(M4))+487.123</f>
        <v>471.30232767760992</v>
      </c>
      <c r="R4" s="25">
        <f>VLOOKUP(M4,$U$9:$W$16,3,TRUE)</f>
        <v>7</v>
      </c>
      <c r="S4" s="26">
        <f>VLOOKUP(M4,$U$21:$W$37,3,TRUE)</f>
        <v>15</v>
      </c>
      <c r="U4" s="44" t="s">
        <v>83</v>
      </c>
      <c r="V4" s="21">
        <f>MIN($Q$4:$Q$1503)</f>
        <v>59.604795221100289</v>
      </c>
      <c r="Y4" s="5">
        <v>-0.40142318177950392</v>
      </c>
      <c r="Z4" s="17">
        <v>-2.1599274586177029E-2</v>
      </c>
      <c r="AA4" s="17">
        <v>-5.3420436256177137E-2</v>
      </c>
      <c r="AB4" s="17">
        <v>-0.22624294091602301</v>
      </c>
      <c r="AC4" s="17">
        <v>-3.2578078422029567E-2</v>
      </c>
      <c r="AD4" s="17">
        <v>2.2085567894311619E-4</v>
      </c>
      <c r="AE4" s="17">
        <v>9.9623801796388578E-2</v>
      </c>
      <c r="AF4" s="17">
        <v>0.47373013013526138</v>
      </c>
      <c r="AG4" s="10">
        <v>2.514399822259079E-2</v>
      </c>
      <c r="AW4" t="s">
        <v>27</v>
      </c>
      <c r="AX4" t="s">
        <v>28</v>
      </c>
    </row>
    <row r="5" spans="2:50" ht="15" thickBot="1" x14ac:dyDescent="0.35">
      <c r="B5" s="24">
        <v>10017</v>
      </c>
      <c r="C5" s="25">
        <v>64</v>
      </c>
      <c r="D5" s="25">
        <v>5</v>
      </c>
      <c r="E5" s="25">
        <v>34</v>
      </c>
      <c r="F5" s="25">
        <v>17</v>
      </c>
      <c r="G5" s="25">
        <v>116</v>
      </c>
      <c r="H5" s="25">
        <v>14.7</v>
      </c>
      <c r="I5" s="25">
        <v>5.05</v>
      </c>
      <c r="J5" s="25">
        <v>12</v>
      </c>
      <c r="K5" s="26">
        <v>0</v>
      </c>
      <c r="L5" s="25">
        <f t="shared" ref="L5:L68" si="0">$Y$4+SUMPRODUCT($Z$4:$AG$4,C5:J5)</f>
        <v>-6.1128119798765326</v>
      </c>
      <c r="M5" s="25">
        <f>EXP(L5)/(1+EXP(L5))</f>
        <v>2.2094230799401338E-3</v>
      </c>
      <c r="N5" s="25">
        <f t="shared" ref="N5:N68" si="1">IF(K5=1,M5,(1-M5))</f>
        <v>0.9977905769200599</v>
      </c>
      <c r="O5" s="25">
        <f t="shared" ref="O5:O68" si="2">LN(N5)</f>
        <v>-2.2118674562177838E-3</v>
      </c>
      <c r="P5" s="25">
        <f t="shared" ref="P5:P68" si="3">IF(M5&gt;0.4,1,0)</f>
        <v>0</v>
      </c>
      <c r="Q5" s="25">
        <f>28.8539*LN((1-M5)/(M5))+487.123</f>
        <v>663.5014655861595</v>
      </c>
      <c r="R5" s="25">
        <f t="shared" ref="R5:R68" si="4">VLOOKUP(M5,$U$9:$W$16,3,TRUE)</f>
        <v>2</v>
      </c>
      <c r="S5" s="26">
        <f t="shared" ref="S5:S68" si="5">VLOOKUP(M5,$U$21:$W$37,3,TRUE)</f>
        <v>1</v>
      </c>
      <c r="U5" s="45" t="s">
        <v>84</v>
      </c>
      <c r="V5" s="10">
        <f>MAX($Q$4:$Q$1503)</f>
        <v>849.91915724795376</v>
      </c>
      <c r="AB5">
        <v>-0.62766612269552691</v>
      </c>
      <c r="AG5">
        <v>-0.37627918355691309</v>
      </c>
      <c r="AK5">
        <v>55</v>
      </c>
      <c r="AL5">
        <v>850</v>
      </c>
      <c r="AV5" t="s">
        <v>17</v>
      </c>
      <c r="AW5" t="s">
        <v>1</v>
      </c>
      <c r="AX5" t="s">
        <v>29</v>
      </c>
    </row>
    <row r="6" spans="2:50" ht="15" thickBot="1" x14ac:dyDescent="0.35">
      <c r="B6" s="24">
        <v>10030</v>
      </c>
      <c r="C6" s="25">
        <v>40</v>
      </c>
      <c r="D6" s="25">
        <v>1</v>
      </c>
      <c r="E6" s="25">
        <v>20</v>
      </c>
      <c r="F6" s="25">
        <v>12</v>
      </c>
      <c r="G6" s="25">
        <v>61</v>
      </c>
      <c r="H6" s="25">
        <v>4.8</v>
      </c>
      <c r="I6" s="25">
        <v>1.04</v>
      </c>
      <c r="J6" s="25">
        <v>1.89</v>
      </c>
      <c r="K6" s="26">
        <v>0</v>
      </c>
      <c r="L6" s="25">
        <f t="shared" si="0"/>
        <v>-5.2027424238480133</v>
      </c>
      <c r="M6" s="25">
        <f t="shared" ref="M6:M69" si="6">EXP(L6)/(1+EXP(L6))</f>
        <v>5.4713559625018332E-3</v>
      </c>
      <c r="N6" s="25">
        <f t="shared" si="1"/>
        <v>0.99452864403749819</v>
      </c>
      <c r="O6" s="25">
        <f t="shared" si="2"/>
        <v>-5.4863786519142189E-3</v>
      </c>
      <c r="P6" s="25">
        <f t="shared" si="3"/>
        <v>0</v>
      </c>
      <c r="Q6" s="25">
        <f>28.8539*LN((1-M6)/(M6))+487.123</f>
        <v>637.24240962346812</v>
      </c>
      <c r="R6" s="25">
        <f t="shared" si="4"/>
        <v>3</v>
      </c>
      <c r="S6" s="26">
        <f t="shared" si="5"/>
        <v>4</v>
      </c>
      <c r="Y6">
        <v>0.40097045324772729</v>
      </c>
      <c r="AB6">
        <v>0.3480399255646161</v>
      </c>
      <c r="AG6">
        <v>0.40702462527574251</v>
      </c>
      <c r="AK6">
        <f>AL5-AK5</f>
        <v>795</v>
      </c>
      <c r="AV6" t="s">
        <v>18</v>
      </c>
      <c r="AW6" t="s">
        <v>2</v>
      </c>
      <c r="AX6" t="s">
        <v>30</v>
      </c>
    </row>
    <row r="7" spans="2:50" ht="15" thickBot="1" x14ac:dyDescent="0.35">
      <c r="B7" s="24">
        <v>10039</v>
      </c>
      <c r="C7" s="25">
        <v>30</v>
      </c>
      <c r="D7" s="25">
        <v>1</v>
      </c>
      <c r="E7" s="25">
        <v>11</v>
      </c>
      <c r="F7" s="25">
        <v>3</v>
      </c>
      <c r="G7" s="25">
        <v>27</v>
      </c>
      <c r="H7" s="25">
        <v>34.5</v>
      </c>
      <c r="I7" s="25">
        <v>1.75</v>
      </c>
      <c r="J7" s="25">
        <v>7.56</v>
      </c>
      <c r="K7" s="26">
        <v>0</v>
      </c>
      <c r="L7" s="25">
        <f t="shared" si="0"/>
        <v>0.77287217864302993</v>
      </c>
      <c r="M7" s="25">
        <f t="shared" si="6"/>
        <v>0.68414187590506592</v>
      </c>
      <c r="N7" s="25">
        <f t="shared" si="1"/>
        <v>0.31585812409493408</v>
      </c>
      <c r="O7" s="25">
        <f t="shared" si="2"/>
        <v>-1.1524621405975213</v>
      </c>
      <c r="P7" s="25">
        <f t="shared" si="3"/>
        <v>1</v>
      </c>
      <c r="Q7" s="25">
        <f>28.8539*LN((1-M7)/(M7))+487.123</f>
        <v>464.82262344465187</v>
      </c>
      <c r="R7" s="25">
        <f t="shared" si="4"/>
        <v>8</v>
      </c>
      <c r="S7" s="26">
        <f t="shared" si="5"/>
        <v>15</v>
      </c>
      <c r="U7" s="40" t="s">
        <v>92</v>
      </c>
      <c r="AB7">
        <v>-5.2930527683111177E-2</v>
      </c>
      <c r="AG7">
        <v>6.0541720280151701E-3</v>
      </c>
      <c r="AK7">
        <f>AK6/50</f>
        <v>15.9</v>
      </c>
      <c r="AV7" t="s">
        <v>19</v>
      </c>
      <c r="AW7" t="s">
        <v>3</v>
      </c>
      <c r="AX7" t="s">
        <v>31</v>
      </c>
    </row>
    <row r="8" spans="2:50" ht="15" thickBot="1" x14ac:dyDescent="0.35">
      <c r="B8" s="24">
        <v>10069</v>
      </c>
      <c r="C8" s="25">
        <v>25</v>
      </c>
      <c r="D8" s="25">
        <v>1</v>
      </c>
      <c r="E8" s="25">
        <v>2</v>
      </c>
      <c r="F8" s="25">
        <v>2</v>
      </c>
      <c r="G8" s="25">
        <v>30</v>
      </c>
      <c r="H8" s="25">
        <v>22.4</v>
      </c>
      <c r="I8" s="25">
        <v>0.76</v>
      </c>
      <c r="J8" s="25">
        <v>5.96</v>
      </c>
      <c r="K8" s="26">
        <v>1</v>
      </c>
      <c r="L8" s="25">
        <f t="shared" si="0"/>
        <v>1.2356244375506249</v>
      </c>
      <c r="M8" s="25">
        <f t="shared" si="6"/>
        <v>0.77480146606868383</v>
      </c>
      <c r="N8" s="25">
        <f t="shared" si="1"/>
        <v>0.77480146606868383</v>
      </c>
      <c r="O8" s="25">
        <f t="shared" si="2"/>
        <v>-0.25514845526125185</v>
      </c>
      <c r="P8" s="25">
        <f t="shared" si="3"/>
        <v>1</v>
      </c>
      <c r="Q8" s="25">
        <f>28.8539*LN((1-M8)/(M8))+487.123</f>
        <v>451.47041604135802</v>
      </c>
      <c r="R8" s="25">
        <f t="shared" si="4"/>
        <v>8</v>
      </c>
      <c r="S8" s="26">
        <f t="shared" si="5"/>
        <v>16</v>
      </c>
      <c r="U8" s="37" t="s">
        <v>90</v>
      </c>
      <c r="V8" s="38" t="s">
        <v>91</v>
      </c>
      <c r="W8" s="39" t="s">
        <v>50</v>
      </c>
      <c r="AV8" t="s">
        <v>20</v>
      </c>
      <c r="AW8" t="s">
        <v>4</v>
      </c>
      <c r="AX8" t="s">
        <v>32</v>
      </c>
    </row>
    <row r="9" spans="2:50" x14ac:dyDescent="0.3">
      <c r="B9" s="24">
        <v>10071</v>
      </c>
      <c r="C9" s="25">
        <v>35</v>
      </c>
      <c r="D9" s="25">
        <v>1</v>
      </c>
      <c r="E9" s="25">
        <v>2</v>
      </c>
      <c r="F9" s="25">
        <v>9</v>
      </c>
      <c r="G9" s="25">
        <v>38</v>
      </c>
      <c r="H9" s="25">
        <v>10.9</v>
      </c>
      <c r="I9" s="25">
        <v>1.46</v>
      </c>
      <c r="J9" s="25">
        <v>2.68</v>
      </c>
      <c r="K9" s="26">
        <v>1</v>
      </c>
      <c r="L9" s="25">
        <f t="shared" si="0"/>
        <v>-0.1031829555676903</v>
      </c>
      <c r="M9" s="25">
        <f t="shared" si="6"/>
        <v>0.47422712343991386</v>
      </c>
      <c r="N9" s="25">
        <f t="shared" si="1"/>
        <v>0.47422712343991386</v>
      </c>
      <c r="O9" s="25">
        <f t="shared" si="2"/>
        <v>-0.74606890867382658</v>
      </c>
      <c r="P9" s="25">
        <f t="shared" si="3"/>
        <v>1</v>
      </c>
      <c r="Q9" s="25">
        <f t="shared" ref="Q9:Q72" si="7">28.8539*LN((1-M9)/(M9))+487.123</f>
        <v>490.10023068165458</v>
      </c>
      <c r="R9" s="25">
        <f t="shared" si="4"/>
        <v>7</v>
      </c>
      <c r="S9" s="26">
        <f t="shared" si="5"/>
        <v>15</v>
      </c>
      <c r="U9" s="33">
        <v>0</v>
      </c>
      <c r="V9" s="34">
        <v>1.512030705421714E-3</v>
      </c>
      <c r="W9" s="26">
        <v>1</v>
      </c>
      <c r="Y9" t="s">
        <v>33</v>
      </c>
      <c r="Z9" t="s">
        <v>34</v>
      </c>
      <c r="AA9" t="s">
        <v>35</v>
      </c>
      <c r="AB9" t="s">
        <v>36</v>
      </c>
      <c r="AC9" t="s">
        <v>37</v>
      </c>
      <c r="AD9" t="s">
        <v>38</v>
      </c>
      <c r="AE9" t="s">
        <v>39</v>
      </c>
      <c r="AV9" t="s">
        <v>21</v>
      </c>
      <c r="AW9" t="s">
        <v>5</v>
      </c>
      <c r="AX9" t="s">
        <v>40</v>
      </c>
    </row>
    <row r="10" spans="2:50" x14ac:dyDescent="0.3">
      <c r="B10" s="24">
        <v>10096</v>
      </c>
      <c r="C10" s="25">
        <v>26</v>
      </c>
      <c r="D10" s="25">
        <v>3</v>
      </c>
      <c r="E10" s="25">
        <v>2</v>
      </c>
      <c r="F10" s="25">
        <v>4</v>
      </c>
      <c r="G10" s="25">
        <v>38</v>
      </c>
      <c r="H10" s="25">
        <v>11.9</v>
      </c>
      <c r="I10" s="25">
        <v>0.95</v>
      </c>
      <c r="J10" s="25">
        <v>3.57</v>
      </c>
      <c r="K10" s="26">
        <v>1</v>
      </c>
      <c r="L10" s="25">
        <f t="shared" si="0"/>
        <v>2.7659629151207343E-2</v>
      </c>
      <c r="M10" s="25">
        <f t="shared" si="6"/>
        <v>0.50691446646444538</v>
      </c>
      <c r="N10" s="25">
        <f t="shared" si="1"/>
        <v>0.50691446646444538</v>
      </c>
      <c r="O10" s="25">
        <f t="shared" si="2"/>
        <v>-0.67941299482160922</v>
      </c>
      <c r="P10" s="25">
        <f t="shared" si="3"/>
        <v>1</v>
      </c>
      <c r="Q10" s="25">
        <f t="shared" si="7"/>
        <v>486.324911826434</v>
      </c>
      <c r="R10" s="25">
        <f t="shared" si="4"/>
        <v>7</v>
      </c>
      <c r="S10" s="26">
        <f t="shared" si="5"/>
        <v>15</v>
      </c>
      <c r="U10" s="33">
        <v>1.512030705421714E-3</v>
      </c>
      <c r="V10" s="34">
        <v>3.2075014954979198E-3</v>
      </c>
      <c r="W10" s="26">
        <v>2</v>
      </c>
      <c r="Y10">
        <v>0</v>
      </c>
      <c r="Z10">
        <v>548</v>
      </c>
      <c r="AA10">
        <v>952</v>
      </c>
      <c r="AB10">
        <v>0</v>
      </c>
      <c r="AC10">
        <v>0</v>
      </c>
      <c r="AD10">
        <v>1</v>
      </c>
      <c r="AE10">
        <v>1</v>
      </c>
      <c r="AF10">
        <v>1</v>
      </c>
      <c r="AG10">
        <v>0</v>
      </c>
      <c r="AV10" t="s">
        <v>22</v>
      </c>
      <c r="AW10" t="s">
        <v>6</v>
      </c>
      <c r="AX10" t="s">
        <v>41</v>
      </c>
    </row>
    <row r="11" spans="2:50" x14ac:dyDescent="0.3">
      <c r="B11" s="24">
        <v>10128</v>
      </c>
      <c r="C11" s="25">
        <v>25</v>
      </c>
      <c r="D11" s="25">
        <v>1</v>
      </c>
      <c r="E11" s="25">
        <v>4</v>
      </c>
      <c r="F11" s="25">
        <v>2</v>
      </c>
      <c r="G11" s="25">
        <v>30</v>
      </c>
      <c r="H11" s="25">
        <v>14.4</v>
      </c>
      <c r="I11" s="25">
        <v>1.05</v>
      </c>
      <c r="J11" s="25">
        <v>3.27</v>
      </c>
      <c r="K11" s="26">
        <v>0</v>
      </c>
      <c r="L11" s="25">
        <f t="shared" si="0"/>
        <v>5.5892523867927368E-2</v>
      </c>
      <c r="M11" s="25">
        <f t="shared" si="6"/>
        <v>0.51396949446126472</v>
      </c>
      <c r="N11" s="25">
        <f t="shared" si="1"/>
        <v>0.48603050553873528</v>
      </c>
      <c r="O11" s="25">
        <f t="shared" si="2"/>
        <v>-0.72148388845328859</v>
      </c>
      <c r="P11" s="25">
        <f t="shared" si="3"/>
        <v>1</v>
      </c>
      <c r="Q11" s="25">
        <f t="shared" si="7"/>
        <v>485.51028270556719</v>
      </c>
      <c r="R11" s="25">
        <f t="shared" si="4"/>
        <v>7</v>
      </c>
      <c r="S11" s="26">
        <f t="shared" si="5"/>
        <v>15</v>
      </c>
      <c r="U11" s="33">
        <v>3.2075014954979198E-3</v>
      </c>
      <c r="V11" s="34">
        <v>9.6225044864937607E-3</v>
      </c>
      <c r="W11" s="26">
        <v>3</v>
      </c>
      <c r="Y11">
        <v>0.1</v>
      </c>
      <c r="Z11">
        <v>537</v>
      </c>
      <c r="AA11">
        <v>630</v>
      </c>
      <c r="AB11">
        <v>322</v>
      </c>
      <c r="AC11">
        <v>11</v>
      </c>
      <c r="AD11">
        <v>0.66176470588235292</v>
      </c>
      <c r="AE11">
        <v>0.97992700729927007</v>
      </c>
      <c r="AF11">
        <v>0.66176470588235292</v>
      </c>
      <c r="AG11">
        <v>0.31816230141691709</v>
      </c>
      <c r="AV11" t="s">
        <v>23</v>
      </c>
      <c r="AW11" t="s">
        <v>7</v>
      </c>
      <c r="AX11" t="s">
        <v>42</v>
      </c>
    </row>
    <row r="12" spans="2:50" x14ac:dyDescent="0.3">
      <c r="B12" s="24">
        <v>10129</v>
      </c>
      <c r="C12" s="25">
        <v>65</v>
      </c>
      <c r="D12" s="25">
        <v>4</v>
      </c>
      <c r="E12" s="25">
        <v>29</v>
      </c>
      <c r="F12" s="25">
        <v>14</v>
      </c>
      <c r="G12" s="25">
        <v>189</v>
      </c>
      <c r="H12" s="25">
        <v>5</v>
      </c>
      <c r="I12" s="25">
        <v>3.36</v>
      </c>
      <c r="J12" s="25">
        <v>6.09</v>
      </c>
      <c r="K12" s="26">
        <v>0</v>
      </c>
      <c r="L12" s="25">
        <f t="shared" si="0"/>
        <v>-6.7514752406465544</v>
      </c>
      <c r="M12" s="25">
        <f t="shared" si="6"/>
        <v>1.1677882412836377E-3</v>
      </c>
      <c r="N12" s="25">
        <f t="shared" si="1"/>
        <v>0.99883221175871639</v>
      </c>
      <c r="O12" s="25">
        <f t="shared" si="2"/>
        <v>-1.1684706372862648E-3</v>
      </c>
      <c r="P12" s="25">
        <f t="shared" si="3"/>
        <v>0</v>
      </c>
      <c r="Q12" s="25">
        <f t="shared" si="7"/>
        <v>681.92939144609159</v>
      </c>
      <c r="R12" s="25">
        <f t="shared" si="4"/>
        <v>1</v>
      </c>
      <c r="S12" s="26">
        <f t="shared" si="5"/>
        <v>1</v>
      </c>
      <c r="U12" s="33">
        <v>9.6225044864937607E-3</v>
      </c>
      <c r="V12" s="34">
        <v>2.886751345948128E-2</v>
      </c>
      <c r="W12" s="26">
        <v>4</v>
      </c>
      <c r="Y12">
        <v>0.2</v>
      </c>
      <c r="Z12">
        <v>507</v>
      </c>
      <c r="AA12">
        <v>468</v>
      </c>
      <c r="AB12">
        <v>484</v>
      </c>
      <c r="AC12">
        <v>41</v>
      </c>
      <c r="AD12">
        <v>0.49159663865546221</v>
      </c>
      <c r="AE12">
        <v>0.92518248175182483</v>
      </c>
      <c r="AF12">
        <v>0.49159663865546221</v>
      </c>
      <c r="AG12">
        <v>0.43358584309636272</v>
      </c>
      <c r="AV12" t="s">
        <v>24</v>
      </c>
      <c r="AW12" t="s">
        <v>8</v>
      </c>
      <c r="AX12" t="s">
        <v>43</v>
      </c>
    </row>
    <row r="13" spans="2:50" x14ac:dyDescent="0.3">
      <c r="B13" s="24">
        <v>10140</v>
      </c>
      <c r="C13" s="25">
        <v>21</v>
      </c>
      <c r="D13" s="25">
        <v>3</v>
      </c>
      <c r="E13" s="25">
        <v>0</v>
      </c>
      <c r="F13" s="25">
        <v>0</v>
      </c>
      <c r="G13" s="25">
        <v>23</v>
      </c>
      <c r="H13" s="25">
        <v>3.9</v>
      </c>
      <c r="I13" s="25">
        <v>0.31</v>
      </c>
      <c r="J13" s="25">
        <v>0.59</v>
      </c>
      <c r="K13" s="26">
        <v>0</v>
      </c>
      <c r="L13" s="25">
        <f t="shared" si="0"/>
        <v>-0.4599654499428863</v>
      </c>
      <c r="M13" s="25">
        <f t="shared" si="6"/>
        <v>0.38699402012656769</v>
      </c>
      <c r="N13" s="25">
        <f t="shared" si="1"/>
        <v>0.61300597987343231</v>
      </c>
      <c r="O13" s="25">
        <f t="shared" si="2"/>
        <v>-0.4893805879981844</v>
      </c>
      <c r="P13" s="25">
        <f t="shared" si="3"/>
        <v>0</v>
      </c>
      <c r="Q13" s="25">
        <f t="shared" si="7"/>
        <v>500.39479709610703</v>
      </c>
      <c r="R13" s="25">
        <f t="shared" si="4"/>
        <v>7</v>
      </c>
      <c r="S13" s="26">
        <f t="shared" si="5"/>
        <v>14</v>
      </c>
      <c r="U13" s="33">
        <v>2.886751345948128E-2</v>
      </c>
      <c r="V13" s="34">
        <v>8.6602540378443865E-2</v>
      </c>
      <c r="W13" s="26">
        <v>5</v>
      </c>
      <c r="Y13">
        <v>0.3</v>
      </c>
      <c r="Z13">
        <v>466</v>
      </c>
      <c r="AA13">
        <v>335</v>
      </c>
      <c r="AB13">
        <v>617</v>
      </c>
      <c r="AC13">
        <v>82</v>
      </c>
      <c r="AD13">
        <v>0.35189075630252098</v>
      </c>
      <c r="AE13">
        <v>0.85036496350364965</v>
      </c>
      <c r="AF13">
        <v>0.35189075630252098</v>
      </c>
      <c r="AG13">
        <v>0.49847420720112862</v>
      </c>
      <c r="AW13" t="s">
        <v>9</v>
      </c>
      <c r="AX13" t="s">
        <v>44</v>
      </c>
    </row>
    <row r="14" spans="2:50" x14ac:dyDescent="0.3">
      <c r="B14" s="24">
        <v>10142</v>
      </c>
      <c r="C14" s="25">
        <v>62</v>
      </c>
      <c r="D14" s="25">
        <v>1</v>
      </c>
      <c r="E14" s="25">
        <v>33</v>
      </c>
      <c r="F14" s="25">
        <v>13</v>
      </c>
      <c r="G14" s="25">
        <v>96</v>
      </c>
      <c r="H14" s="25">
        <v>17.5</v>
      </c>
      <c r="I14" s="25">
        <v>6.69</v>
      </c>
      <c r="J14" s="25">
        <v>10.11</v>
      </c>
      <c r="K14" s="26">
        <v>0</v>
      </c>
      <c r="L14" s="25">
        <f t="shared" si="0"/>
        <v>-4.495451642843169</v>
      </c>
      <c r="M14" s="25">
        <f t="shared" si="6"/>
        <v>1.1036476211814512E-2</v>
      </c>
      <c r="N14" s="25">
        <f t="shared" si="1"/>
        <v>0.98896352378818553</v>
      </c>
      <c r="O14" s="25">
        <f t="shared" si="2"/>
        <v>-1.1097829952435296E-2</v>
      </c>
      <c r="P14" s="25">
        <f t="shared" si="3"/>
        <v>0</v>
      </c>
      <c r="Q14" s="25">
        <f t="shared" si="7"/>
        <v>616.83431215743246</v>
      </c>
      <c r="R14" s="25">
        <f t="shared" si="4"/>
        <v>4</v>
      </c>
      <c r="S14" s="26">
        <f t="shared" si="5"/>
        <v>5</v>
      </c>
      <c r="U14" s="33">
        <v>8.6602540378443865E-2</v>
      </c>
      <c r="V14" s="34">
        <v>0.25980762113533162</v>
      </c>
      <c r="W14" s="26">
        <v>6</v>
      </c>
      <c r="Y14">
        <v>0.4</v>
      </c>
      <c r="Z14">
        <v>403</v>
      </c>
      <c r="AA14">
        <v>222</v>
      </c>
      <c r="AB14">
        <v>730</v>
      </c>
      <c r="AC14">
        <v>145</v>
      </c>
      <c r="AD14">
        <v>0.2331932773109244</v>
      </c>
      <c r="AE14">
        <v>0.73540145985401462</v>
      </c>
      <c r="AF14">
        <v>0.2331932773109244</v>
      </c>
      <c r="AG14">
        <v>0.50220818254309019</v>
      </c>
    </row>
    <row r="15" spans="2:50" x14ac:dyDescent="0.3">
      <c r="B15" s="24">
        <v>10169</v>
      </c>
      <c r="C15" s="25">
        <v>30</v>
      </c>
      <c r="D15" s="25">
        <v>4</v>
      </c>
      <c r="E15" s="25">
        <v>4</v>
      </c>
      <c r="F15" s="25">
        <v>3</v>
      </c>
      <c r="G15" s="25">
        <v>39</v>
      </c>
      <c r="H15" s="25">
        <v>10.6</v>
      </c>
      <c r="I15" s="25">
        <v>2.39</v>
      </c>
      <c r="J15" s="25">
        <v>1.74</v>
      </c>
      <c r="K15" s="26">
        <v>1</v>
      </c>
      <c r="L15" s="25">
        <f t="shared" si="0"/>
        <v>-2.519792486862088E-2</v>
      </c>
      <c r="M15" s="25">
        <f t="shared" si="6"/>
        <v>0.49370085207532766</v>
      </c>
      <c r="N15" s="25">
        <f t="shared" si="1"/>
        <v>0.49370085207532766</v>
      </c>
      <c r="O15" s="25">
        <f t="shared" si="2"/>
        <v>-0.70582550782185227</v>
      </c>
      <c r="P15" s="25">
        <f t="shared" si="3"/>
        <v>1</v>
      </c>
      <c r="Q15" s="25">
        <f t="shared" si="7"/>
        <v>487.85005840436668</v>
      </c>
      <c r="R15" s="25">
        <f t="shared" si="4"/>
        <v>7</v>
      </c>
      <c r="S15" s="26">
        <f t="shared" si="5"/>
        <v>15</v>
      </c>
      <c r="U15" s="33">
        <v>0.25980762113533162</v>
      </c>
      <c r="V15" s="34">
        <v>0.67082039324993692</v>
      </c>
      <c r="W15" s="26">
        <v>7</v>
      </c>
      <c r="Y15">
        <v>0.5</v>
      </c>
      <c r="Z15">
        <v>327</v>
      </c>
      <c r="AA15">
        <v>132</v>
      </c>
      <c r="AB15">
        <v>820</v>
      </c>
      <c r="AC15">
        <v>221</v>
      </c>
      <c r="AD15">
        <v>0.13865546218487401</v>
      </c>
      <c r="AE15">
        <v>0.59671532846715325</v>
      </c>
      <c r="AF15">
        <v>0.13865546218487401</v>
      </c>
      <c r="AG15">
        <v>0.45805986628227929</v>
      </c>
    </row>
    <row r="16" spans="2:50" ht="15" thickBot="1" x14ac:dyDescent="0.35">
      <c r="B16" s="24">
        <v>10197</v>
      </c>
      <c r="C16" s="25">
        <v>38</v>
      </c>
      <c r="D16" s="25">
        <v>5</v>
      </c>
      <c r="E16" s="25">
        <v>7</v>
      </c>
      <c r="F16" s="25">
        <v>7</v>
      </c>
      <c r="G16" s="25">
        <v>124</v>
      </c>
      <c r="H16" s="25">
        <v>19.100000000000001</v>
      </c>
      <c r="I16" s="25">
        <v>9.52</v>
      </c>
      <c r="J16" s="25">
        <v>14.16</v>
      </c>
      <c r="K16" s="26">
        <v>0</v>
      </c>
      <c r="L16" s="25">
        <f t="shared" si="0"/>
        <v>3.4951056395180573</v>
      </c>
      <c r="M16" s="25">
        <f t="shared" si="6"/>
        <v>0.97054818861753012</v>
      </c>
      <c r="N16" s="25">
        <f t="shared" si="1"/>
        <v>2.9451811382469884E-2</v>
      </c>
      <c r="O16" s="25">
        <f t="shared" si="2"/>
        <v>-3.5249998637312041</v>
      </c>
      <c r="P16" s="25">
        <f t="shared" si="3"/>
        <v>1</v>
      </c>
      <c r="Q16" s="25">
        <f t="shared" si="7"/>
        <v>386.27557138790996</v>
      </c>
      <c r="R16" s="25">
        <f t="shared" si="4"/>
        <v>8</v>
      </c>
      <c r="S16" s="26">
        <f t="shared" si="5"/>
        <v>17</v>
      </c>
      <c r="U16" s="35">
        <v>0.67082039324993692</v>
      </c>
      <c r="V16" s="36">
        <v>1</v>
      </c>
      <c r="W16" s="28">
        <v>8</v>
      </c>
      <c r="Y16">
        <v>0.6</v>
      </c>
      <c r="Z16">
        <v>257</v>
      </c>
      <c r="AA16">
        <v>70</v>
      </c>
      <c r="AB16">
        <v>882</v>
      </c>
      <c r="AC16">
        <v>291</v>
      </c>
      <c r="AD16">
        <v>7.3529411764705885E-2</v>
      </c>
      <c r="AE16">
        <v>0.46897810218978098</v>
      </c>
      <c r="AF16">
        <v>7.3529411764705885E-2</v>
      </c>
      <c r="AG16">
        <v>0.39544869042507508</v>
      </c>
    </row>
    <row r="17" spans="2:33" x14ac:dyDescent="0.3">
      <c r="B17" s="24">
        <v>10200</v>
      </c>
      <c r="C17" s="25">
        <v>18</v>
      </c>
      <c r="D17" s="25">
        <v>2</v>
      </c>
      <c r="E17" s="25">
        <v>0</v>
      </c>
      <c r="F17" s="25">
        <v>0</v>
      </c>
      <c r="G17" s="25">
        <v>35</v>
      </c>
      <c r="H17" s="25">
        <v>3.9</v>
      </c>
      <c r="I17" s="25">
        <v>0.17</v>
      </c>
      <c r="J17" s="25">
        <v>1.19</v>
      </c>
      <c r="K17" s="26">
        <v>0</v>
      </c>
      <c r="L17" s="25">
        <f t="shared" si="0"/>
        <v>-0.39033274106624272</v>
      </c>
      <c r="M17" s="25">
        <f t="shared" si="6"/>
        <v>0.40363720263237562</v>
      </c>
      <c r="N17" s="25">
        <f t="shared" si="1"/>
        <v>0.59636279736762443</v>
      </c>
      <c r="O17" s="25">
        <f t="shared" si="2"/>
        <v>-0.51690607669643129</v>
      </c>
      <c r="P17" s="25">
        <f t="shared" si="3"/>
        <v>1</v>
      </c>
      <c r="Q17" s="25">
        <f t="shared" si="7"/>
        <v>498.38562187745123</v>
      </c>
      <c r="R17" s="25">
        <f t="shared" si="4"/>
        <v>7</v>
      </c>
      <c r="S17" s="26">
        <f t="shared" si="5"/>
        <v>14</v>
      </c>
      <c r="Y17">
        <v>0.7</v>
      </c>
      <c r="Z17">
        <v>198</v>
      </c>
      <c r="AA17">
        <v>31</v>
      </c>
      <c r="AB17">
        <v>921</v>
      </c>
      <c r="AC17">
        <v>350</v>
      </c>
      <c r="AD17">
        <v>3.2563025210084043E-2</v>
      </c>
      <c r="AE17">
        <v>0.36131386861313869</v>
      </c>
      <c r="AF17">
        <v>3.2563025210084043E-2</v>
      </c>
      <c r="AG17">
        <v>0.32875084340305472</v>
      </c>
    </row>
    <row r="18" spans="2:33" ht="15" thickBot="1" x14ac:dyDescent="0.35">
      <c r="B18" s="24">
        <v>10218</v>
      </c>
      <c r="C18" s="25">
        <v>53</v>
      </c>
      <c r="D18" s="25">
        <v>1</v>
      </c>
      <c r="E18" s="25">
        <v>9</v>
      </c>
      <c r="F18" s="25">
        <v>13</v>
      </c>
      <c r="G18" s="25">
        <v>41</v>
      </c>
      <c r="H18" s="25">
        <v>13.3</v>
      </c>
      <c r="I18" s="25">
        <v>2.33</v>
      </c>
      <c r="J18" s="25">
        <v>3.12</v>
      </c>
      <c r="K18" s="26">
        <v>0</v>
      </c>
      <c r="L18" s="25">
        <f t="shared" si="0"/>
        <v>-1.5430145344353767</v>
      </c>
      <c r="M18" s="25">
        <f t="shared" si="6"/>
        <v>0.17609747741112949</v>
      </c>
      <c r="N18" s="25">
        <f t="shared" si="1"/>
        <v>0.82390252258887053</v>
      </c>
      <c r="O18" s="25">
        <f t="shared" si="2"/>
        <v>-0.19370305389944603</v>
      </c>
      <c r="P18" s="25">
        <f t="shared" si="3"/>
        <v>0</v>
      </c>
      <c r="Q18" s="25">
        <f t="shared" si="7"/>
        <v>531.64498707514485</v>
      </c>
      <c r="R18" s="25">
        <f t="shared" si="4"/>
        <v>6</v>
      </c>
      <c r="S18" s="26">
        <f t="shared" si="5"/>
        <v>12</v>
      </c>
      <c r="Y18">
        <v>0.8</v>
      </c>
      <c r="Z18">
        <v>137</v>
      </c>
      <c r="AA18">
        <v>9</v>
      </c>
      <c r="AB18">
        <v>943</v>
      </c>
      <c r="AC18">
        <v>411</v>
      </c>
      <c r="AD18">
        <v>9.4537815126050414E-3</v>
      </c>
      <c r="AE18">
        <v>0.25</v>
      </c>
      <c r="AF18">
        <v>9.4537815126050414E-3</v>
      </c>
      <c r="AG18">
        <v>0.24054621848739499</v>
      </c>
    </row>
    <row r="19" spans="2:33" ht="15" thickBot="1" x14ac:dyDescent="0.35">
      <c r="B19" s="24">
        <v>10234</v>
      </c>
      <c r="C19" s="25">
        <v>18</v>
      </c>
      <c r="D19" s="25">
        <v>2</v>
      </c>
      <c r="E19" s="25">
        <v>0</v>
      </c>
      <c r="F19" s="25">
        <v>0</v>
      </c>
      <c r="G19" s="25">
        <v>15</v>
      </c>
      <c r="H19" s="25">
        <v>7.4</v>
      </c>
      <c r="I19" s="25">
        <v>0.83</v>
      </c>
      <c r="J19" s="25">
        <v>0.28000000000000003</v>
      </c>
      <c r="K19" s="26">
        <v>1</v>
      </c>
      <c r="L19" s="25">
        <f t="shared" si="0"/>
        <v>0.24371429914896986</v>
      </c>
      <c r="M19" s="25">
        <f t="shared" si="6"/>
        <v>0.56062877588200222</v>
      </c>
      <c r="N19" s="25">
        <f t="shared" si="1"/>
        <v>0.56062877588200222</v>
      </c>
      <c r="O19" s="25">
        <f t="shared" si="2"/>
        <v>-0.57869631106221053</v>
      </c>
      <c r="P19" s="25">
        <f t="shared" si="3"/>
        <v>1</v>
      </c>
      <c r="Q19" s="25">
        <f t="shared" si="7"/>
        <v>480.09089198378553</v>
      </c>
      <c r="R19" s="25">
        <f t="shared" si="4"/>
        <v>7</v>
      </c>
      <c r="S19" s="26">
        <f t="shared" si="5"/>
        <v>15</v>
      </c>
      <c r="U19" s="40" t="s">
        <v>93</v>
      </c>
      <c r="Y19">
        <v>0.9</v>
      </c>
      <c r="Z19">
        <v>68</v>
      </c>
      <c r="AA19">
        <v>4</v>
      </c>
      <c r="AB19">
        <v>948</v>
      </c>
      <c r="AC19">
        <v>480</v>
      </c>
      <c r="AD19">
        <v>4.2016806722689074E-3</v>
      </c>
      <c r="AE19">
        <v>0.1240875912408759</v>
      </c>
      <c r="AF19">
        <v>4.2016806722689074E-3</v>
      </c>
      <c r="AG19">
        <v>0.11988591056860699</v>
      </c>
    </row>
    <row r="20" spans="2:33" ht="15" thickBot="1" x14ac:dyDescent="0.35">
      <c r="B20" s="24">
        <v>10351</v>
      </c>
      <c r="C20" s="25">
        <v>18</v>
      </c>
      <c r="D20" s="25">
        <v>2</v>
      </c>
      <c r="E20" s="25">
        <v>0</v>
      </c>
      <c r="F20" s="25">
        <v>0</v>
      </c>
      <c r="G20" s="25">
        <v>56</v>
      </c>
      <c r="H20" s="25">
        <v>15.7</v>
      </c>
      <c r="I20" s="25">
        <v>1.84</v>
      </c>
      <c r="J20" s="25">
        <v>6.95</v>
      </c>
      <c r="K20" s="26">
        <v>1</v>
      </c>
      <c r="L20" s="25">
        <f t="shared" si="0"/>
        <v>1.7258248364769571</v>
      </c>
      <c r="M20" s="25">
        <f t="shared" si="6"/>
        <v>0.8488775916174135</v>
      </c>
      <c r="N20" s="25">
        <f t="shared" si="1"/>
        <v>0.8488775916174135</v>
      </c>
      <c r="O20" s="25">
        <f t="shared" si="2"/>
        <v>-0.16384028255044059</v>
      </c>
      <c r="P20" s="25">
        <f t="shared" si="3"/>
        <v>1</v>
      </c>
      <c r="Q20" s="25">
        <f t="shared" si="7"/>
        <v>437.3262227507775</v>
      </c>
      <c r="R20" s="25">
        <f t="shared" si="4"/>
        <v>8</v>
      </c>
      <c r="S20" s="26">
        <f t="shared" si="5"/>
        <v>16</v>
      </c>
      <c r="U20" s="37" t="s">
        <v>48</v>
      </c>
      <c r="V20" s="38" t="s">
        <v>49</v>
      </c>
      <c r="W20" s="39" t="s">
        <v>50</v>
      </c>
      <c r="Y20">
        <v>1</v>
      </c>
      <c r="Z20">
        <v>0</v>
      </c>
      <c r="AA20">
        <v>0</v>
      </c>
      <c r="AB20">
        <v>952</v>
      </c>
      <c r="AC20">
        <v>548</v>
      </c>
      <c r="AD20">
        <v>0</v>
      </c>
      <c r="AE20">
        <v>0</v>
      </c>
      <c r="AF20">
        <v>0</v>
      </c>
      <c r="AG20">
        <v>0</v>
      </c>
    </row>
    <row r="21" spans="2:33" x14ac:dyDescent="0.3">
      <c r="B21" s="24">
        <v>10423</v>
      </c>
      <c r="C21" s="25">
        <v>19</v>
      </c>
      <c r="D21" s="25">
        <v>1</v>
      </c>
      <c r="E21" s="25">
        <v>2</v>
      </c>
      <c r="F21" s="25">
        <v>0</v>
      </c>
      <c r="G21" s="25">
        <v>31</v>
      </c>
      <c r="H21" s="25">
        <v>0.3</v>
      </c>
      <c r="I21" s="25">
        <v>0.02</v>
      </c>
      <c r="J21" s="25">
        <v>7.0000000000000007E-2</v>
      </c>
      <c r="K21" s="26">
        <v>1</v>
      </c>
      <c r="L21" s="25">
        <f t="shared" si="0"/>
        <v>-1.2697473679406508</v>
      </c>
      <c r="M21" s="25">
        <f t="shared" si="6"/>
        <v>0.21930050159762693</v>
      </c>
      <c r="N21" s="25">
        <f t="shared" si="1"/>
        <v>0.21930050159762693</v>
      </c>
      <c r="O21" s="25">
        <f t="shared" si="2"/>
        <v>-1.5173123362940297</v>
      </c>
      <c r="P21" s="25">
        <f t="shared" si="3"/>
        <v>0</v>
      </c>
      <c r="Q21" s="25">
        <f t="shared" si="7"/>
        <v>523.76016357982269</v>
      </c>
      <c r="R21" s="25">
        <f t="shared" si="4"/>
        <v>6</v>
      </c>
      <c r="S21" s="26">
        <f t="shared" si="5"/>
        <v>13</v>
      </c>
      <c r="U21" s="33">
        <v>0</v>
      </c>
      <c r="V21" s="34">
        <v>2.3893818554812278E-3</v>
      </c>
      <c r="W21" s="26">
        <v>1</v>
      </c>
    </row>
    <row r="22" spans="2:33" x14ac:dyDescent="0.3">
      <c r="B22" s="24">
        <v>10428</v>
      </c>
      <c r="C22" s="25">
        <v>19</v>
      </c>
      <c r="D22" s="25">
        <v>2</v>
      </c>
      <c r="E22" s="25">
        <v>0</v>
      </c>
      <c r="F22" s="25">
        <v>0</v>
      </c>
      <c r="G22" s="25">
        <v>26</v>
      </c>
      <c r="H22" s="25">
        <v>5.8</v>
      </c>
      <c r="I22" s="25">
        <v>0.59</v>
      </c>
      <c r="J22" s="25">
        <v>0.92</v>
      </c>
      <c r="K22" s="26">
        <v>1</v>
      </c>
      <c r="L22" s="25">
        <f t="shared" si="0"/>
        <v>-3.2456718213059177E-2</v>
      </c>
      <c r="M22" s="25">
        <f t="shared" si="6"/>
        <v>0.49188653268750521</v>
      </c>
      <c r="N22" s="25">
        <f t="shared" si="1"/>
        <v>0.49188653268750521</v>
      </c>
      <c r="O22" s="25">
        <f t="shared" si="2"/>
        <v>-0.70950721370666769</v>
      </c>
      <c r="P22" s="25">
        <f t="shared" si="3"/>
        <v>1</v>
      </c>
      <c r="Q22" s="25">
        <f t="shared" si="7"/>
        <v>488.05950290164776</v>
      </c>
      <c r="R22" s="25">
        <f t="shared" si="4"/>
        <v>7</v>
      </c>
      <c r="S22" s="26">
        <f t="shared" si="5"/>
        <v>15</v>
      </c>
      <c r="U22" s="33">
        <v>2.3893818554812278E-3</v>
      </c>
      <c r="V22" s="34">
        <v>3.5840727832218422E-3</v>
      </c>
      <c r="W22" s="26">
        <v>2</v>
      </c>
    </row>
    <row r="23" spans="2:33" x14ac:dyDescent="0.3">
      <c r="B23" s="24">
        <v>10449</v>
      </c>
      <c r="C23" s="25">
        <v>56</v>
      </c>
      <c r="D23" s="25">
        <v>2</v>
      </c>
      <c r="E23" s="25">
        <v>27</v>
      </c>
      <c r="F23" s="25">
        <v>21</v>
      </c>
      <c r="G23" s="25">
        <v>125</v>
      </c>
      <c r="H23" s="25">
        <v>8.5</v>
      </c>
      <c r="I23" s="25">
        <v>2.9</v>
      </c>
      <c r="J23" s="25">
        <v>7.72</v>
      </c>
      <c r="K23" s="26">
        <v>0</v>
      </c>
      <c r="L23" s="25">
        <f t="shared" si="0"/>
        <v>-6.0681841639051637</v>
      </c>
      <c r="M23" s="25">
        <f t="shared" si="6"/>
        <v>2.3100251633268441E-3</v>
      </c>
      <c r="N23" s="25">
        <f t="shared" si="1"/>
        <v>0.99768997483667321</v>
      </c>
      <c r="O23" s="25">
        <f t="shared" si="2"/>
        <v>-2.3126973875176489E-3</v>
      </c>
      <c r="P23" s="25">
        <f t="shared" si="3"/>
        <v>0</v>
      </c>
      <c r="Q23" s="25">
        <f t="shared" si="7"/>
        <v>662.21377904690326</v>
      </c>
      <c r="R23" s="25">
        <f t="shared" si="4"/>
        <v>2</v>
      </c>
      <c r="S23" s="26">
        <f t="shared" si="5"/>
        <v>1</v>
      </c>
      <c r="U23" s="33">
        <v>3.5840727832218422E-3</v>
      </c>
      <c r="V23" s="34">
        <v>5.3761091748327633E-3</v>
      </c>
      <c r="W23" s="26">
        <v>3</v>
      </c>
      <c r="Z23" t="s">
        <v>45</v>
      </c>
      <c r="AA23" t="s">
        <v>46</v>
      </c>
    </row>
    <row r="24" spans="2:33" x14ac:dyDescent="0.3">
      <c r="B24" s="24">
        <v>10455</v>
      </c>
      <c r="C24" s="25">
        <v>21</v>
      </c>
      <c r="D24" s="25">
        <v>2</v>
      </c>
      <c r="E24" s="25">
        <v>1</v>
      </c>
      <c r="F24" s="25">
        <v>1</v>
      </c>
      <c r="G24" s="25">
        <v>40</v>
      </c>
      <c r="H24" s="25">
        <v>7.6</v>
      </c>
      <c r="I24" s="25">
        <v>1.52</v>
      </c>
      <c r="J24" s="25">
        <v>1.52</v>
      </c>
      <c r="K24" s="26">
        <v>1</v>
      </c>
      <c r="L24" s="25">
        <f t="shared" si="0"/>
        <v>0.30359395597458466</v>
      </c>
      <c r="M24" s="25">
        <f t="shared" si="6"/>
        <v>0.57532085328318905</v>
      </c>
      <c r="N24" s="25">
        <f t="shared" si="1"/>
        <v>0.57532085328318905</v>
      </c>
      <c r="O24" s="25">
        <f t="shared" si="2"/>
        <v>-0.55282738810218746</v>
      </c>
      <c r="P24" s="25">
        <f t="shared" si="3"/>
        <v>1</v>
      </c>
      <c r="Q24" s="25">
        <f t="shared" si="7"/>
        <v>478.36313035370495</v>
      </c>
      <c r="R24" s="25">
        <f t="shared" si="4"/>
        <v>7</v>
      </c>
      <c r="S24" s="26">
        <f t="shared" si="5"/>
        <v>15</v>
      </c>
      <c r="U24" s="33">
        <v>5.3761091748327633E-3</v>
      </c>
      <c r="V24" s="34">
        <v>8.0641637622491449E-3</v>
      </c>
      <c r="W24" s="26">
        <v>4</v>
      </c>
      <c r="Y24" t="s">
        <v>45</v>
      </c>
      <c r="Z24">
        <v>403</v>
      </c>
      <c r="AA24">
        <v>145</v>
      </c>
    </row>
    <row r="25" spans="2:33" x14ac:dyDescent="0.3">
      <c r="B25" s="24">
        <v>10474</v>
      </c>
      <c r="C25" s="25">
        <v>25</v>
      </c>
      <c r="D25" s="25">
        <v>1</v>
      </c>
      <c r="E25" s="25">
        <v>8</v>
      </c>
      <c r="F25" s="25">
        <v>3</v>
      </c>
      <c r="G25" s="25">
        <v>37</v>
      </c>
      <c r="H25" s="25">
        <v>8.3000000000000007</v>
      </c>
      <c r="I25" s="25">
        <v>0.95</v>
      </c>
      <c r="J25" s="25">
        <v>2.12</v>
      </c>
      <c r="K25" s="26">
        <v>0</v>
      </c>
      <c r="L25" s="25">
        <f t="shared" si="0"/>
        <v>-1.5641051303930684</v>
      </c>
      <c r="M25" s="25">
        <f t="shared" si="6"/>
        <v>0.17305837648185299</v>
      </c>
      <c r="N25" s="25">
        <f t="shared" si="1"/>
        <v>0.82694162351814704</v>
      </c>
      <c r="O25" s="25">
        <f t="shared" si="2"/>
        <v>-0.19002117469882873</v>
      </c>
      <c r="P25" s="25">
        <f t="shared" si="3"/>
        <v>0</v>
      </c>
      <c r="Q25" s="25">
        <f t="shared" si="7"/>
        <v>532.25353302184851</v>
      </c>
      <c r="R25" s="25">
        <f t="shared" si="4"/>
        <v>6</v>
      </c>
      <c r="S25" s="26">
        <f t="shared" si="5"/>
        <v>12</v>
      </c>
      <c r="U25" s="33">
        <v>8.0641637622491449E-3</v>
      </c>
      <c r="V25" s="34">
        <v>1.2096245643373719E-2</v>
      </c>
      <c r="W25" s="26">
        <v>5</v>
      </c>
      <c r="Y25" t="s">
        <v>46</v>
      </c>
      <c r="Z25">
        <v>222</v>
      </c>
      <c r="AA25">
        <v>730</v>
      </c>
    </row>
    <row r="26" spans="2:33" x14ac:dyDescent="0.3">
      <c r="B26" s="24">
        <v>10525</v>
      </c>
      <c r="C26" s="25">
        <v>47</v>
      </c>
      <c r="D26" s="25">
        <v>3</v>
      </c>
      <c r="E26" s="25">
        <v>8</v>
      </c>
      <c r="F26" s="25">
        <v>10</v>
      </c>
      <c r="G26" s="25">
        <v>43</v>
      </c>
      <c r="H26" s="25">
        <v>6.1</v>
      </c>
      <c r="I26" s="25">
        <v>0.36</v>
      </c>
      <c r="J26" s="25">
        <v>2.2599999999999998</v>
      </c>
      <c r="K26" s="26">
        <v>0</v>
      </c>
      <c r="L26" s="25">
        <f t="shared" si="0"/>
        <v>-2.8680044396625615</v>
      </c>
      <c r="M26" s="25">
        <f t="shared" si="6"/>
        <v>5.3758072104837233E-2</v>
      </c>
      <c r="N26" s="25">
        <f t="shared" si="1"/>
        <v>0.94624192789516282</v>
      </c>
      <c r="O26" s="25">
        <f t="shared" si="2"/>
        <v>-5.5257004892848328E-2</v>
      </c>
      <c r="P26" s="25">
        <f t="shared" si="3"/>
        <v>0</v>
      </c>
      <c r="Q26" s="25">
        <f t="shared" si="7"/>
        <v>569.87611330157961</v>
      </c>
      <c r="R26" s="25">
        <f t="shared" si="4"/>
        <v>5</v>
      </c>
      <c r="S26" s="26">
        <f t="shared" si="5"/>
        <v>9</v>
      </c>
      <c r="U26" s="33">
        <v>1.2096245643373719E-2</v>
      </c>
      <c r="V26" s="34">
        <v>1.8144368465060571E-2</v>
      </c>
      <c r="W26" s="26">
        <v>6</v>
      </c>
    </row>
    <row r="27" spans="2:33" x14ac:dyDescent="0.3">
      <c r="B27" s="24">
        <v>10564</v>
      </c>
      <c r="C27" s="25">
        <v>40</v>
      </c>
      <c r="D27" s="25">
        <v>4</v>
      </c>
      <c r="E27" s="25">
        <v>17</v>
      </c>
      <c r="F27" s="25">
        <v>11</v>
      </c>
      <c r="G27" s="25">
        <v>103</v>
      </c>
      <c r="H27" s="25">
        <v>13.3</v>
      </c>
      <c r="I27" s="25">
        <v>10.41</v>
      </c>
      <c r="J27" s="25">
        <v>3.29</v>
      </c>
      <c r="K27" s="26">
        <v>1</v>
      </c>
      <c r="L27" s="25">
        <f t="shared" si="0"/>
        <v>0.67843433921749452</v>
      </c>
      <c r="M27" s="25">
        <f t="shared" si="6"/>
        <v>0.66338916860600883</v>
      </c>
      <c r="N27" s="25">
        <f t="shared" si="1"/>
        <v>0.66338916860600883</v>
      </c>
      <c r="O27" s="25">
        <f t="shared" si="2"/>
        <v>-0.41039347969621959</v>
      </c>
      <c r="P27" s="25">
        <f t="shared" si="3"/>
        <v>1</v>
      </c>
      <c r="Q27" s="25">
        <f t="shared" si="7"/>
        <v>467.54752341965235</v>
      </c>
      <c r="R27" s="25">
        <f t="shared" si="4"/>
        <v>7</v>
      </c>
      <c r="S27" s="26">
        <f t="shared" si="5"/>
        <v>15</v>
      </c>
      <c r="U27" s="33">
        <v>1.8144368465060571E-2</v>
      </c>
      <c r="V27" s="34">
        <v>2.7216552697590862E-2</v>
      </c>
      <c r="W27" s="26">
        <v>7</v>
      </c>
      <c r="Z27">
        <v>0.7553333333333333</v>
      </c>
    </row>
    <row r="28" spans="2:33" x14ac:dyDescent="0.3">
      <c r="B28" s="24">
        <v>10567</v>
      </c>
      <c r="C28" s="25">
        <v>41</v>
      </c>
      <c r="D28" s="25">
        <v>2</v>
      </c>
      <c r="E28" s="25">
        <v>16</v>
      </c>
      <c r="F28" s="25">
        <v>11</v>
      </c>
      <c r="G28" s="25">
        <v>56</v>
      </c>
      <c r="H28" s="25">
        <v>3.4</v>
      </c>
      <c r="I28" s="25">
        <v>0.9</v>
      </c>
      <c r="J28" s="25">
        <v>1.01</v>
      </c>
      <c r="K28" s="26">
        <v>0</v>
      </c>
      <c r="L28" s="25">
        <f t="shared" si="0"/>
        <v>-4.5692388301687226</v>
      </c>
      <c r="M28" s="25">
        <f t="shared" si="6"/>
        <v>1.0259498494901273E-2</v>
      </c>
      <c r="N28" s="25">
        <f t="shared" si="1"/>
        <v>0.98974050150509874</v>
      </c>
      <c r="O28" s="25">
        <f t="shared" si="2"/>
        <v>-1.031248990469163E-2</v>
      </c>
      <c r="P28" s="25">
        <f t="shared" si="3"/>
        <v>0</v>
      </c>
      <c r="Q28" s="25">
        <f t="shared" si="7"/>
        <v>618.96336028180531</v>
      </c>
      <c r="R28" s="25">
        <f t="shared" si="4"/>
        <v>4</v>
      </c>
      <c r="S28" s="26">
        <f t="shared" si="5"/>
        <v>5</v>
      </c>
      <c r="U28" s="33">
        <v>2.7216552697590862E-2</v>
      </c>
      <c r="V28" s="34">
        <v>4.0824829046386298E-2</v>
      </c>
      <c r="W28" s="26">
        <v>8</v>
      </c>
    </row>
    <row r="29" spans="2:33" x14ac:dyDescent="0.3">
      <c r="B29" s="24">
        <v>10746</v>
      </c>
      <c r="C29" s="25">
        <v>23</v>
      </c>
      <c r="D29" s="25">
        <v>4</v>
      </c>
      <c r="E29" s="25">
        <v>0</v>
      </c>
      <c r="F29" s="25">
        <v>2</v>
      </c>
      <c r="G29" s="25">
        <v>118</v>
      </c>
      <c r="H29" s="25">
        <v>6.4</v>
      </c>
      <c r="I29" s="25">
        <v>0.28999999999999998</v>
      </c>
      <c r="J29" s="25">
        <v>7.26</v>
      </c>
      <c r="K29" s="26">
        <v>0</v>
      </c>
      <c r="L29" s="25">
        <f t="shared" si="0"/>
        <v>-0.1934639326829336</v>
      </c>
      <c r="M29" s="25">
        <f t="shared" si="6"/>
        <v>0.45178430901975253</v>
      </c>
      <c r="N29" s="25">
        <f t="shared" si="1"/>
        <v>0.54821569098024747</v>
      </c>
      <c r="O29" s="25">
        <f t="shared" si="2"/>
        <v>-0.60108647279369165</v>
      </c>
      <c r="P29" s="25">
        <f t="shared" si="3"/>
        <v>1</v>
      </c>
      <c r="Q29" s="25">
        <f t="shared" si="7"/>
        <v>492.70518896724008</v>
      </c>
      <c r="R29" s="25">
        <f t="shared" si="4"/>
        <v>7</v>
      </c>
      <c r="S29" s="26">
        <f t="shared" si="5"/>
        <v>14</v>
      </c>
      <c r="U29" s="33">
        <v>4.0824829046386298E-2</v>
      </c>
      <c r="V29" s="34">
        <v>6.123724356957945E-2</v>
      </c>
      <c r="W29" s="26">
        <v>9</v>
      </c>
    </row>
    <row r="30" spans="2:33" x14ac:dyDescent="0.3">
      <c r="B30" s="24">
        <v>10775</v>
      </c>
      <c r="C30" s="25">
        <v>45</v>
      </c>
      <c r="D30" s="25">
        <v>5</v>
      </c>
      <c r="E30" s="25">
        <v>1</v>
      </c>
      <c r="F30" s="25">
        <v>4</v>
      </c>
      <c r="G30" s="25">
        <v>58</v>
      </c>
      <c r="H30" s="25">
        <v>15.4</v>
      </c>
      <c r="I30" s="25">
        <v>2.37</v>
      </c>
      <c r="J30" s="25">
        <v>6.57</v>
      </c>
      <c r="K30" s="26">
        <v>1</v>
      </c>
      <c r="L30" s="25">
        <f t="shared" si="0"/>
        <v>0.83790467974357896</v>
      </c>
      <c r="M30" s="25">
        <f t="shared" si="6"/>
        <v>0.69802373391074213</v>
      </c>
      <c r="N30" s="25">
        <f t="shared" si="1"/>
        <v>0.69802373391074213</v>
      </c>
      <c r="O30" s="25">
        <f t="shared" si="2"/>
        <v>-0.35950217406039164</v>
      </c>
      <c r="P30" s="25">
        <f t="shared" si="3"/>
        <v>1</v>
      </c>
      <c r="Q30" s="25">
        <f t="shared" si="7"/>
        <v>462.94618216114674</v>
      </c>
      <c r="R30" s="25">
        <f t="shared" si="4"/>
        <v>8</v>
      </c>
      <c r="S30" s="26">
        <f t="shared" si="5"/>
        <v>16</v>
      </c>
      <c r="U30" s="33">
        <v>6.123724356957945E-2</v>
      </c>
      <c r="V30" s="34">
        <v>9.1855865354369182E-2</v>
      </c>
      <c r="W30" s="26">
        <v>10</v>
      </c>
    </row>
    <row r="31" spans="2:33" x14ac:dyDescent="0.3">
      <c r="B31" s="24">
        <v>10776</v>
      </c>
      <c r="C31" s="25">
        <v>37</v>
      </c>
      <c r="D31" s="25">
        <v>3</v>
      </c>
      <c r="E31" s="25">
        <v>15</v>
      </c>
      <c r="F31" s="25">
        <v>10</v>
      </c>
      <c r="G31" s="25">
        <v>65</v>
      </c>
      <c r="H31" s="25">
        <v>5</v>
      </c>
      <c r="I31" s="25">
        <v>1.3</v>
      </c>
      <c r="J31" s="25">
        <v>1.95</v>
      </c>
      <c r="K31" s="26">
        <v>0</v>
      </c>
      <c r="L31" s="25">
        <f t="shared" si="0"/>
        <v>-3.9029279543740878</v>
      </c>
      <c r="M31" s="25">
        <f t="shared" si="6"/>
        <v>1.9783446755282787E-2</v>
      </c>
      <c r="N31" s="25">
        <f t="shared" si="1"/>
        <v>0.98021655324471724</v>
      </c>
      <c r="O31" s="25">
        <f t="shared" si="2"/>
        <v>-1.9981759029699148E-2</v>
      </c>
      <c r="P31" s="25">
        <f t="shared" si="3"/>
        <v>0</v>
      </c>
      <c r="Q31" s="25">
        <f t="shared" si="7"/>
        <v>599.73769290271446</v>
      </c>
      <c r="R31" s="25">
        <f t="shared" si="4"/>
        <v>4</v>
      </c>
      <c r="S31" s="26">
        <f t="shared" si="5"/>
        <v>7</v>
      </c>
      <c r="U31" s="33">
        <v>9.1855865354369182E-2</v>
      </c>
      <c r="V31" s="34">
        <v>0.1377837980315538</v>
      </c>
      <c r="W31" s="26">
        <v>11</v>
      </c>
    </row>
    <row r="32" spans="2:33" x14ac:dyDescent="0.3">
      <c r="B32" s="24">
        <v>10797</v>
      </c>
      <c r="C32" s="25">
        <v>47</v>
      </c>
      <c r="D32" s="25">
        <v>2</v>
      </c>
      <c r="E32" s="25">
        <v>23</v>
      </c>
      <c r="F32" s="25">
        <v>14</v>
      </c>
      <c r="G32" s="25">
        <v>46</v>
      </c>
      <c r="H32" s="25">
        <v>11.7</v>
      </c>
      <c r="I32" s="25">
        <v>0.84</v>
      </c>
      <c r="J32" s="25">
        <v>4.54</v>
      </c>
      <c r="K32" s="26">
        <v>0</v>
      </c>
      <c r="L32" s="25">
        <f t="shared" si="0"/>
        <v>-5.4952657953258104</v>
      </c>
      <c r="M32" s="25">
        <f t="shared" si="6"/>
        <v>4.0893732799355282E-3</v>
      </c>
      <c r="N32" s="25">
        <f t="shared" si="1"/>
        <v>0.99591062672006447</v>
      </c>
      <c r="O32" s="25">
        <f t="shared" si="2"/>
        <v>-4.097757632484926E-3</v>
      </c>
      <c r="P32" s="25">
        <f t="shared" si="3"/>
        <v>0</v>
      </c>
      <c r="Q32" s="25">
        <f t="shared" si="7"/>
        <v>645.68284973175139</v>
      </c>
      <c r="R32" s="25">
        <f t="shared" si="4"/>
        <v>3</v>
      </c>
      <c r="S32" s="26">
        <f t="shared" si="5"/>
        <v>3</v>
      </c>
      <c r="U32" s="33">
        <v>0.1377837980315538</v>
      </c>
      <c r="V32" s="34">
        <v>0.2066756970473306</v>
      </c>
      <c r="W32" s="26">
        <v>12</v>
      </c>
    </row>
    <row r="33" spans="2:33" x14ac:dyDescent="0.3">
      <c r="B33" s="24">
        <v>10798</v>
      </c>
      <c r="C33" s="25">
        <v>23</v>
      </c>
      <c r="D33" s="25">
        <v>4</v>
      </c>
      <c r="E33" s="25">
        <v>0</v>
      </c>
      <c r="F33" s="25">
        <v>2</v>
      </c>
      <c r="G33" s="25">
        <v>42</v>
      </c>
      <c r="H33" s="25">
        <v>6.7</v>
      </c>
      <c r="I33" s="25">
        <v>1.58</v>
      </c>
      <c r="J33" s="25">
        <v>1.23</v>
      </c>
      <c r="K33" s="26">
        <v>0</v>
      </c>
      <c r="L33" s="25">
        <f t="shared" si="0"/>
        <v>0.27913173484857084</v>
      </c>
      <c r="M33" s="25">
        <f t="shared" si="6"/>
        <v>0.56933334432842053</v>
      </c>
      <c r="N33" s="25">
        <f t="shared" si="1"/>
        <v>0.43066665567157947</v>
      </c>
      <c r="O33" s="25">
        <f t="shared" si="2"/>
        <v>-0.84242090883808818</v>
      </c>
      <c r="P33" s="25">
        <f t="shared" si="3"/>
        <v>1</v>
      </c>
      <c r="Q33" s="25">
        <f t="shared" si="7"/>
        <v>479.06896083585281</v>
      </c>
      <c r="R33" s="25">
        <f t="shared" si="4"/>
        <v>7</v>
      </c>
      <c r="S33" s="26">
        <f t="shared" si="5"/>
        <v>15</v>
      </c>
      <c r="U33" s="33">
        <v>0.2066756970473306</v>
      </c>
      <c r="V33" s="34">
        <v>0.31001354557099597</v>
      </c>
      <c r="W33" s="26">
        <v>13</v>
      </c>
      <c r="Y33" t="s">
        <v>48</v>
      </c>
      <c r="Z33" t="s">
        <v>49</v>
      </c>
    </row>
    <row r="34" spans="2:33" x14ac:dyDescent="0.3">
      <c r="B34" s="24">
        <v>10800</v>
      </c>
      <c r="C34" s="25">
        <v>18</v>
      </c>
      <c r="D34" s="25">
        <v>2</v>
      </c>
      <c r="E34" s="25">
        <v>0</v>
      </c>
      <c r="F34" s="25">
        <v>0</v>
      </c>
      <c r="G34" s="25">
        <v>19</v>
      </c>
      <c r="H34" s="25">
        <v>5.2</v>
      </c>
      <c r="I34" s="25">
        <v>0.32</v>
      </c>
      <c r="J34" s="25">
        <v>0.67</v>
      </c>
      <c r="K34" s="26">
        <v>1</v>
      </c>
      <c r="L34" s="25">
        <f t="shared" si="0"/>
        <v>-0.20637084914948536</v>
      </c>
      <c r="M34" s="25">
        <f t="shared" si="6"/>
        <v>0.44858961775097744</v>
      </c>
      <c r="N34" s="25">
        <f t="shared" si="1"/>
        <v>0.44858961775097744</v>
      </c>
      <c r="O34" s="25">
        <f t="shared" si="2"/>
        <v>-0.80164680083086204</v>
      </c>
      <c r="P34" s="25">
        <f t="shared" si="3"/>
        <v>1</v>
      </c>
      <c r="Q34" s="25">
        <f t="shared" si="7"/>
        <v>493.07760384427434</v>
      </c>
      <c r="R34" s="25">
        <f t="shared" si="4"/>
        <v>7</v>
      </c>
      <c r="S34" s="26">
        <f t="shared" si="5"/>
        <v>14</v>
      </c>
      <c r="U34" s="33">
        <v>0.31001354557099597</v>
      </c>
      <c r="V34" s="34">
        <v>0.46502031835649388</v>
      </c>
      <c r="W34" s="26">
        <v>14</v>
      </c>
    </row>
    <row r="35" spans="2:33" x14ac:dyDescent="0.3">
      <c r="B35" s="24">
        <v>10802</v>
      </c>
      <c r="C35" s="25">
        <v>19</v>
      </c>
      <c r="D35" s="25">
        <v>2</v>
      </c>
      <c r="E35" s="25">
        <v>0</v>
      </c>
      <c r="F35" s="25">
        <v>0</v>
      </c>
      <c r="G35" s="25">
        <v>21</v>
      </c>
      <c r="H35" s="25">
        <v>2</v>
      </c>
      <c r="I35" s="25">
        <v>0.28000000000000003</v>
      </c>
      <c r="J35" s="25">
        <v>0.14000000000000001</v>
      </c>
      <c r="K35" s="26">
        <v>1</v>
      </c>
      <c r="L35" s="25">
        <f t="shared" si="0"/>
        <v>-0.57860010238960324</v>
      </c>
      <c r="M35" s="25">
        <f t="shared" si="6"/>
        <v>0.3592547736584204</v>
      </c>
      <c r="N35" s="25">
        <f t="shared" si="1"/>
        <v>0.3592547736584204</v>
      </c>
      <c r="O35" s="25">
        <f t="shared" si="2"/>
        <v>-1.0237234662659955</v>
      </c>
      <c r="P35" s="25">
        <f t="shared" si="3"/>
        <v>0</v>
      </c>
      <c r="Q35" s="25">
        <f t="shared" si="7"/>
        <v>503.81786949433933</v>
      </c>
      <c r="R35" s="25">
        <f t="shared" si="4"/>
        <v>7</v>
      </c>
      <c r="S35" s="26">
        <f t="shared" si="5"/>
        <v>14</v>
      </c>
      <c r="U35" s="33">
        <v>0.46502031835649388</v>
      </c>
      <c r="V35" s="34">
        <v>0.69753047753474096</v>
      </c>
      <c r="W35" s="26">
        <v>15</v>
      </c>
      <c r="Y35">
        <v>0</v>
      </c>
      <c r="Z35">
        <v>15.12030705421714</v>
      </c>
    </row>
    <row r="36" spans="2:33" x14ac:dyDescent="0.3">
      <c r="B36" s="24">
        <v>10805</v>
      </c>
      <c r="C36" s="25">
        <v>41</v>
      </c>
      <c r="D36" s="25">
        <v>1</v>
      </c>
      <c r="E36" s="25">
        <v>3</v>
      </c>
      <c r="F36" s="25">
        <v>12</v>
      </c>
      <c r="G36" s="25">
        <v>23</v>
      </c>
      <c r="H36" s="25">
        <v>10.6</v>
      </c>
      <c r="I36" s="25">
        <v>0.15</v>
      </c>
      <c r="J36" s="25">
        <v>2.29</v>
      </c>
      <c r="K36" s="26">
        <v>1</v>
      </c>
      <c r="L36" s="25">
        <f t="shared" si="0"/>
        <v>-1.2203483847739303</v>
      </c>
      <c r="M36" s="25">
        <f t="shared" si="6"/>
        <v>0.22787514713535759</v>
      </c>
      <c r="N36" s="25">
        <f t="shared" si="1"/>
        <v>0.22787514713535759</v>
      </c>
      <c r="O36" s="25">
        <f t="shared" si="2"/>
        <v>-1.4789574002990089</v>
      </c>
      <c r="P36" s="25">
        <f t="shared" si="3"/>
        <v>0</v>
      </c>
      <c r="Q36" s="25">
        <f t="shared" si="7"/>
        <v>522.33481025942854</v>
      </c>
      <c r="R36" s="25">
        <f t="shared" si="4"/>
        <v>6</v>
      </c>
      <c r="S36" s="26">
        <f t="shared" si="5"/>
        <v>13</v>
      </c>
      <c r="U36" s="33">
        <v>0.69753047753474096</v>
      </c>
      <c r="V36" s="34">
        <v>0.92428181578996771</v>
      </c>
      <c r="W36" s="26">
        <v>16</v>
      </c>
      <c r="Y36">
        <v>15.12030705421714</v>
      </c>
      <c r="Z36">
        <v>32.075014954979203</v>
      </c>
    </row>
    <row r="37" spans="2:33" ht="15" thickBot="1" x14ac:dyDescent="0.35">
      <c r="B37" s="24">
        <v>10824</v>
      </c>
      <c r="C37" s="25">
        <v>42</v>
      </c>
      <c r="D37" s="25">
        <v>2</v>
      </c>
      <c r="E37" s="25">
        <v>3</v>
      </c>
      <c r="F37" s="25">
        <v>12</v>
      </c>
      <c r="G37" s="25">
        <v>76</v>
      </c>
      <c r="H37" s="25">
        <v>5.2</v>
      </c>
      <c r="I37" s="25">
        <v>0.72</v>
      </c>
      <c r="J37" s="25">
        <v>3.23</v>
      </c>
      <c r="K37" s="26">
        <v>1</v>
      </c>
      <c r="L37" s="25">
        <f t="shared" si="0"/>
        <v>-1.5279697418264637</v>
      </c>
      <c r="M37" s="25">
        <f t="shared" si="6"/>
        <v>0.17829093100906793</v>
      </c>
      <c r="N37" s="25">
        <f t="shared" si="1"/>
        <v>0.17829093100906793</v>
      </c>
      <c r="O37" s="25">
        <f t="shared" si="2"/>
        <v>-1.7243386190686281</v>
      </c>
      <c r="P37" s="25">
        <f t="shared" si="3"/>
        <v>0</v>
      </c>
      <c r="Q37" s="25">
        <f t="shared" si="7"/>
        <v>531.21088613368659</v>
      </c>
      <c r="R37" s="25">
        <f t="shared" si="4"/>
        <v>6</v>
      </c>
      <c r="S37" s="26">
        <f t="shared" si="5"/>
        <v>12</v>
      </c>
      <c r="U37" s="35">
        <v>0.92428181578996771</v>
      </c>
      <c r="V37" s="36">
        <v>1</v>
      </c>
      <c r="W37" s="28">
        <v>17</v>
      </c>
      <c r="Y37">
        <v>32.075014954979203</v>
      </c>
      <c r="Z37">
        <v>96.225044864937615</v>
      </c>
    </row>
    <row r="38" spans="2:33" x14ac:dyDescent="0.3">
      <c r="B38" s="24">
        <v>10839</v>
      </c>
      <c r="C38" s="25">
        <v>29</v>
      </c>
      <c r="D38" s="25">
        <v>4</v>
      </c>
      <c r="E38" s="25">
        <v>2</v>
      </c>
      <c r="F38" s="25">
        <v>3</v>
      </c>
      <c r="G38" s="25">
        <v>45</v>
      </c>
      <c r="H38" s="25">
        <v>3</v>
      </c>
      <c r="I38" s="25">
        <v>0.67</v>
      </c>
      <c r="J38" s="25">
        <v>0.68</v>
      </c>
      <c r="K38" s="26">
        <v>0</v>
      </c>
      <c r="L38" s="25">
        <f t="shared" si="0"/>
        <v>-1.1483969899778883</v>
      </c>
      <c r="M38" s="25">
        <f t="shared" si="6"/>
        <v>0.24078200116889797</v>
      </c>
      <c r="N38" s="25">
        <f t="shared" si="1"/>
        <v>0.75921799883110208</v>
      </c>
      <c r="O38" s="25">
        <f t="shared" si="2"/>
        <v>-0.27546632433953977</v>
      </c>
      <c r="P38" s="25">
        <f t="shared" si="3"/>
        <v>0</v>
      </c>
      <c r="Q38" s="25">
        <f t="shared" si="7"/>
        <v>520.25873190912296</v>
      </c>
      <c r="R38" s="25">
        <f t="shared" si="4"/>
        <v>6</v>
      </c>
      <c r="S38" s="26">
        <f t="shared" si="5"/>
        <v>13</v>
      </c>
      <c r="Y38">
        <v>96.225044864937615</v>
      </c>
      <c r="Z38">
        <v>288.67513459481279</v>
      </c>
    </row>
    <row r="39" spans="2:33" x14ac:dyDescent="0.3">
      <c r="B39" s="24">
        <v>10870</v>
      </c>
      <c r="C39" s="25">
        <v>24</v>
      </c>
      <c r="D39" s="25">
        <v>4</v>
      </c>
      <c r="E39" s="25">
        <v>0</v>
      </c>
      <c r="F39" s="25">
        <v>2</v>
      </c>
      <c r="G39" s="25">
        <v>41</v>
      </c>
      <c r="H39" s="25">
        <v>8.4</v>
      </c>
      <c r="I39" s="25">
        <v>0.79</v>
      </c>
      <c r="J39" s="25">
        <v>2.66</v>
      </c>
      <c r="K39" s="26">
        <v>0</v>
      </c>
      <c r="L39" s="25">
        <f t="shared" si="0"/>
        <v>8.838118228875963E-2</v>
      </c>
      <c r="M39" s="25">
        <f t="shared" si="6"/>
        <v>0.52208092417205698</v>
      </c>
      <c r="N39" s="25">
        <f t="shared" si="1"/>
        <v>0.47791907582794302</v>
      </c>
      <c r="O39" s="25">
        <f t="shared" si="2"/>
        <v>-0.73831385825419038</v>
      </c>
      <c r="P39" s="25">
        <f t="shared" si="3"/>
        <v>1</v>
      </c>
      <c r="Q39" s="25">
        <f t="shared" si="7"/>
        <v>484.57285820435834</v>
      </c>
      <c r="R39" s="25">
        <f t="shared" si="4"/>
        <v>7</v>
      </c>
      <c r="S39" s="26">
        <f t="shared" si="5"/>
        <v>15</v>
      </c>
      <c r="Y39">
        <v>288.67513459481279</v>
      </c>
      <c r="Z39">
        <v>866.02540378443871</v>
      </c>
    </row>
    <row r="40" spans="2:33" x14ac:dyDescent="0.3">
      <c r="B40" s="24">
        <v>10884</v>
      </c>
      <c r="C40" s="25">
        <v>45</v>
      </c>
      <c r="D40" s="25">
        <v>5</v>
      </c>
      <c r="E40" s="25">
        <v>9</v>
      </c>
      <c r="F40" s="25">
        <v>11</v>
      </c>
      <c r="G40" s="25">
        <v>48</v>
      </c>
      <c r="H40" s="25">
        <v>10.199999999999999</v>
      </c>
      <c r="I40" s="25">
        <v>3.53</v>
      </c>
      <c r="J40" s="25">
        <v>1.37</v>
      </c>
      <c r="K40" s="26">
        <v>0</v>
      </c>
      <c r="L40" s="25">
        <f t="shared" si="0"/>
        <v>-1.3015595624700329</v>
      </c>
      <c r="M40" s="25">
        <f t="shared" si="6"/>
        <v>0.21390266215261455</v>
      </c>
      <c r="N40" s="25">
        <f t="shared" si="1"/>
        <v>0.78609733784738545</v>
      </c>
      <c r="O40" s="25">
        <f t="shared" si="2"/>
        <v>-0.24067465471991803</v>
      </c>
      <c r="P40" s="25">
        <f t="shared" si="3"/>
        <v>0</v>
      </c>
      <c r="Q40" s="25">
        <f t="shared" si="7"/>
        <v>524.67806945955408</v>
      </c>
      <c r="R40" s="25">
        <f t="shared" si="4"/>
        <v>6</v>
      </c>
      <c r="S40" s="26">
        <f t="shared" si="5"/>
        <v>13</v>
      </c>
      <c r="Y40">
        <v>866.02540378443871</v>
      </c>
      <c r="Z40">
        <v>2598.076211353316</v>
      </c>
    </row>
    <row r="41" spans="2:33" x14ac:dyDescent="0.3">
      <c r="B41" s="24">
        <v>10887</v>
      </c>
      <c r="C41" s="25">
        <v>39</v>
      </c>
      <c r="D41" s="25">
        <v>4</v>
      </c>
      <c r="E41" s="25">
        <v>8</v>
      </c>
      <c r="F41" s="25">
        <v>9</v>
      </c>
      <c r="G41" s="25">
        <v>259</v>
      </c>
      <c r="H41" s="25">
        <v>7.2</v>
      </c>
      <c r="I41" s="25">
        <v>1.55</v>
      </c>
      <c r="J41" s="25">
        <v>17.100000000000001</v>
      </c>
      <c r="K41" s="26">
        <v>0</v>
      </c>
      <c r="L41" s="25">
        <f t="shared" si="0"/>
        <v>-1.6218858036953441</v>
      </c>
      <c r="M41" s="25">
        <f t="shared" si="6"/>
        <v>0.16494495898852907</v>
      </c>
      <c r="N41" s="25">
        <f t="shared" si="1"/>
        <v>0.83505504101147099</v>
      </c>
      <c r="O41" s="25">
        <f t="shared" si="2"/>
        <v>-0.18025763892472935</v>
      </c>
      <c r="P41" s="25">
        <f t="shared" si="3"/>
        <v>0</v>
      </c>
      <c r="Q41" s="25">
        <f t="shared" si="7"/>
        <v>533.92073079124509</v>
      </c>
      <c r="R41" s="25">
        <f t="shared" si="4"/>
        <v>6</v>
      </c>
      <c r="S41" s="26">
        <f t="shared" si="5"/>
        <v>12</v>
      </c>
      <c r="Y41">
        <v>2598.076211353316</v>
      </c>
      <c r="Z41">
        <v>6708.2039324993693</v>
      </c>
    </row>
    <row r="42" spans="2:33" x14ac:dyDescent="0.3">
      <c r="B42" s="24">
        <v>10893</v>
      </c>
      <c r="C42" s="25">
        <v>40</v>
      </c>
      <c r="D42" s="25">
        <v>2</v>
      </c>
      <c r="E42" s="25">
        <v>15</v>
      </c>
      <c r="F42" s="25">
        <v>6</v>
      </c>
      <c r="G42" s="25">
        <v>46</v>
      </c>
      <c r="H42" s="25">
        <v>10.6</v>
      </c>
      <c r="I42" s="25">
        <v>0.82</v>
      </c>
      <c r="J42" s="25">
        <v>4.0599999999999996</v>
      </c>
      <c r="K42" s="26">
        <v>0</v>
      </c>
      <c r="L42" s="25">
        <f t="shared" si="0"/>
        <v>-3.4046326222437271</v>
      </c>
      <c r="M42" s="25">
        <f t="shared" si="6"/>
        <v>3.2150997097699738E-2</v>
      </c>
      <c r="N42" s="25">
        <f t="shared" si="1"/>
        <v>0.96784900290230025</v>
      </c>
      <c r="O42" s="25">
        <f t="shared" si="2"/>
        <v>-3.2679192610361597E-2</v>
      </c>
      <c r="P42" s="25">
        <f t="shared" si="3"/>
        <v>0</v>
      </c>
      <c r="Q42" s="25">
        <f t="shared" si="7"/>
        <v>585.35992921895831</v>
      </c>
      <c r="R42" s="25">
        <f t="shared" si="4"/>
        <v>5</v>
      </c>
      <c r="S42" s="26">
        <f t="shared" si="5"/>
        <v>8</v>
      </c>
      <c r="Y42">
        <v>6708.2039324993693</v>
      </c>
      <c r="Z42">
        <v>10000</v>
      </c>
    </row>
    <row r="43" spans="2:33" x14ac:dyDescent="0.3">
      <c r="B43" s="24">
        <v>10927</v>
      </c>
      <c r="C43" s="25">
        <v>21</v>
      </c>
      <c r="D43" s="25">
        <v>3</v>
      </c>
      <c r="E43" s="25">
        <v>0</v>
      </c>
      <c r="F43" s="25">
        <v>0</v>
      </c>
      <c r="G43" s="25">
        <v>17</v>
      </c>
      <c r="H43" s="25">
        <v>17.600000000000001</v>
      </c>
      <c r="I43" s="25">
        <v>1.37</v>
      </c>
      <c r="J43" s="25">
        <v>1.62</v>
      </c>
      <c r="K43" s="26">
        <v>1</v>
      </c>
      <c r="L43" s="25">
        <f t="shared" si="0"/>
        <v>1.4316077567066243</v>
      </c>
      <c r="M43" s="25">
        <f t="shared" si="6"/>
        <v>0.80715169928449293</v>
      </c>
      <c r="N43" s="25">
        <f t="shared" si="1"/>
        <v>0.80715169928449293</v>
      </c>
      <c r="O43" s="25">
        <f t="shared" si="2"/>
        <v>-0.21424364909122437</v>
      </c>
      <c r="P43" s="25">
        <f t="shared" si="3"/>
        <v>1</v>
      </c>
      <c r="Q43" s="25">
        <f t="shared" si="7"/>
        <v>445.81553294876272</v>
      </c>
      <c r="R43" s="25">
        <f t="shared" si="4"/>
        <v>8</v>
      </c>
      <c r="S43" s="26">
        <f t="shared" si="5"/>
        <v>16</v>
      </c>
    </row>
    <row r="44" spans="2:33" x14ac:dyDescent="0.3">
      <c r="B44" s="24">
        <v>10935</v>
      </c>
      <c r="C44" s="25">
        <v>55</v>
      </c>
      <c r="D44" s="25">
        <v>3</v>
      </c>
      <c r="E44" s="25">
        <v>34</v>
      </c>
      <c r="F44" s="25">
        <v>16</v>
      </c>
      <c r="G44" s="25">
        <v>150</v>
      </c>
      <c r="H44" s="25">
        <v>9.9</v>
      </c>
      <c r="I44" s="25">
        <v>0.73</v>
      </c>
      <c r="J44" s="25">
        <v>14.12</v>
      </c>
      <c r="K44" s="26">
        <v>0</v>
      </c>
      <c r="L44" s="25">
        <f t="shared" si="0"/>
        <v>-8.242893599157588</v>
      </c>
      <c r="M44" s="25">
        <f t="shared" si="6"/>
        <v>2.6305256303028266E-4</v>
      </c>
      <c r="N44" s="25">
        <f t="shared" si="1"/>
        <v>0.99973694743696973</v>
      </c>
      <c r="O44" s="25">
        <f t="shared" si="2"/>
        <v>-2.6308716742438274E-4</v>
      </c>
      <c r="P44" s="25">
        <f t="shared" si="3"/>
        <v>0</v>
      </c>
      <c r="Q44" s="25">
        <f t="shared" si="7"/>
        <v>724.96262762073309</v>
      </c>
      <c r="R44" s="25">
        <f t="shared" si="4"/>
        <v>1</v>
      </c>
      <c r="S44" s="26">
        <f t="shared" si="5"/>
        <v>1</v>
      </c>
      <c r="Z44">
        <v>0</v>
      </c>
      <c r="AC44">
        <v>0</v>
      </c>
      <c r="AD44">
        <v>0</v>
      </c>
    </row>
    <row r="45" spans="2:33" x14ac:dyDescent="0.3">
      <c r="B45" s="24">
        <v>11045</v>
      </c>
      <c r="C45" s="25">
        <v>29</v>
      </c>
      <c r="D45" s="25">
        <v>2</v>
      </c>
      <c r="E45" s="25">
        <v>6</v>
      </c>
      <c r="F45" s="25">
        <v>4</v>
      </c>
      <c r="G45" s="25">
        <v>35</v>
      </c>
      <c r="H45" s="25">
        <v>3.3</v>
      </c>
      <c r="I45" s="25">
        <v>0.2</v>
      </c>
      <c r="J45" s="25">
        <v>0.96</v>
      </c>
      <c r="K45" s="26">
        <v>1</v>
      </c>
      <c r="L45" s="25">
        <f t="shared" si="0"/>
        <v>-2.1670402174634171</v>
      </c>
      <c r="M45" s="25">
        <f t="shared" si="6"/>
        <v>0.10274958137222454</v>
      </c>
      <c r="N45" s="25">
        <f t="shared" si="1"/>
        <v>0.10274958137222454</v>
      </c>
      <c r="O45" s="25">
        <f t="shared" si="2"/>
        <v>-2.2754604998503503</v>
      </c>
      <c r="P45" s="25">
        <f t="shared" si="3"/>
        <v>0</v>
      </c>
      <c r="Q45" s="25">
        <f t="shared" si="7"/>
        <v>549.65056173066773</v>
      </c>
      <c r="R45" s="25">
        <f t="shared" si="4"/>
        <v>6</v>
      </c>
      <c r="S45" s="26">
        <f t="shared" si="5"/>
        <v>11</v>
      </c>
      <c r="V45">
        <v>8</v>
      </c>
      <c r="Y45">
        <v>253</v>
      </c>
      <c r="Z45">
        <v>0.16866666666666669</v>
      </c>
      <c r="AA45">
        <v>214</v>
      </c>
      <c r="AB45">
        <v>548</v>
      </c>
      <c r="AC45">
        <v>0.39051094890510951</v>
      </c>
      <c r="AD45">
        <v>0.16866666666666669</v>
      </c>
      <c r="AE45">
        <v>0.16866666666666669</v>
      </c>
      <c r="AF45">
        <v>0.8347473008666807</v>
      </c>
      <c r="AG45">
        <v>0.8458498023715415</v>
      </c>
    </row>
    <row r="46" spans="2:33" x14ac:dyDescent="0.3">
      <c r="B46" s="24">
        <v>11057</v>
      </c>
      <c r="C46" s="25">
        <v>22</v>
      </c>
      <c r="D46" s="25">
        <v>3</v>
      </c>
      <c r="E46" s="25">
        <v>0</v>
      </c>
      <c r="F46" s="25">
        <v>0</v>
      </c>
      <c r="G46" s="25">
        <v>24</v>
      </c>
      <c r="H46" s="25">
        <v>5.2</v>
      </c>
      <c r="I46" s="25">
        <v>0.28000000000000003</v>
      </c>
      <c r="J46" s="25">
        <v>0.97</v>
      </c>
      <c r="K46" s="26">
        <v>1</v>
      </c>
      <c r="L46" s="25">
        <f t="shared" si="0"/>
        <v>-0.35649011109428824</v>
      </c>
      <c r="M46" s="25">
        <f t="shared" si="6"/>
        <v>0.4118094758134449</v>
      </c>
      <c r="N46" s="25">
        <f t="shared" si="1"/>
        <v>0.4118094758134449</v>
      </c>
      <c r="O46" s="25">
        <f t="shared" si="2"/>
        <v>-0.88719447393574291</v>
      </c>
      <c r="P46" s="25">
        <f t="shared" si="3"/>
        <v>1</v>
      </c>
      <c r="Q46" s="25">
        <f t="shared" si="7"/>
        <v>497.40913001650347</v>
      </c>
      <c r="R46" s="25">
        <f t="shared" si="4"/>
        <v>7</v>
      </c>
      <c r="S46" s="26">
        <f t="shared" si="5"/>
        <v>14</v>
      </c>
      <c r="V46">
        <v>7</v>
      </c>
      <c r="Y46">
        <v>864</v>
      </c>
      <c r="Z46">
        <v>0.57599999999999996</v>
      </c>
      <c r="AA46">
        <v>485</v>
      </c>
      <c r="AB46">
        <v>548</v>
      </c>
      <c r="AC46">
        <v>0.88503649635036497</v>
      </c>
      <c r="AD46">
        <v>0.57599999999999996</v>
      </c>
      <c r="AE46">
        <v>0.40733333333333333</v>
      </c>
      <c r="AF46">
        <v>0.44536350644608019</v>
      </c>
      <c r="AG46">
        <v>0.44353518821603932</v>
      </c>
    </row>
    <row r="47" spans="2:33" x14ac:dyDescent="0.3">
      <c r="B47" s="24">
        <v>11080</v>
      </c>
      <c r="C47" s="25">
        <v>58</v>
      </c>
      <c r="D47" s="25">
        <v>4</v>
      </c>
      <c r="E47" s="25">
        <v>24</v>
      </c>
      <c r="F47" s="25">
        <v>18</v>
      </c>
      <c r="G47" s="25">
        <v>70</v>
      </c>
      <c r="H47" s="25">
        <v>6.8</v>
      </c>
      <c r="I47" s="25">
        <v>2.2999999999999998</v>
      </c>
      <c r="J47" s="25">
        <v>2.46</v>
      </c>
      <c r="K47" s="26">
        <v>0</v>
      </c>
      <c r="L47" s="25">
        <f t="shared" si="0"/>
        <v>-6.0397635617034293</v>
      </c>
      <c r="M47" s="25">
        <f t="shared" si="6"/>
        <v>2.376461051598981E-3</v>
      </c>
      <c r="N47" s="25">
        <f t="shared" si="1"/>
        <v>0.99762353894840106</v>
      </c>
      <c r="O47" s="25">
        <f t="shared" si="2"/>
        <v>-2.3792893168938772E-3</v>
      </c>
      <c r="P47" s="25">
        <f t="shared" si="3"/>
        <v>0</v>
      </c>
      <c r="Q47" s="25">
        <f t="shared" si="7"/>
        <v>661.3937338330345</v>
      </c>
      <c r="R47" s="25">
        <f t="shared" si="4"/>
        <v>2</v>
      </c>
      <c r="S47" s="26">
        <f t="shared" si="5"/>
        <v>1</v>
      </c>
      <c r="V47">
        <v>6</v>
      </c>
      <c r="Y47">
        <v>1190</v>
      </c>
      <c r="Z47">
        <v>0.79333333333333333</v>
      </c>
      <c r="AA47">
        <v>541</v>
      </c>
      <c r="AB47">
        <v>548</v>
      </c>
      <c r="AC47">
        <v>0.98722627737226276</v>
      </c>
      <c r="AD47">
        <v>0.79333333333333333</v>
      </c>
      <c r="AE47">
        <v>0.2173333333333333</v>
      </c>
      <c r="AF47">
        <v>0.17312761247348141</v>
      </c>
      <c r="AG47">
        <v>0.17177914110429451</v>
      </c>
    </row>
    <row r="48" spans="2:33" x14ac:dyDescent="0.3">
      <c r="B48" s="24">
        <v>11199</v>
      </c>
      <c r="C48" s="25">
        <v>53</v>
      </c>
      <c r="D48" s="25">
        <v>2</v>
      </c>
      <c r="E48" s="25">
        <v>14</v>
      </c>
      <c r="F48" s="25">
        <v>19</v>
      </c>
      <c r="G48" s="25">
        <v>67</v>
      </c>
      <c r="H48" s="25">
        <v>6.1</v>
      </c>
      <c r="I48" s="25">
        <v>1.06</v>
      </c>
      <c r="J48" s="25">
        <v>3.02</v>
      </c>
      <c r="K48" s="26">
        <v>0</v>
      </c>
      <c r="L48" s="25">
        <f t="shared" si="0"/>
        <v>-4.2388189361793644</v>
      </c>
      <c r="M48" s="25">
        <f t="shared" si="6"/>
        <v>1.4219507218840943E-2</v>
      </c>
      <c r="N48" s="25">
        <f t="shared" si="1"/>
        <v>0.98578049278115909</v>
      </c>
      <c r="O48" s="25">
        <f t="shared" si="2"/>
        <v>-1.43215731180923E-2</v>
      </c>
      <c r="P48" s="25">
        <f t="shared" si="3"/>
        <v>0</v>
      </c>
      <c r="Q48" s="25">
        <f t="shared" si="7"/>
        <v>609.42945770262577</v>
      </c>
      <c r="R48" s="25">
        <f t="shared" si="4"/>
        <v>4</v>
      </c>
      <c r="S48" s="26">
        <f t="shared" si="5"/>
        <v>6</v>
      </c>
      <c r="V48">
        <v>5</v>
      </c>
      <c r="Y48">
        <v>1320</v>
      </c>
      <c r="Z48">
        <v>0.88</v>
      </c>
      <c r="AA48">
        <v>548</v>
      </c>
      <c r="AB48">
        <v>548</v>
      </c>
      <c r="AC48">
        <v>1</v>
      </c>
      <c r="AD48">
        <v>0.88</v>
      </c>
      <c r="AE48">
        <v>8.666666666666667E-2</v>
      </c>
      <c r="AF48">
        <v>5.3409705012747229E-2</v>
      </c>
      <c r="AG48">
        <v>5.3846153846153849E-2</v>
      </c>
    </row>
    <row r="49" spans="2:33" x14ac:dyDescent="0.3">
      <c r="B49" s="24">
        <v>11267</v>
      </c>
      <c r="C49" s="25">
        <v>31</v>
      </c>
      <c r="D49" s="25">
        <v>3</v>
      </c>
      <c r="E49" s="25">
        <v>5</v>
      </c>
      <c r="F49" s="25">
        <v>7</v>
      </c>
      <c r="G49" s="25">
        <v>25</v>
      </c>
      <c r="H49" s="25">
        <v>6.8</v>
      </c>
      <c r="I49" s="25">
        <v>0.43</v>
      </c>
      <c r="J49" s="25">
        <v>1.27</v>
      </c>
      <c r="K49" s="26">
        <v>0</v>
      </c>
      <c r="L49" s="25">
        <f t="shared" si="0"/>
        <v>-1.6719231783639723</v>
      </c>
      <c r="M49" s="25">
        <f t="shared" si="6"/>
        <v>0.15816793765309509</v>
      </c>
      <c r="N49" s="25">
        <f t="shared" si="1"/>
        <v>0.84183206234690489</v>
      </c>
      <c r="O49" s="25">
        <f t="shared" si="2"/>
        <v>-0.17217473552719736</v>
      </c>
      <c r="P49" s="25">
        <f t="shared" si="3"/>
        <v>0</v>
      </c>
      <c r="Q49" s="25">
        <f t="shared" si="7"/>
        <v>535.36450419619621</v>
      </c>
      <c r="R49" s="25">
        <f t="shared" si="4"/>
        <v>6</v>
      </c>
      <c r="S49" s="26">
        <f t="shared" si="5"/>
        <v>12</v>
      </c>
      <c r="V49">
        <v>4</v>
      </c>
      <c r="Y49">
        <v>1370</v>
      </c>
      <c r="Z49">
        <v>0.91333333333333333</v>
      </c>
      <c r="AA49">
        <v>548</v>
      </c>
      <c r="AB49">
        <v>548</v>
      </c>
      <c r="AC49">
        <v>1</v>
      </c>
      <c r="AD49">
        <v>0.91333333333333333</v>
      </c>
      <c r="AE49">
        <v>3.3333333333333333E-2</v>
      </c>
      <c r="AF49">
        <v>1.8240877120831708E-2</v>
      </c>
      <c r="AG49">
        <v>0</v>
      </c>
    </row>
    <row r="50" spans="2:33" x14ac:dyDescent="0.3">
      <c r="B50" s="24">
        <v>11288</v>
      </c>
      <c r="C50" s="25">
        <v>26</v>
      </c>
      <c r="D50" s="25">
        <v>1</v>
      </c>
      <c r="E50" s="25">
        <v>4</v>
      </c>
      <c r="F50" s="25">
        <v>2</v>
      </c>
      <c r="G50" s="25">
        <v>23</v>
      </c>
      <c r="H50" s="25">
        <v>6.9</v>
      </c>
      <c r="I50" s="25">
        <v>0.17</v>
      </c>
      <c r="J50" s="25">
        <v>1.42</v>
      </c>
      <c r="K50" s="26">
        <v>0</v>
      </c>
      <c r="L50" s="25">
        <f t="shared" si="0"/>
        <v>-1.1778301651745886</v>
      </c>
      <c r="M50" s="25">
        <f t="shared" si="6"/>
        <v>0.23544256257809051</v>
      </c>
      <c r="N50" s="25">
        <f t="shared" si="1"/>
        <v>0.76455743742190951</v>
      </c>
      <c r="O50" s="25">
        <f t="shared" si="2"/>
        <v>-0.26845812573288841</v>
      </c>
      <c r="P50" s="25">
        <f t="shared" si="3"/>
        <v>0</v>
      </c>
      <c r="Q50" s="25">
        <f t="shared" si="7"/>
        <v>521.10799380293111</v>
      </c>
      <c r="R50" s="25">
        <f t="shared" si="4"/>
        <v>6</v>
      </c>
      <c r="S50" s="26">
        <f t="shared" si="5"/>
        <v>13</v>
      </c>
      <c r="V50">
        <v>3</v>
      </c>
      <c r="Y50">
        <v>1419</v>
      </c>
      <c r="Z50">
        <v>0.94599999999999995</v>
      </c>
      <c r="AA50">
        <v>548</v>
      </c>
      <c r="AB50">
        <v>548</v>
      </c>
      <c r="AC50">
        <v>1</v>
      </c>
      <c r="AD50">
        <v>0.94599999999999995</v>
      </c>
      <c r="AE50">
        <v>3.2666666666666663E-2</v>
      </c>
      <c r="AF50">
        <v>5.9835111775197319E-3</v>
      </c>
      <c r="AG50">
        <v>0</v>
      </c>
    </row>
    <row r="51" spans="2:33" x14ac:dyDescent="0.3">
      <c r="B51" s="24">
        <v>11307</v>
      </c>
      <c r="C51" s="25">
        <v>23</v>
      </c>
      <c r="D51" s="25">
        <v>4</v>
      </c>
      <c r="E51" s="25">
        <v>0</v>
      </c>
      <c r="F51" s="25">
        <v>0</v>
      </c>
      <c r="G51" s="25">
        <v>28</v>
      </c>
      <c r="H51" s="25">
        <v>19.2</v>
      </c>
      <c r="I51" s="25">
        <v>1.72</v>
      </c>
      <c r="J51" s="25">
        <v>3.66</v>
      </c>
      <c r="K51" s="26">
        <v>1</v>
      </c>
      <c r="L51" s="25">
        <f t="shared" si="0"/>
        <v>1.7139155685421155</v>
      </c>
      <c r="M51" s="25">
        <f t="shared" si="6"/>
        <v>0.84734346202837929</v>
      </c>
      <c r="N51" s="25">
        <f t="shared" si="1"/>
        <v>0.84734346202837929</v>
      </c>
      <c r="O51" s="25">
        <f t="shared" si="2"/>
        <v>-0.16564916235894039</v>
      </c>
      <c r="P51" s="25">
        <f t="shared" si="3"/>
        <v>1</v>
      </c>
      <c r="Q51" s="25">
        <f t="shared" si="7"/>
        <v>437.66985157684263</v>
      </c>
      <c r="R51" s="25">
        <f t="shared" si="4"/>
        <v>8</v>
      </c>
      <c r="S51" s="26">
        <f t="shared" si="5"/>
        <v>16</v>
      </c>
      <c r="V51">
        <v>2</v>
      </c>
      <c r="Y51">
        <v>1454</v>
      </c>
      <c r="Z51">
        <v>0.96933333333333338</v>
      </c>
      <c r="AA51">
        <v>548</v>
      </c>
      <c r="AB51">
        <v>548</v>
      </c>
      <c r="AC51">
        <v>1</v>
      </c>
      <c r="AD51">
        <v>0.96933333333333338</v>
      </c>
      <c r="AE51">
        <v>2.3333333333333331E-2</v>
      </c>
      <c r="AF51">
        <v>2.2816688446221801E-3</v>
      </c>
      <c r="AG51">
        <v>0</v>
      </c>
    </row>
    <row r="52" spans="2:33" x14ac:dyDescent="0.3">
      <c r="B52" s="24">
        <v>11329</v>
      </c>
      <c r="C52" s="25">
        <v>25</v>
      </c>
      <c r="D52" s="25">
        <v>2</v>
      </c>
      <c r="E52" s="25">
        <v>1</v>
      </c>
      <c r="F52" s="25">
        <v>3</v>
      </c>
      <c r="G52" s="25">
        <v>19</v>
      </c>
      <c r="H52" s="25">
        <v>28.6</v>
      </c>
      <c r="I52" s="25">
        <v>2.34</v>
      </c>
      <c r="J52" s="25">
        <v>3.1</v>
      </c>
      <c r="K52" s="26">
        <v>1</v>
      </c>
      <c r="L52" s="25">
        <f t="shared" si="0"/>
        <v>2.6676887931547801</v>
      </c>
      <c r="M52" s="25">
        <f t="shared" si="6"/>
        <v>0.93509289558844022</v>
      </c>
      <c r="N52" s="25">
        <f t="shared" si="1"/>
        <v>0.93509289558844022</v>
      </c>
      <c r="O52" s="25">
        <f t="shared" si="2"/>
        <v>-6.7109401058164861E-2</v>
      </c>
      <c r="P52" s="25">
        <f t="shared" si="3"/>
        <v>1</v>
      </c>
      <c r="Q52" s="25">
        <f t="shared" si="7"/>
        <v>410.14977433119128</v>
      </c>
      <c r="R52" s="25">
        <f t="shared" si="4"/>
        <v>8</v>
      </c>
      <c r="S52" s="26">
        <f t="shared" si="5"/>
        <v>17</v>
      </c>
      <c r="V52">
        <v>1</v>
      </c>
      <c r="Y52">
        <v>1500</v>
      </c>
      <c r="Z52">
        <v>1</v>
      </c>
      <c r="AA52">
        <v>548</v>
      </c>
      <c r="AB52">
        <v>548</v>
      </c>
      <c r="AC52">
        <v>1</v>
      </c>
      <c r="AD52">
        <v>1</v>
      </c>
      <c r="AE52">
        <v>3.0666666666666662E-2</v>
      </c>
      <c r="AF52">
        <v>5.191333713487024E-4</v>
      </c>
      <c r="AG52">
        <v>0</v>
      </c>
    </row>
    <row r="53" spans="2:33" x14ac:dyDescent="0.3">
      <c r="B53" s="24">
        <v>11337</v>
      </c>
      <c r="C53" s="25">
        <v>52</v>
      </c>
      <c r="D53" s="25">
        <v>3</v>
      </c>
      <c r="E53" s="25">
        <v>23</v>
      </c>
      <c r="F53" s="25">
        <v>10</v>
      </c>
      <c r="G53" s="25">
        <v>153</v>
      </c>
      <c r="H53" s="25">
        <v>4.5</v>
      </c>
      <c r="I53" s="25">
        <v>2.12</v>
      </c>
      <c r="J53" s="25">
        <v>4.76</v>
      </c>
      <c r="K53" s="26">
        <v>0</v>
      </c>
      <c r="L53" s="25">
        <f t="shared" si="0"/>
        <v>-5.6081238599297345</v>
      </c>
      <c r="M53" s="25">
        <f t="shared" si="6"/>
        <v>3.6545398347579382E-3</v>
      </c>
      <c r="N53" s="25">
        <f t="shared" si="1"/>
        <v>0.99634546016524206</v>
      </c>
      <c r="O53" s="25">
        <f t="shared" si="2"/>
        <v>-3.6612339797829269E-3</v>
      </c>
      <c r="P53" s="25">
        <f t="shared" si="3"/>
        <v>0</v>
      </c>
      <c r="Q53" s="25">
        <f t="shared" si="7"/>
        <v>648.93924504202653</v>
      </c>
      <c r="R53" s="25">
        <f t="shared" si="4"/>
        <v>3</v>
      </c>
      <c r="S53" s="26">
        <f t="shared" si="5"/>
        <v>3</v>
      </c>
    </row>
    <row r="54" spans="2:33" x14ac:dyDescent="0.3">
      <c r="B54" s="24">
        <v>11344</v>
      </c>
      <c r="C54" s="25">
        <v>25</v>
      </c>
      <c r="D54" s="25">
        <v>3</v>
      </c>
      <c r="E54" s="25">
        <v>0</v>
      </c>
      <c r="F54" s="25">
        <v>1</v>
      </c>
      <c r="G54" s="25">
        <v>35</v>
      </c>
      <c r="H54" s="25">
        <v>9.6999999999999993</v>
      </c>
      <c r="I54" s="25">
        <v>0.13</v>
      </c>
      <c r="J54" s="25">
        <v>3.26</v>
      </c>
      <c r="K54" s="26">
        <v>1</v>
      </c>
      <c r="L54" s="25">
        <f t="shared" si="0"/>
        <v>-1.6609256313282472E-2</v>
      </c>
      <c r="M54" s="25">
        <f t="shared" si="6"/>
        <v>0.49584778137638519</v>
      </c>
      <c r="N54" s="25">
        <f t="shared" si="1"/>
        <v>0.49584778137638519</v>
      </c>
      <c r="O54" s="25">
        <f t="shared" si="2"/>
        <v>-0.70148629174463506</v>
      </c>
      <c r="P54" s="25">
        <f t="shared" si="3"/>
        <v>1</v>
      </c>
      <c r="Q54" s="25">
        <f t="shared" si="7"/>
        <v>487.60224182073779</v>
      </c>
      <c r="R54" s="25">
        <f t="shared" si="4"/>
        <v>7</v>
      </c>
      <c r="S54" s="26">
        <f t="shared" si="5"/>
        <v>15</v>
      </c>
      <c r="X54" t="s">
        <v>47</v>
      </c>
      <c r="Y54" t="s">
        <v>48</v>
      </c>
      <c r="Z54" t="s">
        <v>49</v>
      </c>
      <c r="AB54" t="s">
        <v>48</v>
      </c>
      <c r="AC54" t="s">
        <v>49</v>
      </c>
      <c r="AD54" t="s">
        <v>50</v>
      </c>
    </row>
    <row r="55" spans="2:33" x14ac:dyDescent="0.3">
      <c r="B55" s="24">
        <v>11363</v>
      </c>
      <c r="C55" s="25">
        <v>22</v>
      </c>
      <c r="D55" s="25">
        <v>4</v>
      </c>
      <c r="E55" s="25">
        <v>0</v>
      </c>
      <c r="F55" s="25">
        <v>1</v>
      </c>
      <c r="G55" s="25">
        <v>31</v>
      </c>
      <c r="H55" s="25">
        <v>22.8</v>
      </c>
      <c r="I55" s="25">
        <v>1.31</v>
      </c>
      <c r="J55" s="25">
        <v>5.75</v>
      </c>
      <c r="K55" s="26">
        <v>1</v>
      </c>
      <c r="L55" s="25">
        <f t="shared" si="0"/>
        <v>1.9205666211398496</v>
      </c>
      <c r="M55" s="25">
        <f t="shared" si="6"/>
        <v>0.87220160597395968</v>
      </c>
      <c r="N55" s="25">
        <f t="shared" si="1"/>
        <v>0.87220160597395968</v>
      </c>
      <c r="O55" s="25">
        <f t="shared" si="2"/>
        <v>-0.13673468228422408</v>
      </c>
      <c r="P55" s="25">
        <f t="shared" si="3"/>
        <v>1</v>
      </c>
      <c r="Q55" s="25">
        <f t="shared" si="7"/>
        <v>431.70716277029288</v>
      </c>
      <c r="R55" s="25">
        <f t="shared" si="4"/>
        <v>8</v>
      </c>
      <c r="S55" s="26">
        <f t="shared" si="5"/>
        <v>16</v>
      </c>
      <c r="X55">
        <v>19.509221155311689</v>
      </c>
      <c r="Y55">
        <v>0</v>
      </c>
      <c r="Z55">
        <v>23.893818554812281</v>
      </c>
      <c r="AB55">
        <v>0</v>
      </c>
      <c r="AC55">
        <v>2.3893818554812278E-3</v>
      </c>
      <c r="AD55">
        <v>1</v>
      </c>
    </row>
    <row r="56" spans="2:33" x14ac:dyDescent="0.3">
      <c r="B56" s="24">
        <v>11423</v>
      </c>
      <c r="C56" s="25">
        <v>38</v>
      </c>
      <c r="D56" s="25">
        <v>3</v>
      </c>
      <c r="E56" s="25">
        <v>8</v>
      </c>
      <c r="F56" s="25">
        <v>8</v>
      </c>
      <c r="G56" s="25">
        <v>35</v>
      </c>
      <c r="H56" s="25">
        <v>26.4</v>
      </c>
      <c r="I56" s="25">
        <v>3.78</v>
      </c>
      <c r="J56" s="25">
        <v>5.46</v>
      </c>
      <c r="K56" s="26">
        <v>0</v>
      </c>
      <c r="L56" s="25">
        <f t="shared" si="0"/>
        <v>1.1127593588671179</v>
      </c>
      <c r="M56" s="25">
        <f t="shared" si="6"/>
        <v>0.75264318325389834</v>
      </c>
      <c r="N56" s="25">
        <f t="shared" si="1"/>
        <v>0.24735681674610166</v>
      </c>
      <c r="O56" s="25">
        <f t="shared" si="2"/>
        <v>-1.3969233825771816</v>
      </c>
      <c r="P56" s="25">
        <f t="shared" si="3"/>
        <v>1</v>
      </c>
      <c r="Q56" s="25">
        <f t="shared" si="7"/>
        <v>455.01555273518409</v>
      </c>
      <c r="R56" s="25">
        <f t="shared" si="4"/>
        <v>8</v>
      </c>
      <c r="S56" s="26">
        <f t="shared" si="5"/>
        <v>16</v>
      </c>
      <c r="X56">
        <v>29.263831732967532</v>
      </c>
      <c r="Y56">
        <v>23.893818554812281</v>
      </c>
      <c r="Z56">
        <v>35.84072783221842</v>
      </c>
      <c r="AB56">
        <v>2.3893818554812278E-3</v>
      </c>
      <c r="AC56">
        <v>3.5840727832218422E-3</v>
      </c>
      <c r="AD56">
        <v>2</v>
      </c>
    </row>
    <row r="57" spans="2:33" x14ac:dyDescent="0.3">
      <c r="B57" s="24">
        <v>11461</v>
      </c>
      <c r="C57" s="25">
        <v>42</v>
      </c>
      <c r="D57" s="25">
        <v>2</v>
      </c>
      <c r="E57" s="25">
        <v>16</v>
      </c>
      <c r="F57" s="25">
        <v>11</v>
      </c>
      <c r="G57" s="25">
        <v>49</v>
      </c>
      <c r="H57" s="25">
        <v>9.6999999999999993</v>
      </c>
      <c r="I57" s="25">
        <v>0.56000000000000005</v>
      </c>
      <c r="J57" s="25">
        <v>4.2</v>
      </c>
      <c r="K57" s="26">
        <v>0</v>
      </c>
      <c r="L57" s="25">
        <f t="shared" si="0"/>
        <v>-4.0456130331061777</v>
      </c>
      <c r="M57" s="25">
        <f t="shared" si="6"/>
        <v>1.7198026106392549E-2</v>
      </c>
      <c r="N57" s="25">
        <f t="shared" si="1"/>
        <v>0.98280197389360746</v>
      </c>
      <c r="O57" s="25">
        <f t="shared" si="2"/>
        <v>-1.734762989837588E-2</v>
      </c>
      <c r="P57" s="25">
        <f t="shared" si="3"/>
        <v>0</v>
      </c>
      <c r="Q57" s="25">
        <f t="shared" si="7"/>
        <v>603.85471389594227</v>
      </c>
      <c r="R57" s="25">
        <f t="shared" si="4"/>
        <v>4</v>
      </c>
      <c r="S57" s="26">
        <f t="shared" si="5"/>
        <v>6</v>
      </c>
      <c r="X57">
        <v>43.89574759945129</v>
      </c>
      <c r="Y57">
        <v>35.84072783221842</v>
      </c>
      <c r="Z57">
        <v>53.76109174832763</v>
      </c>
      <c r="AB57">
        <v>3.5840727832218422E-3</v>
      </c>
      <c r="AC57">
        <v>5.3761091748327633E-3</v>
      </c>
      <c r="AD57">
        <v>3</v>
      </c>
    </row>
    <row r="58" spans="2:33" x14ac:dyDescent="0.3">
      <c r="B58" s="24">
        <v>11466</v>
      </c>
      <c r="C58" s="25">
        <v>52</v>
      </c>
      <c r="D58" s="25">
        <v>1</v>
      </c>
      <c r="E58" s="25">
        <v>5</v>
      </c>
      <c r="F58" s="25">
        <v>18</v>
      </c>
      <c r="G58" s="25">
        <v>36</v>
      </c>
      <c r="H58" s="25">
        <v>9.8000000000000007</v>
      </c>
      <c r="I58" s="25">
        <v>1.4</v>
      </c>
      <c r="J58" s="25">
        <v>2.13</v>
      </c>
      <c r="K58" s="26">
        <v>0</v>
      </c>
      <c r="L58" s="25">
        <f t="shared" si="0"/>
        <v>-1.5945830522434892</v>
      </c>
      <c r="M58" s="25">
        <f t="shared" si="6"/>
        <v>0.1687400702725515</v>
      </c>
      <c r="N58" s="25">
        <f t="shared" si="1"/>
        <v>0.83125992972744855</v>
      </c>
      <c r="O58" s="25">
        <f t="shared" si="2"/>
        <v>-0.18481274154664029</v>
      </c>
      <c r="P58" s="25">
        <f t="shared" si="3"/>
        <v>0</v>
      </c>
      <c r="Q58" s="25">
        <f t="shared" si="7"/>
        <v>533.13293993112836</v>
      </c>
      <c r="R58" s="25">
        <f t="shared" si="4"/>
        <v>6</v>
      </c>
      <c r="S58" s="26">
        <f t="shared" si="5"/>
        <v>12</v>
      </c>
      <c r="X58">
        <v>65.843621399176939</v>
      </c>
      <c r="Y58">
        <v>53.76109174832763</v>
      </c>
      <c r="Z58">
        <v>80.641637622491444</v>
      </c>
      <c r="AB58">
        <v>5.3761091748327633E-3</v>
      </c>
      <c r="AC58">
        <v>8.0641637622491449E-3</v>
      </c>
      <c r="AD58">
        <v>4</v>
      </c>
    </row>
    <row r="59" spans="2:33" x14ac:dyDescent="0.3">
      <c r="B59" s="24">
        <v>11472</v>
      </c>
      <c r="C59" s="25">
        <v>30</v>
      </c>
      <c r="D59" s="25">
        <v>1</v>
      </c>
      <c r="E59" s="25">
        <v>2</v>
      </c>
      <c r="F59" s="25">
        <v>3</v>
      </c>
      <c r="G59" s="25">
        <v>18</v>
      </c>
      <c r="H59" s="25">
        <v>3</v>
      </c>
      <c r="I59" s="25">
        <v>7.0000000000000007E-2</v>
      </c>
      <c r="J59" s="25">
        <v>0.47</v>
      </c>
      <c r="K59" s="26">
        <v>1</v>
      </c>
      <c r="L59" s="25">
        <f t="shared" si="0"/>
        <v>-1.305216376834899</v>
      </c>
      <c r="M59" s="25">
        <f t="shared" si="6"/>
        <v>0.21328841829459003</v>
      </c>
      <c r="N59" s="25">
        <f t="shared" si="1"/>
        <v>0.21328841829459003</v>
      </c>
      <c r="O59" s="25">
        <f t="shared" si="2"/>
        <v>-1.5451099527071364</v>
      </c>
      <c r="P59" s="25">
        <f t="shared" si="3"/>
        <v>0</v>
      </c>
      <c r="Q59" s="25">
        <f t="shared" si="7"/>
        <v>524.78358281555643</v>
      </c>
      <c r="R59" s="25">
        <f t="shared" si="4"/>
        <v>6</v>
      </c>
      <c r="S59" s="26">
        <f t="shared" si="5"/>
        <v>13</v>
      </c>
      <c r="X59">
        <v>98.765432098765416</v>
      </c>
      <c r="Y59">
        <v>80.641637622491444</v>
      </c>
      <c r="Z59">
        <v>120.9624564337372</v>
      </c>
      <c r="AB59">
        <v>8.0641637622491449E-3</v>
      </c>
      <c r="AC59">
        <v>1.2096245643373719E-2</v>
      </c>
      <c r="AD59">
        <v>5</v>
      </c>
    </row>
    <row r="60" spans="2:33" x14ac:dyDescent="0.3">
      <c r="B60" s="24">
        <v>11475</v>
      </c>
      <c r="C60" s="25">
        <v>59</v>
      </c>
      <c r="D60" s="25">
        <v>4</v>
      </c>
      <c r="E60" s="25">
        <v>20</v>
      </c>
      <c r="F60" s="25">
        <v>16</v>
      </c>
      <c r="G60" s="25">
        <v>144</v>
      </c>
      <c r="H60" s="25">
        <v>3.4</v>
      </c>
      <c r="I60" s="25">
        <v>2.4900000000000002</v>
      </c>
      <c r="J60" s="25">
        <v>2.4</v>
      </c>
      <c r="K60" s="26">
        <v>0</v>
      </c>
      <c r="L60" s="25">
        <f t="shared" si="0"/>
        <v>-5.3251124368150409</v>
      </c>
      <c r="M60" s="25">
        <f t="shared" si="6"/>
        <v>4.844222936961501E-3</v>
      </c>
      <c r="N60" s="25">
        <f t="shared" si="1"/>
        <v>0.99515577706303848</v>
      </c>
      <c r="O60" s="25">
        <f t="shared" si="2"/>
        <v>-4.8559942154103022E-3</v>
      </c>
      <c r="P60" s="25">
        <f t="shared" si="3"/>
        <v>0</v>
      </c>
      <c r="Q60" s="25">
        <f t="shared" si="7"/>
        <v>640.7732617406175</v>
      </c>
      <c r="R60" s="25">
        <f t="shared" si="4"/>
        <v>3</v>
      </c>
      <c r="S60" s="26">
        <f t="shared" si="5"/>
        <v>3</v>
      </c>
      <c r="X60">
        <v>148.1481481481481</v>
      </c>
      <c r="Y60">
        <v>120.9624564337372</v>
      </c>
      <c r="Z60">
        <v>181.44368465060569</v>
      </c>
      <c r="AB60">
        <v>1.2096245643373719E-2</v>
      </c>
      <c r="AC60">
        <v>1.8144368465060571E-2</v>
      </c>
      <c r="AD60">
        <v>6</v>
      </c>
    </row>
    <row r="61" spans="2:33" x14ac:dyDescent="0.3">
      <c r="B61" s="24">
        <v>11512</v>
      </c>
      <c r="C61" s="25">
        <v>34</v>
      </c>
      <c r="D61" s="25">
        <v>3</v>
      </c>
      <c r="E61" s="25">
        <v>5</v>
      </c>
      <c r="F61" s="25">
        <v>5</v>
      </c>
      <c r="G61" s="25">
        <v>44</v>
      </c>
      <c r="H61" s="25">
        <v>5.6</v>
      </c>
      <c r="I61" s="25">
        <v>0.74</v>
      </c>
      <c r="J61" s="25">
        <v>1.72</v>
      </c>
      <c r="K61" s="26">
        <v>0</v>
      </c>
      <c r="L61" s="25">
        <f t="shared" si="0"/>
        <v>-1.6287460099920947</v>
      </c>
      <c r="M61" s="25">
        <f t="shared" si="6"/>
        <v>0.16400221770605281</v>
      </c>
      <c r="N61" s="25">
        <f t="shared" si="1"/>
        <v>0.83599778229394717</v>
      </c>
      <c r="O61" s="25">
        <f t="shared" si="2"/>
        <v>-0.17912931865939041</v>
      </c>
      <c r="P61" s="25">
        <f t="shared" si="3"/>
        <v>0</v>
      </c>
      <c r="Q61" s="25">
        <f t="shared" si="7"/>
        <v>534.11867449771091</v>
      </c>
      <c r="R61" s="25">
        <f t="shared" si="4"/>
        <v>6</v>
      </c>
      <c r="S61" s="26">
        <f t="shared" si="5"/>
        <v>12</v>
      </c>
      <c r="X61">
        <v>222.2222222222222</v>
      </c>
      <c r="Y61">
        <v>181.44368465060569</v>
      </c>
      <c r="Z61">
        <v>272.16552697590862</v>
      </c>
      <c r="AB61">
        <v>1.8144368465060571E-2</v>
      </c>
      <c r="AC61">
        <v>2.7216552697590862E-2</v>
      </c>
      <c r="AD61">
        <v>7</v>
      </c>
    </row>
    <row r="62" spans="2:33" x14ac:dyDescent="0.3">
      <c r="B62" s="24">
        <v>11557</v>
      </c>
      <c r="C62" s="25">
        <v>33</v>
      </c>
      <c r="D62" s="25">
        <v>1</v>
      </c>
      <c r="E62" s="25">
        <v>11</v>
      </c>
      <c r="F62" s="25">
        <v>6</v>
      </c>
      <c r="G62" s="25">
        <v>52</v>
      </c>
      <c r="H62" s="25">
        <v>9.1</v>
      </c>
      <c r="I62" s="25">
        <v>0.95</v>
      </c>
      <c r="J62" s="25">
        <v>3.79</v>
      </c>
      <c r="K62" s="26">
        <v>1</v>
      </c>
      <c r="L62" s="25">
        <f t="shared" si="0"/>
        <v>-2.3883600314436584</v>
      </c>
      <c r="M62" s="25">
        <f t="shared" si="6"/>
        <v>8.406461969828094E-2</v>
      </c>
      <c r="N62" s="25">
        <f t="shared" si="1"/>
        <v>8.406461969828094E-2</v>
      </c>
      <c r="O62" s="25">
        <f t="shared" si="2"/>
        <v>-2.4761694937622583</v>
      </c>
      <c r="P62" s="25">
        <f t="shared" si="3"/>
        <v>0</v>
      </c>
      <c r="Q62" s="25">
        <f t="shared" si="7"/>
        <v>556.03650151127215</v>
      </c>
      <c r="R62" s="25">
        <f t="shared" si="4"/>
        <v>5</v>
      </c>
      <c r="S62" s="26">
        <f t="shared" si="5"/>
        <v>10</v>
      </c>
      <c r="X62">
        <v>333.33333333333331</v>
      </c>
      <c r="Y62">
        <v>272.16552697590862</v>
      </c>
      <c r="Z62">
        <v>408.24829046386299</v>
      </c>
      <c r="AB62">
        <v>2.7216552697590862E-2</v>
      </c>
      <c r="AC62">
        <v>4.0824829046386298E-2</v>
      </c>
      <c r="AD62">
        <v>8</v>
      </c>
    </row>
    <row r="63" spans="2:33" x14ac:dyDescent="0.3">
      <c r="B63" s="24">
        <v>11569</v>
      </c>
      <c r="C63" s="25">
        <v>26</v>
      </c>
      <c r="D63" s="25">
        <v>3</v>
      </c>
      <c r="E63" s="25">
        <v>2</v>
      </c>
      <c r="F63" s="25">
        <v>3</v>
      </c>
      <c r="G63" s="25">
        <v>21</v>
      </c>
      <c r="H63" s="25">
        <v>8.1999999999999993</v>
      </c>
      <c r="I63" s="25">
        <v>0.54</v>
      </c>
      <c r="J63" s="25">
        <v>1.18</v>
      </c>
      <c r="K63" s="26">
        <v>0</v>
      </c>
      <c r="L63" s="25">
        <f t="shared" si="0"/>
        <v>-0.5664484147228831</v>
      </c>
      <c r="M63" s="25">
        <f t="shared" si="6"/>
        <v>0.36205673783417175</v>
      </c>
      <c r="N63" s="25">
        <f t="shared" si="1"/>
        <v>0.63794326216582831</v>
      </c>
      <c r="O63" s="25">
        <f t="shared" si="2"/>
        <v>-0.44950593036648673</v>
      </c>
      <c r="P63" s="25">
        <f t="shared" si="3"/>
        <v>0</v>
      </c>
      <c r="Q63" s="25">
        <f t="shared" si="7"/>
        <v>503.46724591357258</v>
      </c>
      <c r="R63" s="25">
        <f t="shared" si="4"/>
        <v>7</v>
      </c>
      <c r="S63" s="26">
        <f t="shared" si="5"/>
        <v>14</v>
      </c>
      <c r="X63">
        <v>500</v>
      </c>
      <c r="Y63">
        <v>408.24829046386299</v>
      </c>
      <c r="Z63">
        <v>612.37243569579448</v>
      </c>
      <c r="AB63">
        <v>4.0824829046386298E-2</v>
      </c>
      <c r="AC63">
        <v>6.123724356957945E-2</v>
      </c>
      <c r="AD63">
        <v>9</v>
      </c>
    </row>
    <row r="64" spans="2:33" x14ac:dyDescent="0.3">
      <c r="B64" s="24">
        <v>11628</v>
      </c>
      <c r="C64" s="25">
        <v>25</v>
      </c>
      <c r="D64" s="25">
        <v>3</v>
      </c>
      <c r="E64" s="25">
        <v>2</v>
      </c>
      <c r="F64" s="25">
        <v>1</v>
      </c>
      <c r="G64" s="25">
        <v>26</v>
      </c>
      <c r="H64" s="25">
        <v>11.9</v>
      </c>
      <c r="I64" s="25">
        <v>1.24</v>
      </c>
      <c r="J64" s="25">
        <v>1.86</v>
      </c>
      <c r="K64" s="26">
        <v>1</v>
      </c>
      <c r="L64" s="25">
        <f t="shared" si="0"/>
        <v>0.23872837163475152</v>
      </c>
      <c r="M64" s="25">
        <f t="shared" si="6"/>
        <v>0.55940025269136973</v>
      </c>
      <c r="N64" s="25">
        <f t="shared" si="1"/>
        <v>0.55940025269136973</v>
      </c>
      <c r="O64" s="25">
        <f t="shared" si="2"/>
        <v>-0.58089004649580678</v>
      </c>
      <c r="P64" s="25">
        <f t="shared" si="3"/>
        <v>1</v>
      </c>
      <c r="Q64" s="25">
        <f t="shared" si="7"/>
        <v>480.23475543768802</v>
      </c>
      <c r="R64" s="25">
        <f t="shared" si="4"/>
        <v>7</v>
      </c>
      <c r="S64" s="26">
        <f t="shared" si="5"/>
        <v>15</v>
      </c>
      <c r="X64">
        <v>750</v>
      </c>
      <c r="Y64">
        <v>612.37243569579448</v>
      </c>
      <c r="Z64">
        <v>918.55865354369178</v>
      </c>
      <c r="AB64">
        <v>6.123724356957945E-2</v>
      </c>
      <c r="AC64">
        <v>9.1855865354369182E-2</v>
      </c>
      <c r="AD64">
        <v>10</v>
      </c>
    </row>
    <row r="65" spans="2:33" x14ac:dyDescent="0.3">
      <c r="B65" s="24">
        <v>11652</v>
      </c>
      <c r="C65" s="25">
        <v>19</v>
      </c>
      <c r="D65" s="25">
        <v>2</v>
      </c>
      <c r="E65" s="25">
        <v>0</v>
      </c>
      <c r="F65" s="25">
        <v>0</v>
      </c>
      <c r="G65" s="25">
        <v>43</v>
      </c>
      <c r="H65" s="25">
        <v>21.2</v>
      </c>
      <c r="I65" s="25">
        <v>3.43</v>
      </c>
      <c r="J65" s="25">
        <v>5.69</v>
      </c>
      <c r="K65" s="26">
        <v>1</v>
      </c>
      <c r="L65" s="25">
        <f t="shared" si="0"/>
        <v>2.9708348170992585</v>
      </c>
      <c r="M65" s="25">
        <f t="shared" si="6"/>
        <v>0.95123901320713011</v>
      </c>
      <c r="N65" s="25">
        <f t="shared" si="1"/>
        <v>0.95123901320713011</v>
      </c>
      <c r="O65" s="25">
        <f t="shared" si="2"/>
        <v>-4.9989919720899299E-2</v>
      </c>
      <c r="P65" s="25">
        <f t="shared" si="3"/>
        <v>1</v>
      </c>
      <c r="Q65" s="25">
        <f t="shared" si="7"/>
        <v>401.4028292708997</v>
      </c>
      <c r="R65" s="25">
        <f t="shared" si="4"/>
        <v>8</v>
      </c>
      <c r="S65" s="26">
        <f t="shared" si="5"/>
        <v>17</v>
      </c>
      <c r="X65">
        <v>1125</v>
      </c>
      <c r="Y65">
        <v>918.55865354369178</v>
      </c>
      <c r="Z65">
        <v>1377.8379803155381</v>
      </c>
      <c r="AB65">
        <v>9.1855865354369182E-2</v>
      </c>
      <c r="AC65">
        <v>0.1377837980315538</v>
      </c>
      <c r="AD65">
        <v>11</v>
      </c>
    </row>
    <row r="66" spans="2:33" x14ac:dyDescent="0.3">
      <c r="B66" s="24">
        <v>11661</v>
      </c>
      <c r="C66" s="25">
        <v>41</v>
      </c>
      <c r="D66" s="25">
        <v>5</v>
      </c>
      <c r="E66" s="25">
        <v>7</v>
      </c>
      <c r="F66" s="25">
        <v>12</v>
      </c>
      <c r="G66" s="25">
        <v>47</v>
      </c>
      <c r="H66" s="25">
        <v>5.2</v>
      </c>
      <c r="I66" s="25">
        <v>1.64</v>
      </c>
      <c r="J66" s="25">
        <v>0.81</v>
      </c>
      <c r="K66" s="26">
        <v>0</v>
      </c>
      <c r="L66" s="25">
        <f t="shared" si="0"/>
        <v>-2.2030251103364895</v>
      </c>
      <c r="M66" s="25">
        <f t="shared" si="6"/>
        <v>9.9479161945654718E-2</v>
      </c>
      <c r="N66" s="25">
        <f t="shared" si="1"/>
        <v>0.90052083805434524</v>
      </c>
      <c r="O66" s="25">
        <f t="shared" si="2"/>
        <v>-0.10478197409600183</v>
      </c>
      <c r="P66" s="25">
        <f t="shared" si="3"/>
        <v>0</v>
      </c>
      <c r="Q66" s="25">
        <f t="shared" si="7"/>
        <v>550.68886623113804</v>
      </c>
      <c r="R66" s="25">
        <f t="shared" si="4"/>
        <v>6</v>
      </c>
      <c r="S66" s="26">
        <f t="shared" si="5"/>
        <v>11</v>
      </c>
      <c r="X66">
        <v>1687.5</v>
      </c>
      <c r="Y66">
        <v>1377.8379803155381</v>
      </c>
      <c r="Z66">
        <v>2066.756970473306</v>
      </c>
      <c r="AB66">
        <v>0.1377837980315538</v>
      </c>
      <c r="AC66">
        <v>0.2066756970473306</v>
      </c>
      <c r="AD66">
        <v>12</v>
      </c>
    </row>
    <row r="67" spans="2:33" x14ac:dyDescent="0.3">
      <c r="B67" s="24">
        <v>11690</v>
      </c>
      <c r="C67" s="25">
        <v>36</v>
      </c>
      <c r="D67" s="25">
        <v>2</v>
      </c>
      <c r="E67" s="25">
        <v>2</v>
      </c>
      <c r="F67" s="25">
        <v>9</v>
      </c>
      <c r="G67" s="25">
        <v>27</v>
      </c>
      <c r="H67" s="25">
        <v>9.3000000000000007</v>
      </c>
      <c r="I67" s="25">
        <v>0.74</v>
      </c>
      <c r="J67" s="25">
        <v>1.78</v>
      </c>
      <c r="K67" s="26">
        <v>1</v>
      </c>
      <c r="L67" s="25">
        <f t="shared" si="0"/>
        <v>-0.70374545385036003</v>
      </c>
      <c r="M67" s="25">
        <f t="shared" si="6"/>
        <v>0.33098233624857748</v>
      </c>
      <c r="N67" s="25">
        <f t="shared" si="1"/>
        <v>0.33098233624857748</v>
      </c>
      <c r="O67" s="25">
        <f t="shared" si="2"/>
        <v>-1.1056902698369493</v>
      </c>
      <c r="P67" s="25">
        <f t="shared" si="3"/>
        <v>0</v>
      </c>
      <c r="Q67" s="25">
        <f t="shared" si="7"/>
        <v>507.42880095085292</v>
      </c>
      <c r="R67" s="25">
        <f t="shared" si="4"/>
        <v>7</v>
      </c>
      <c r="S67" s="26">
        <f t="shared" si="5"/>
        <v>14</v>
      </c>
      <c r="X67">
        <v>2531.25</v>
      </c>
      <c r="Y67">
        <v>2066.756970473306</v>
      </c>
      <c r="Z67">
        <v>3100.1354557099598</v>
      </c>
      <c r="AB67">
        <v>0.2066756970473306</v>
      </c>
      <c r="AC67">
        <v>0.31001354557099597</v>
      </c>
      <c r="AD67">
        <v>13</v>
      </c>
    </row>
    <row r="68" spans="2:33" x14ac:dyDescent="0.3">
      <c r="B68" s="24">
        <v>11703</v>
      </c>
      <c r="C68" s="25">
        <v>20</v>
      </c>
      <c r="D68" s="25">
        <v>2</v>
      </c>
      <c r="E68" s="25">
        <v>0</v>
      </c>
      <c r="F68" s="25">
        <v>0</v>
      </c>
      <c r="G68" s="25">
        <v>21</v>
      </c>
      <c r="H68" s="25">
        <v>10.199999999999999</v>
      </c>
      <c r="I68" s="25">
        <v>0.55000000000000004</v>
      </c>
      <c r="J68" s="25">
        <v>1.59</v>
      </c>
      <c r="K68" s="26">
        <v>0</v>
      </c>
      <c r="L68" s="25">
        <f t="shared" si="0"/>
        <v>0.38108173031388343</v>
      </c>
      <c r="M68" s="25">
        <f t="shared" si="6"/>
        <v>0.59413397661664513</v>
      </c>
      <c r="N68" s="25">
        <f t="shared" si="1"/>
        <v>0.40586602338335487</v>
      </c>
      <c r="O68" s="25">
        <f t="shared" si="2"/>
        <v>-0.90173216550624913</v>
      </c>
      <c r="P68" s="25">
        <f t="shared" si="3"/>
        <v>1</v>
      </c>
      <c r="Q68" s="25">
        <f t="shared" si="7"/>
        <v>476.12730586169624</v>
      </c>
      <c r="R68" s="25">
        <f t="shared" si="4"/>
        <v>7</v>
      </c>
      <c r="S68" s="26">
        <f t="shared" si="5"/>
        <v>15</v>
      </c>
      <c r="X68">
        <v>3796.875</v>
      </c>
      <c r="Y68">
        <v>3100.1354557099598</v>
      </c>
      <c r="Z68">
        <v>4650.2031835649404</v>
      </c>
      <c r="AB68">
        <v>0.31001354557099597</v>
      </c>
      <c r="AC68">
        <v>0.46502031835649388</v>
      </c>
      <c r="AD68">
        <v>14</v>
      </c>
    </row>
    <row r="69" spans="2:33" x14ac:dyDescent="0.3">
      <c r="B69" s="24">
        <v>11712</v>
      </c>
      <c r="C69" s="25">
        <v>35</v>
      </c>
      <c r="D69" s="25">
        <v>2</v>
      </c>
      <c r="E69" s="25">
        <v>6</v>
      </c>
      <c r="F69" s="25">
        <v>5</v>
      </c>
      <c r="G69" s="25">
        <v>26</v>
      </c>
      <c r="H69" s="25">
        <v>2.5</v>
      </c>
      <c r="I69" s="25">
        <v>0.45</v>
      </c>
      <c r="J69" s="25">
        <v>0.2</v>
      </c>
      <c r="K69" s="26">
        <v>0</v>
      </c>
      <c r="L69" s="25">
        <f t="shared" ref="L69:L132" si="8">$Y$4+SUMPRODUCT($Z$4:$AG$4,C69:J69)</f>
        <v>-2.3115775920654618</v>
      </c>
      <c r="M69" s="25">
        <f t="shared" si="6"/>
        <v>9.0168638097871651E-2</v>
      </c>
      <c r="N69" s="25">
        <f t="shared" ref="N69:N132" si="9">IF(K69=1,M69,(1-M69))</f>
        <v>0.90983136190212832</v>
      </c>
      <c r="O69" s="25">
        <f t="shared" ref="O69:O132" si="10">LN(N69)</f>
        <v>-9.4496013235550264E-2</v>
      </c>
      <c r="P69" s="25">
        <f t="shared" ref="P69:P132" si="11">IF(M69&gt;0.4,1,0)</f>
        <v>0</v>
      </c>
      <c r="Q69" s="25">
        <f t="shared" si="7"/>
        <v>553.82102868369759</v>
      </c>
      <c r="R69" s="25">
        <f t="shared" ref="R69:R132" si="12">VLOOKUP(M69,$U$9:$W$16,3,TRUE)</f>
        <v>6</v>
      </c>
      <c r="S69" s="26">
        <f t="shared" ref="S69:S132" si="13">VLOOKUP(M69,$U$21:$W$37,3,TRUE)</f>
        <v>10</v>
      </c>
      <c r="X69">
        <v>5695.3125</v>
      </c>
      <c r="Y69">
        <v>4650.2031835649404</v>
      </c>
      <c r="Z69">
        <v>6975.3047753474093</v>
      </c>
      <c r="AB69">
        <v>0.46502031835649388</v>
      </c>
      <c r="AC69">
        <v>0.69753047753474096</v>
      </c>
      <c r="AD69">
        <v>15</v>
      </c>
    </row>
    <row r="70" spans="2:33" x14ac:dyDescent="0.3">
      <c r="B70" s="24">
        <v>11755</v>
      </c>
      <c r="C70" s="25">
        <v>33</v>
      </c>
      <c r="D70" s="25">
        <v>4</v>
      </c>
      <c r="E70" s="25">
        <v>3</v>
      </c>
      <c r="F70" s="25">
        <v>4</v>
      </c>
      <c r="G70" s="25">
        <v>34</v>
      </c>
      <c r="H70" s="25">
        <v>1.2</v>
      </c>
      <c r="I70" s="25">
        <v>0.23</v>
      </c>
      <c r="J70" s="25">
        <v>0.18</v>
      </c>
      <c r="K70" s="26">
        <v>0</v>
      </c>
      <c r="L70" s="25">
        <f t="shared" si="8"/>
        <v>-1.8963806197333331</v>
      </c>
      <c r="M70" s="25">
        <f t="shared" ref="M70:M133" si="14">EXP(L70)/(1+EXP(L70))</f>
        <v>0.13051866546702007</v>
      </c>
      <c r="N70" s="25">
        <f t="shared" si="9"/>
        <v>0.86948133453297993</v>
      </c>
      <c r="O70" s="25">
        <f t="shared" si="10"/>
        <v>-0.13985841231530682</v>
      </c>
      <c r="P70" s="25">
        <f t="shared" si="11"/>
        <v>0</v>
      </c>
      <c r="Q70" s="25">
        <f t="shared" si="7"/>
        <v>541.84097676372357</v>
      </c>
      <c r="R70" s="25">
        <f t="shared" si="12"/>
        <v>6</v>
      </c>
      <c r="S70" s="26">
        <f t="shared" si="13"/>
        <v>11</v>
      </c>
      <c r="X70">
        <v>8542.96875</v>
      </c>
      <c r="Y70">
        <v>6975.3047753474093</v>
      </c>
      <c r="Z70">
        <v>9242.8181578996773</v>
      </c>
      <c r="AB70">
        <v>0.69753047753474096</v>
      </c>
      <c r="AC70">
        <v>0.92428181578996771</v>
      </c>
      <c r="AD70">
        <v>16</v>
      </c>
    </row>
    <row r="71" spans="2:33" x14ac:dyDescent="0.3">
      <c r="B71" s="24">
        <v>11783</v>
      </c>
      <c r="C71" s="25">
        <v>38</v>
      </c>
      <c r="D71" s="25">
        <v>4</v>
      </c>
      <c r="E71" s="25">
        <v>0</v>
      </c>
      <c r="F71" s="25">
        <v>12</v>
      </c>
      <c r="G71" s="25">
        <v>37</v>
      </c>
      <c r="H71" s="25">
        <v>2</v>
      </c>
      <c r="I71" s="25">
        <v>0.1</v>
      </c>
      <c r="J71" s="25">
        <v>0.64</v>
      </c>
      <c r="K71" s="26">
        <v>0</v>
      </c>
      <c r="L71" s="25">
        <f t="shared" si="8"/>
        <v>-1.5559298665536381</v>
      </c>
      <c r="M71" s="25">
        <f t="shared" si="14"/>
        <v>0.17423146066954148</v>
      </c>
      <c r="N71" s="25">
        <f t="shared" si="9"/>
        <v>0.82576853933045857</v>
      </c>
      <c r="O71" s="25">
        <f t="shared" si="10"/>
        <v>-0.19144076345802125</v>
      </c>
      <c r="P71" s="25">
        <f t="shared" si="11"/>
        <v>0</v>
      </c>
      <c r="Q71" s="25">
        <f t="shared" si="7"/>
        <v>532.01764477655206</v>
      </c>
      <c r="R71" s="25">
        <f t="shared" si="12"/>
        <v>6</v>
      </c>
      <c r="S71" s="26">
        <f t="shared" si="13"/>
        <v>12</v>
      </c>
      <c r="X71">
        <v>10000</v>
      </c>
      <c r="Y71">
        <v>9242.8181578996773</v>
      </c>
      <c r="Z71">
        <v>10000</v>
      </c>
      <c r="AB71">
        <v>0.92428181578996771</v>
      </c>
      <c r="AC71">
        <v>1</v>
      </c>
      <c r="AD71">
        <v>17</v>
      </c>
    </row>
    <row r="72" spans="2:33" x14ac:dyDescent="0.3">
      <c r="B72" s="24">
        <v>11809</v>
      </c>
      <c r="C72" s="25">
        <v>40</v>
      </c>
      <c r="D72" s="25">
        <v>2</v>
      </c>
      <c r="E72" s="25">
        <v>6</v>
      </c>
      <c r="F72" s="25">
        <v>6</v>
      </c>
      <c r="G72" s="25">
        <v>36</v>
      </c>
      <c r="H72" s="25">
        <v>6.6</v>
      </c>
      <c r="I72" s="25">
        <v>1.58</v>
      </c>
      <c r="J72" s="25">
        <v>0.8</v>
      </c>
      <c r="K72" s="26">
        <v>1</v>
      </c>
      <c r="L72" s="25">
        <f t="shared" si="8"/>
        <v>-1.4910844532773528</v>
      </c>
      <c r="M72" s="25">
        <f t="shared" si="14"/>
        <v>0.18375901270931436</v>
      </c>
      <c r="N72" s="25">
        <f t="shared" si="9"/>
        <v>0.18375901270931436</v>
      </c>
      <c r="O72" s="25">
        <f t="shared" si="10"/>
        <v>-1.6941300933338685</v>
      </c>
      <c r="P72" s="25">
        <f t="shared" si="11"/>
        <v>0</v>
      </c>
      <c r="Q72" s="25">
        <f t="shared" si="7"/>
        <v>530.14660170641946</v>
      </c>
      <c r="R72" s="25">
        <f t="shared" si="12"/>
        <v>6</v>
      </c>
      <c r="S72" s="26">
        <f t="shared" si="13"/>
        <v>12</v>
      </c>
    </row>
    <row r="73" spans="2:33" x14ac:dyDescent="0.3">
      <c r="B73" s="24">
        <v>11852</v>
      </c>
      <c r="C73" s="25">
        <v>39</v>
      </c>
      <c r="D73" s="25">
        <v>2</v>
      </c>
      <c r="E73" s="25">
        <v>7</v>
      </c>
      <c r="F73" s="25">
        <v>6</v>
      </c>
      <c r="G73" s="25">
        <v>82</v>
      </c>
      <c r="H73" s="25">
        <v>17.399999999999999</v>
      </c>
      <c r="I73" s="25">
        <v>3.71</v>
      </c>
      <c r="J73" s="25">
        <v>10.56</v>
      </c>
      <c r="K73" s="26">
        <v>0</v>
      </c>
      <c r="L73" s="25">
        <f t="shared" si="8"/>
        <v>0.64481890086577431</v>
      </c>
      <c r="M73" s="25">
        <f t="shared" si="14"/>
        <v>0.65584196588164967</v>
      </c>
      <c r="N73" s="25">
        <f t="shared" si="9"/>
        <v>0.34415803411835033</v>
      </c>
      <c r="O73" s="25">
        <f t="shared" si="10"/>
        <v>-1.0666543255944709</v>
      </c>
      <c r="P73" s="25">
        <f t="shared" si="11"/>
        <v>1</v>
      </c>
      <c r="Q73" s="25">
        <f t="shared" ref="Q73:Q136" si="15">28.8539*LN((1-M73)/(M73))+487.123</f>
        <v>468.51745991630901</v>
      </c>
      <c r="R73" s="25">
        <f t="shared" si="12"/>
        <v>7</v>
      </c>
      <c r="S73" s="26">
        <f t="shared" si="13"/>
        <v>15</v>
      </c>
      <c r="Z73">
        <v>0</v>
      </c>
      <c r="AC73">
        <v>0</v>
      </c>
      <c r="AD73">
        <v>0</v>
      </c>
    </row>
    <row r="74" spans="2:33" x14ac:dyDescent="0.3">
      <c r="B74" s="24">
        <v>11859</v>
      </c>
      <c r="C74" s="25">
        <v>18</v>
      </c>
      <c r="D74" s="25">
        <v>2</v>
      </c>
      <c r="E74" s="25">
        <v>0</v>
      </c>
      <c r="F74" s="25">
        <v>0</v>
      </c>
      <c r="G74" s="25">
        <v>12</v>
      </c>
      <c r="H74" s="25">
        <v>8.1999999999999993</v>
      </c>
      <c r="I74" s="25">
        <v>0.15</v>
      </c>
      <c r="J74" s="25">
        <v>0.83</v>
      </c>
      <c r="K74" s="26">
        <v>1</v>
      </c>
      <c r="L74" s="25">
        <f t="shared" si="8"/>
        <v>1.4443484079698421E-2</v>
      </c>
      <c r="M74" s="25">
        <f t="shared" si="14"/>
        <v>0.50361080824797688</v>
      </c>
      <c r="N74" s="25">
        <f t="shared" si="9"/>
        <v>0.50361080824797688</v>
      </c>
      <c r="O74" s="25">
        <f t="shared" si="10"/>
        <v>-0.68595151507247831</v>
      </c>
      <c r="P74" s="25">
        <f t="shared" si="11"/>
        <v>1</v>
      </c>
      <c r="Q74" s="25">
        <f t="shared" si="15"/>
        <v>486.70624915471279</v>
      </c>
      <c r="R74" s="25">
        <f t="shared" si="12"/>
        <v>7</v>
      </c>
      <c r="S74" s="26">
        <f t="shared" si="13"/>
        <v>15</v>
      </c>
      <c r="V74">
        <v>17</v>
      </c>
      <c r="Y74">
        <v>55</v>
      </c>
      <c r="Z74">
        <v>3.6666666666666667E-2</v>
      </c>
      <c r="AA74">
        <v>52</v>
      </c>
      <c r="AB74">
        <v>548</v>
      </c>
      <c r="AC74">
        <v>9.4890510948905105E-2</v>
      </c>
      <c r="AD74">
        <v>3.6666666666666667E-2</v>
      </c>
      <c r="AE74">
        <v>3.6666666666666667E-2</v>
      </c>
      <c r="AF74">
        <v>0.97709974629128771</v>
      </c>
      <c r="AG74">
        <v>0.94545454545454544</v>
      </c>
    </row>
    <row r="75" spans="2:33" x14ac:dyDescent="0.3">
      <c r="B75" s="24">
        <v>11860</v>
      </c>
      <c r="C75" s="25">
        <v>66</v>
      </c>
      <c r="D75" s="25">
        <v>1</v>
      </c>
      <c r="E75" s="25">
        <v>40</v>
      </c>
      <c r="F75" s="25">
        <v>17</v>
      </c>
      <c r="G75" s="25">
        <v>149</v>
      </c>
      <c r="H75" s="25">
        <v>13.1</v>
      </c>
      <c r="I75" s="25">
        <v>7.79</v>
      </c>
      <c r="J75" s="25">
        <v>11.73</v>
      </c>
      <c r="K75" s="26">
        <v>0</v>
      </c>
      <c r="L75" s="25">
        <f t="shared" si="8"/>
        <v>-6.1606645979388972</v>
      </c>
      <c r="M75" s="25">
        <f t="shared" si="14"/>
        <v>2.1064036369511457E-3</v>
      </c>
      <c r="N75" s="25">
        <f t="shared" si="9"/>
        <v>0.99789359636304886</v>
      </c>
      <c r="O75" s="25">
        <f t="shared" si="10"/>
        <v>-2.108625225348167E-3</v>
      </c>
      <c r="P75" s="25">
        <f t="shared" si="11"/>
        <v>0</v>
      </c>
      <c r="Q75" s="25">
        <f t="shared" si="15"/>
        <v>664.88220024246914</v>
      </c>
      <c r="R75" s="25">
        <f t="shared" si="12"/>
        <v>2</v>
      </c>
      <c r="S75" s="26">
        <f t="shared" si="13"/>
        <v>1</v>
      </c>
      <c r="V75">
        <v>16</v>
      </c>
      <c r="Y75">
        <v>233</v>
      </c>
      <c r="Z75">
        <v>0.1553333333333333</v>
      </c>
      <c r="AA75">
        <v>202</v>
      </c>
      <c r="AB75">
        <v>548</v>
      </c>
      <c r="AC75">
        <v>0.36861313868613138</v>
      </c>
      <c r="AD75">
        <v>0.1553333333333333</v>
      </c>
      <c r="AE75">
        <v>0.1186666666666667</v>
      </c>
      <c r="AF75">
        <v>0.80752742593697113</v>
      </c>
      <c r="AG75">
        <v>0.84269662921348309</v>
      </c>
    </row>
    <row r="76" spans="2:33" x14ac:dyDescent="0.3">
      <c r="B76" s="24">
        <v>11897</v>
      </c>
      <c r="C76" s="25">
        <v>43</v>
      </c>
      <c r="D76" s="25">
        <v>2</v>
      </c>
      <c r="E76" s="25">
        <v>6</v>
      </c>
      <c r="F76" s="25">
        <v>6</v>
      </c>
      <c r="G76" s="25">
        <v>40</v>
      </c>
      <c r="H76" s="25">
        <v>6.6</v>
      </c>
      <c r="I76" s="25">
        <v>0.5</v>
      </c>
      <c r="J76" s="25">
        <v>2.14</v>
      </c>
      <c r="K76" s="26">
        <v>0</v>
      </c>
      <c r="L76" s="25">
        <f t="shared" si="8"/>
        <v>-2.0329344372479219</v>
      </c>
      <c r="M76" s="25">
        <f t="shared" si="14"/>
        <v>0.11578815181247949</v>
      </c>
      <c r="N76" s="25">
        <f t="shared" si="9"/>
        <v>0.88421184818752052</v>
      </c>
      <c r="O76" s="25">
        <f t="shared" si="10"/>
        <v>-0.12305859778436315</v>
      </c>
      <c r="P76" s="25">
        <f t="shared" si="11"/>
        <v>0</v>
      </c>
      <c r="Q76" s="25">
        <f t="shared" si="15"/>
        <v>545.78108695890785</v>
      </c>
      <c r="R76" s="25">
        <f t="shared" si="12"/>
        <v>6</v>
      </c>
      <c r="S76" s="26">
        <f t="shared" si="13"/>
        <v>11</v>
      </c>
      <c r="V76">
        <v>15</v>
      </c>
      <c r="Y76">
        <v>513</v>
      </c>
      <c r="Z76">
        <v>0.34200000000000003</v>
      </c>
      <c r="AA76">
        <v>350</v>
      </c>
      <c r="AB76">
        <v>548</v>
      </c>
      <c r="AC76">
        <v>0.63868613138686137</v>
      </c>
      <c r="AD76">
        <v>0.34200000000000003</v>
      </c>
      <c r="AE76">
        <v>0.1866666666666667</v>
      </c>
      <c r="AF76">
        <v>0.56785297453497263</v>
      </c>
      <c r="AG76">
        <v>0.52857142857142858</v>
      </c>
    </row>
    <row r="77" spans="2:33" x14ac:dyDescent="0.3">
      <c r="B77" s="24">
        <v>11916</v>
      </c>
      <c r="C77" s="25">
        <v>39</v>
      </c>
      <c r="D77" s="25">
        <v>4</v>
      </c>
      <c r="E77" s="25">
        <v>14</v>
      </c>
      <c r="F77" s="25">
        <v>8</v>
      </c>
      <c r="G77" s="25">
        <v>46</v>
      </c>
      <c r="H77" s="25">
        <v>6.5</v>
      </c>
      <c r="I77" s="25">
        <v>0.5</v>
      </c>
      <c r="J77" s="25">
        <v>2.4900000000000002</v>
      </c>
      <c r="K77" s="26">
        <v>0</v>
      </c>
      <c r="L77" s="25">
        <f t="shared" si="8"/>
        <v>-3.9283147423158842</v>
      </c>
      <c r="M77" s="25">
        <f t="shared" si="14"/>
        <v>1.9297099840957399E-2</v>
      </c>
      <c r="N77" s="25">
        <f t="shared" si="9"/>
        <v>0.9807029001590426</v>
      </c>
      <c r="O77" s="25">
        <f t="shared" si="10"/>
        <v>-1.9485719354582948E-2</v>
      </c>
      <c r="P77" s="25">
        <f t="shared" si="11"/>
        <v>0</v>
      </c>
      <c r="Q77" s="25">
        <f t="shared" si="15"/>
        <v>600.47020074330828</v>
      </c>
      <c r="R77" s="25">
        <f t="shared" si="12"/>
        <v>4</v>
      </c>
      <c r="S77" s="26">
        <f t="shared" si="13"/>
        <v>7</v>
      </c>
      <c r="V77">
        <v>14</v>
      </c>
      <c r="Y77">
        <v>785</v>
      </c>
      <c r="Z77">
        <v>0.52333333333333332</v>
      </c>
      <c r="AA77">
        <v>462</v>
      </c>
      <c r="AB77">
        <v>548</v>
      </c>
      <c r="AC77">
        <v>0.84306569343065696</v>
      </c>
      <c r="AD77">
        <v>0.52333333333333332</v>
      </c>
      <c r="AE77">
        <v>0.18133333333333329</v>
      </c>
      <c r="AF77">
        <v>0.3837700907992912</v>
      </c>
      <c r="AG77">
        <v>0.41176470588235292</v>
      </c>
    </row>
    <row r="78" spans="2:33" x14ac:dyDescent="0.3">
      <c r="B78" s="24">
        <v>11941</v>
      </c>
      <c r="C78" s="25">
        <v>27</v>
      </c>
      <c r="D78" s="25">
        <v>3</v>
      </c>
      <c r="E78" s="25">
        <v>5</v>
      </c>
      <c r="F78" s="25">
        <v>4</v>
      </c>
      <c r="G78" s="25">
        <v>27</v>
      </c>
      <c r="H78" s="25">
        <v>10.5</v>
      </c>
      <c r="I78" s="25">
        <v>0.99</v>
      </c>
      <c r="J78" s="25">
        <v>1.84</v>
      </c>
      <c r="K78" s="26">
        <v>0</v>
      </c>
      <c r="L78" s="25">
        <f t="shared" si="8"/>
        <v>-0.83912111488602847</v>
      </c>
      <c r="M78" s="25">
        <f t="shared" si="14"/>
        <v>0.30171991964159628</v>
      </c>
      <c r="N78" s="25">
        <f t="shared" si="9"/>
        <v>0.69828008035840372</v>
      </c>
      <c r="O78" s="25">
        <f t="shared" si="10"/>
        <v>-0.35913499544507599</v>
      </c>
      <c r="P78" s="25">
        <f t="shared" si="11"/>
        <v>0</v>
      </c>
      <c r="Q78" s="25">
        <f t="shared" si="15"/>
        <v>511.33491673680999</v>
      </c>
      <c r="R78" s="25">
        <f t="shared" si="12"/>
        <v>7</v>
      </c>
      <c r="S78" s="26">
        <f t="shared" si="13"/>
        <v>13</v>
      </c>
      <c r="V78">
        <v>13</v>
      </c>
      <c r="Y78">
        <v>961</v>
      </c>
      <c r="Z78">
        <v>0.64066666666666672</v>
      </c>
      <c r="AA78">
        <v>504</v>
      </c>
      <c r="AB78">
        <v>548</v>
      </c>
      <c r="AC78">
        <v>0.91970802919708028</v>
      </c>
      <c r="AD78">
        <v>0.64066666666666672</v>
      </c>
      <c r="AE78">
        <v>0.1173333333333333</v>
      </c>
      <c r="AF78">
        <v>0.25565098831146432</v>
      </c>
      <c r="AG78">
        <v>0.23863636363636359</v>
      </c>
    </row>
    <row r="79" spans="2:33" x14ac:dyDescent="0.3">
      <c r="B79" s="24">
        <v>11964</v>
      </c>
      <c r="C79" s="25">
        <v>47</v>
      </c>
      <c r="D79" s="25">
        <v>3</v>
      </c>
      <c r="E79" s="25">
        <v>17</v>
      </c>
      <c r="F79" s="25">
        <v>13</v>
      </c>
      <c r="G79" s="25">
        <v>111</v>
      </c>
      <c r="H79" s="25">
        <v>8.8000000000000007</v>
      </c>
      <c r="I79" s="25">
        <v>5.73</v>
      </c>
      <c r="J79" s="25">
        <v>4.03</v>
      </c>
      <c r="K79" s="26">
        <v>0</v>
      </c>
      <c r="L79" s="25">
        <f t="shared" si="8"/>
        <v>-2.1294870164741364</v>
      </c>
      <c r="M79" s="25">
        <f t="shared" si="14"/>
        <v>0.10626370076703623</v>
      </c>
      <c r="N79" s="25">
        <f t="shared" si="9"/>
        <v>0.89373629923296383</v>
      </c>
      <c r="O79" s="25">
        <f t="shared" si="10"/>
        <v>-0.11234451462096905</v>
      </c>
      <c r="P79" s="25">
        <f t="shared" si="11"/>
        <v>0</v>
      </c>
      <c r="Q79" s="25">
        <f t="shared" si="15"/>
        <v>548.56700542464307</v>
      </c>
      <c r="R79" s="25">
        <f t="shared" si="12"/>
        <v>6</v>
      </c>
      <c r="S79" s="26">
        <f t="shared" si="13"/>
        <v>11</v>
      </c>
      <c r="V79">
        <v>12</v>
      </c>
      <c r="Y79">
        <v>1094</v>
      </c>
      <c r="Z79">
        <v>0.72933333333333328</v>
      </c>
      <c r="AA79">
        <v>532</v>
      </c>
      <c r="AB79">
        <v>548</v>
      </c>
      <c r="AC79">
        <v>0.97080291970802923</v>
      </c>
      <c r="AD79">
        <v>0.72933333333333328</v>
      </c>
      <c r="AE79">
        <v>8.8666666666666671E-2</v>
      </c>
      <c r="AF79">
        <v>0.17281650706182591</v>
      </c>
      <c r="AG79">
        <v>0.2105263157894737</v>
      </c>
    </row>
    <row r="80" spans="2:33" x14ac:dyDescent="0.3">
      <c r="B80" s="24">
        <v>11973</v>
      </c>
      <c r="C80" s="25">
        <v>25</v>
      </c>
      <c r="D80" s="25">
        <v>1</v>
      </c>
      <c r="E80" s="25">
        <v>9</v>
      </c>
      <c r="F80" s="25">
        <v>3</v>
      </c>
      <c r="G80" s="25">
        <v>25</v>
      </c>
      <c r="H80" s="25">
        <v>23.5</v>
      </c>
      <c r="I80" s="25">
        <v>0.34</v>
      </c>
      <c r="J80" s="25">
        <v>5.53</v>
      </c>
      <c r="K80" s="26">
        <v>1</v>
      </c>
      <c r="L80" s="25">
        <f t="shared" si="8"/>
        <v>-0.48195089759477738</v>
      </c>
      <c r="M80" s="25">
        <f t="shared" si="14"/>
        <v>0.38179155511824125</v>
      </c>
      <c r="N80" s="25">
        <f t="shared" si="9"/>
        <v>0.38179155511824125</v>
      </c>
      <c r="O80" s="25">
        <f t="shared" si="10"/>
        <v>-0.9628804865358398</v>
      </c>
      <c r="P80" s="25">
        <f t="shared" si="11"/>
        <v>0</v>
      </c>
      <c r="Q80" s="25">
        <f t="shared" si="15"/>
        <v>501.02916300410993</v>
      </c>
      <c r="R80" s="25">
        <f t="shared" si="12"/>
        <v>7</v>
      </c>
      <c r="S80" s="26">
        <f t="shared" si="13"/>
        <v>14</v>
      </c>
      <c r="V80">
        <v>11</v>
      </c>
      <c r="Y80">
        <v>1180</v>
      </c>
      <c r="Z80">
        <v>0.78666666666666663</v>
      </c>
      <c r="AA80">
        <v>539</v>
      </c>
      <c r="AB80">
        <v>548</v>
      </c>
      <c r="AC80">
        <v>0.98357664233576647</v>
      </c>
      <c r="AD80">
        <v>0.78666666666666663</v>
      </c>
      <c r="AE80">
        <v>5.7333333333333333E-2</v>
      </c>
      <c r="AF80">
        <v>0.1163865826703354</v>
      </c>
      <c r="AG80">
        <v>8.1395348837209308E-2</v>
      </c>
    </row>
    <row r="81" spans="2:33" x14ac:dyDescent="0.3">
      <c r="B81" s="24">
        <v>11995</v>
      </c>
      <c r="C81" s="25">
        <v>57</v>
      </c>
      <c r="D81" s="25">
        <v>3</v>
      </c>
      <c r="E81" s="25">
        <v>7</v>
      </c>
      <c r="F81" s="25">
        <v>14</v>
      </c>
      <c r="G81" s="25">
        <v>43</v>
      </c>
      <c r="H81" s="25">
        <v>20.8</v>
      </c>
      <c r="I81" s="25">
        <v>2.5</v>
      </c>
      <c r="J81" s="25">
        <v>6.45</v>
      </c>
      <c r="K81" s="26">
        <v>1</v>
      </c>
      <c r="L81" s="25">
        <f t="shared" si="8"/>
        <v>-0.40446084084740019</v>
      </c>
      <c r="M81" s="25">
        <f t="shared" si="14"/>
        <v>0.40024104833001889</v>
      </c>
      <c r="N81" s="25">
        <f t="shared" si="9"/>
        <v>0.40024104833001889</v>
      </c>
      <c r="O81" s="25">
        <f t="shared" si="10"/>
        <v>-0.91568829255212258</v>
      </c>
      <c r="P81" s="25">
        <f t="shared" si="11"/>
        <v>1</v>
      </c>
      <c r="Q81" s="25">
        <f t="shared" si="15"/>
        <v>498.79327265572681</v>
      </c>
      <c r="R81" s="25">
        <f t="shared" si="12"/>
        <v>7</v>
      </c>
      <c r="S81" s="26">
        <f t="shared" si="13"/>
        <v>14</v>
      </c>
      <c r="V81">
        <v>10</v>
      </c>
      <c r="Y81">
        <v>1236</v>
      </c>
      <c r="Z81">
        <v>0.82399999999999995</v>
      </c>
      <c r="AA81">
        <v>544</v>
      </c>
      <c r="AB81">
        <v>548</v>
      </c>
      <c r="AC81">
        <v>0.99270072992700731</v>
      </c>
      <c r="AD81">
        <v>0.82399999999999995</v>
      </c>
      <c r="AE81">
        <v>3.7333333333333343E-2</v>
      </c>
      <c r="AF81">
        <v>7.6149526856091249E-2</v>
      </c>
      <c r="AG81">
        <v>8.9285714285714288E-2</v>
      </c>
    </row>
    <row r="82" spans="2:33" x14ac:dyDescent="0.3">
      <c r="B82" s="24">
        <v>12099</v>
      </c>
      <c r="C82" s="25">
        <v>69</v>
      </c>
      <c r="D82" s="25">
        <v>1</v>
      </c>
      <c r="E82" s="25">
        <v>6</v>
      </c>
      <c r="F82" s="25">
        <v>24</v>
      </c>
      <c r="G82" s="25">
        <v>60</v>
      </c>
      <c r="H82" s="25">
        <v>18.600000000000001</v>
      </c>
      <c r="I82" s="25">
        <v>1.27</v>
      </c>
      <c r="J82" s="25">
        <v>9.89</v>
      </c>
      <c r="K82" s="26">
        <v>0</v>
      </c>
      <c r="L82" s="25">
        <f t="shared" si="8"/>
        <v>-1.3679596302641246</v>
      </c>
      <c r="M82" s="25">
        <f t="shared" si="14"/>
        <v>0.20294969888646505</v>
      </c>
      <c r="N82" s="25">
        <f t="shared" si="9"/>
        <v>0.79705030111353492</v>
      </c>
      <c r="O82" s="25">
        <f t="shared" si="10"/>
        <v>-0.22683748911755192</v>
      </c>
      <c r="P82" s="25">
        <f t="shared" si="11"/>
        <v>0</v>
      </c>
      <c r="Q82" s="25">
        <f t="shared" si="15"/>
        <v>526.59397037567805</v>
      </c>
      <c r="R82" s="25">
        <f t="shared" si="12"/>
        <v>6</v>
      </c>
      <c r="S82" s="26">
        <f t="shared" si="13"/>
        <v>12</v>
      </c>
      <c r="V82">
        <v>9</v>
      </c>
      <c r="Y82">
        <v>1281</v>
      </c>
      <c r="Z82">
        <v>0.85399999999999998</v>
      </c>
      <c r="AA82">
        <v>547</v>
      </c>
      <c r="AB82">
        <v>548</v>
      </c>
      <c r="AC82">
        <v>0.99817518248175185</v>
      </c>
      <c r="AD82">
        <v>0.85399999999999998</v>
      </c>
      <c r="AE82">
        <v>0.03</v>
      </c>
      <c r="AF82">
        <v>4.9482537993099721E-2</v>
      </c>
      <c r="AG82">
        <v>6.6666666666666666E-2</v>
      </c>
    </row>
    <row r="83" spans="2:33" x14ac:dyDescent="0.3">
      <c r="B83" s="24">
        <v>12104</v>
      </c>
      <c r="C83" s="25">
        <v>20</v>
      </c>
      <c r="D83" s="25">
        <v>3</v>
      </c>
      <c r="E83" s="25">
        <v>0</v>
      </c>
      <c r="F83" s="25">
        <v>0</v>
      </c>
      <c r="G83" s="25">
        <v>22</v>
      </c>
      <c r="H83" s="25">
        <v>4.2</v>
      </c>
      <c r="I83" s="25">
        <v>0.54</v>
      </c>
      <c r="J83" s="25">
        <v>0.39</v>
      </c>
      <c r="K83" s="26">
        <v>1</v>
      </c>
      <c r="L83" s="25">
        <f t="shared" si="8"/>
        <v>-0.30477076021014371</v>
      </c>
      <c r="M83" s="25">
        <f t="shared" si="14"/>
        <v>0.42439164745662927</v>
      </c>
      <c r="N83" s="25">
        <f t="shared" si="9"/>
        <v>0.42439164745662927</v>
      </c>
      <c r="O83" s="25">
        <f t="shared" si="10"/>
        <v>-0.8570985532639025</v>
      </c>
      <c r="P83" s="25">
        <f t="shared" si="11"/>
        <v>1</v>
      </c>
      <c r="Q83" s="25">
        <f t="shared" si="15"/>
        <v>495.91682503802747</v>
      </c>
      <c r="R83" s="25">
        <f t="shared" si="12"/>
        <v>7</v>
      </c>
      <c r="S83" s="26">
        <f t="shared" si="13"/>
        <v>14</v>
      </c>
      <c r="V83">
        <v>8</v>
      </c>
      <c r="Y83">
        <v>1325</v>
      </c>
      <c r="Z83">
        <v>0.8833333333333333</v>
      </c>
      <c r="AA83">
        <v>548</v>
      </c>
      <c r="AB83">
        <v>548</v>
      </c>
      <c r="AC83">
        <v>1</v>
      </c>
      <c r="AD83">
        <v>0.8833333333333333</v>
      </c>
      <c r="AE83">
        <v>2.9333333333333329E-2</v>
      </c>
      <c r="AF83">
        <v>3.3791403162821157E-2</v>
      </c>
      <c r="AG83">
        <v>2.2727272727272731E-2</v>
      </c>
    </row>
    <row r="84" spans="2:33" x14ac:dyDescent="0.3">
      <c r="B84" s="24">
        <v>12110</v>
      </c>
      <c r="C84" s="25">
        <v>42</v>
      </c>
      <c r="D84" s="25">
        <v>1</v>
      </c>
      <c r="E84" s="25">
        <v>15</v>
      </c>
      <c r="F84" s="25">
        <v>7</v>
      </c>
      <c r="G84" s="25">
        <v>60</v>
      </c>
      <c r="H84" s="25">
        <v>6.1</v>
      </c>
      <c r="I84" s="25">
        <v>2.0099999999999998</v>
      </c>
      <c r="J84" s="25">
        <v>1.65</v>
      </c>
      <c r="K84" s="26">
        <v>0</v>
      </c>
      <c r="L84" s="25">
        <f t="shared" si="8"/>
        <v>-3.3690621230159614</v>
      </c>
      <c r="M84" s="25">
        <f t="shared" si="14"/>
        <v>3.3276466335377036E-2</v>
      </c>
      <c r="N84" s="25">
        <f t="shared" si="9"/>
        <v>0.96672353366462294</v>
      </c>
      <c r="O84" s="25">
        <f t="shared" si="10"/>
        <v>-3.3842725477055823E-2</v>
      </c>
      <c r="P84" s="25">
        <f t="shared" si="11"/>
        <v>0</v>
      </c>
      <c r="Q84" s="25">
        <f t="shared" si="15"/>
        <v>584.33358159129023</v>
      </c>
      <c r="R84" s="25">
        <f t="shared" si="12"/>
        <v>5</v>
      </c>
      <c r="S84" s="26">
        <f t="shared" si="13"/>
        <v>8</v>
      </c>
      <c r="V84">
        <v>7</v>
      </c>
      <c r="Y84">
        <v>1343</v>
      </c>
      <c r="Z84">
        <v>0.89533333333333331</v>
      </c>
      <c r="AA84">
        <v>548</v>
      </c>
      <c r="AB84">
        <v>548</v>
      </c>
      <c r="AC84">
        <v>1</v>
      </c>
      <c r="AD84">
        <v>0.89533333333333331</v>
      </c>
      <c r="AE84">
        <v>1.2E-2</v>
      </c>
      <c r="AF84">
        <v>2.247603936853387E-2</v>
      </c>
      <c r="AG84">
        <v>0</v>
      </c>
    </row>
    <row r="85" spans="2:33" x14ac:dyDescent="0.3">
      <c r="B85" s="24">
        <v>12133</v>
      </c>
      <c r="C85" s="25">
        <v>33</v>
      </c>
      <c r="D85" s="25">
        <v>2</v>
      </c>
      <c r="E85" s="25">
        <v>12</v>
      </c>
      <c r="F85" s="25">
        <v>5</v>
      </c>
      <c r="G85" s="25">
        <v>70</v>
      </c>
      <c r="H85" s="25">
        <v>5.7</v>
      </c>
      <c r="I85" s="25">
        <v>0.83</v>
      </c>
      <c r="J85" s="25">
        <v>3.16</v>
      </c>
      <c r="K85" s="26">
        <v>0</v>
      </c>
      <c r="L85" s="25">
        <f t="shared" si="8"/>
        <v>-3.0428791885770368</v>
      </c>
      <c r="M85" s="25">
        <f t="shared" si="14"/>
        <v>4.5525896733155519E-2</v>
      </c>
      <c r="N85" s="25">
        <f t="shared" si="9"/>
        <v>0.95447410326684445</v>
      </c>
      <c r="O85" s="25">
        <f t="shared" si="10"/>
        <v>-4.6594767387279391E-2</v>
      </c>
      <c r="P85" s="25">
        <f t="shared" si="11"/>
        <v>0</v>
      </c>
      <c r="Q85" s="25">
        <f t="shared" si="15"/>
        <v>574.92193181928292</v>
      </c>
      <c r="R85" s="25">
        <f t="shared" si="12"/>
        <v>5</v>
      </c>
      <c r="S85" s="26">
        <f t="shared" si="13"/>
        <v>9</v>
      </c>
      <c r="V85">
        <v>6</v>
      </c>
      <c r="Y85">
        <v>1360</v>
      </c>
      <c r="Z85">
        <v>0.90666666666666662</v>
      </c>
      <c r="AA85">
        <v>548</v>
      </c>
      <c r="AB85">
        <v>548</v>
      </c>
      <c r="AC85">
        <v>1</v>
      </c>
      <c r="AD85">
        <v>0.90666666666666662</v>
      </c>
      <c r="AE85">
        <v>1.1333333333333331E-2</v>
      </c>
      <c r="AF85">
        <v>1.512061652279046E-2</v>
      </c>
      <c r="AG85">
        <v>0</v>
      </c>
    </row>
    <row r="86" spans="2:33" x14ac:dyDescent="0.3">
      <c r="B86" s="24">
        <v>12149</v>
      </c>
      <c r="C86" s="25">
        <v>41</v>
      </c>
      <c r="D86" s="25">
        <v>2</v>
      </c>
      <c r="E86" s="25">
        <v>10</v>
      </c>
      <c r="F86" s="25">
        <v>7</v>
      </c>
      <c r="G86" s="25">
        <v>29</v>
      </c>
      <c r="H86" s="25">
        <v>4.2</v>
      </c>
      <c r="I86" s="25">
        <v>0.47</v>
      </c>
      <c r="J86" s="25">
        <v>0.74</v>
      </c>
      <c r="K86" s="26">
        <v>0</v>
      </c>
      <c r="L86" s="25">
        <f t="shared" si="8"/>
        <v>-3.2182257683570805</v>
      </c>
      <c r="M86" s="25">
        <f t="shared" si="14"/>
        <v>3.8485586227095268E-2</v>
      </c>
      <c r="N86" s="25">
        <f t="shared" si="9"/>
        <v>0.9615144137729047</v>
      </c>
      <c r="O86" s="25">
        <f t="shared" si="10"/>
        <v>-3.9245723142207575E-2</v>
      </c>
      <c r="P86" s="25">
        <f t="shared" si="11"/>
        <v>0</v>
      </c>
      <c r="Q86" s="25">
        <f t="shared" si="15"/>
        <v>579.98136449759841</v>
      </c>
      <c r="R86" s="25">
        <f t="shared" si="12"/>
        <v>5</v>
      </c>
      <c r="S86" s="26">
        <f t="shared" si="13"/>
        <v>8</v>
      </c>
      <c r="V86">
        <v>5</v>
      </c>
      <c r="Y86">
        <v>1381</v>
      </c>
      <c r="Z86">
        <v>0.92066666666666663</v>
      </c>
      <c r="AA86">
        <v>548</v>
      </c>
      <c r="AB86">
        <v>548</v>
      </c>
      <c r="AC86">
        <v>1</v>
      </c>
      <c r="AD86">
        <v>0.92066666666666663</v>
      </c>
      <c r="AE86">
        <v>1.4E-2</v>
      </c>
      <c r="AF86">
        <v>9.8718684676928868E-3</v>
      </c>
      <c r="AG86">
        <v>0</v>
      </c>
    </row>
    <row r="87" spans="2:33" x14ac:dyDescent="0.3">
      <c r="B87" s="24">
        <v>12157</v>
      </c>
      <c r="C87" s="25">
        <v>35</v>
      </c>
      <c r="D87" s="25">
        <v>3</v>
      </c>
      <c r="E87" s="25">
        <v>0</v>
      </c>
      <c r="F87" s="25">
        <v>7</v>
      </c>
      <c r="G87" s="25">
        <v>36</v>
      </c>
      <c r="H87" s="25">
        <v>4.7</v>
      </c>
      <c r="I87" s="25">
        <v>0.55000000000000004</v>
      </c>
      <c r="J87" s="25">
        <v>1.1499999999999999</v>
      </c>
      <c r="K87" s="26">
        <v>0</v>
      </c>
      <c r="L87" s="25">
        <f t="shared" si="8"/>
        <v>-0.78005580760308635</v>
      </c>
      <c r="M87" s="25">
        <f t="shared" si="14"/>
        <v>0.31430785837018832</v>
      </c>
      <c r="N87" s="25">
        <f t="shared" si="9"/>
        <v>0.68569214162981162</v>
      </c>
      <c r="O87" s="25">
        <f t="shared" si="10"/>
        <v>-0.37732652511943765</v>
      </c>
      <c r="P87" s="25">
        <f t="shared" si="11"/>
        <v>0</v>
      </c>
      <c r="Q87" s="25">
        <f t="shared" si="15"/>
        <v>509.63065226699871</v>
      </c>
      <c r="R87" s="25">
        <f t="shared" si="12"/>
        <v>7</v>
      </c>
      <c r="S87" s="26">
        <f t="shared" si="13"/>
        <v>14</v>
      </c>
      <c r="V87">
        <v>4</v>
      </c>
      <c r="Y87">
        <v>1396</v>
      </c>
      <c r="Z87">
        <v>0.93066666666666664</v>
      </c>
      <c r="AA87">
        <v>548</v>
      </c>
      <c r="AB87">
        <v>548</v>
      </c>
      <c r="AC87">
        <v>1</v>
      </c>
      <c r="AD87">
        <v>0.93066666666666664</v>
      </c>
      <c r="AE87">
        <v>0.01</v>
      </c>
      <c r="AF87">
        <v>6.4750103458391514E-3</v>
      </c>
      <c r="AG87">
        <v>0</v>
      </c>
    </row>
    <row r="88" spans="2:33" x14ac:dyDescent="0.3">
      <c r="B88" s="24">
        <v>12239</v>
      </c>
      <c r="C88" s="25">
        <v>46</v>
      </c>
      <c r="D88" s="25">
        <v>3</v>
      </c>
      <c r="E88" s="25">
        <v>20</v>
      </c>
      <c r="F88" s="25">
        <v>16</v>
      </c>
      <c r="G88" s="25">
        <v>122</v>
      </c>
      <c r="H88" s="25">
        <v>6.7</v>
      </c>
      <c r="I88" s="25">
        <v>2.89</v>
      </c>
      <c r="J88" s="25">
        <v>5.28</v>
      </c>
      <c r="K88" s="26">
        <v>0</v>
      </c>
      <c r="L88" s="25">
        <f t="shared" si="8"/>
        <v>-4.4050949430120632</v>
      </c>
      <c r="M88" s="25">
        <f t="shared" si="14"/>
        <v>1.2067542251334717E-2</v>
      </c>
      <c r="N88" s="25">
        <f t="shared" si="9"/>
        <v>0.98793245774866523</v>
      </c>
      <c r="O88" s="25">
        <f t="shared" si="10"/>
        <v>-1.2140946173664013E-2</v>
      </c>
      <c r="P88" s="25">
        <f t="shared" si="11"/>
        <v>0</v>
      </c>
      <c r="Q88" s="25">
        <f t="shared" si="15"/>
        <v>614.22716897617579</v>
      </c>
      <c r="R88" s="25">
        <f t="shared" si="12"/>
        <v>4</v>
      </c>
      <c r="S88" s="26">
        <f t="shared" si="13"/>
        <v>5</v>
      </c>
      <c r="V88">
        <v>3</v>
      </c>
      <c r="Y88">
        <v>1416</v>
      </c>
      <c r="Z88">
        <v>0.94399999999999995</v>
      </c>
      <c r="AA88">
        <v>548</v>
      </c>
      <c r="AB88">
        <v>548</v>
      </c>
      <c r="AC88">
        <v>1</v>
      </c>
      <c r="AD88">
        <v>0.94399999999999995</v>
      </c>
      <c r="AE88">
        <v>1.3333333333333331E-2</v>
      </c>
      <c r="AF88">
        <v>4.4440577716090817E-3</v>
      </c>
      <c r="AG88">
        <v>0</v>
      </c>
    </row>
    <row r="89" spans="2:33" x14ac:dyDescent="0.3">
      <c r="B89" s="24">
        <v>12382</v>
      </c>
      <c r="C89" s="25">
        <v>24</v>
      </c>
      <c r="D89" s="25">
        <v>4</v>
      </c>
      <c r="E89" s="25">
        <v>0</v>
      </c>
      <c r="F89" s="25">
        <v>1</v>
      </c>
      <c r="G89" s="25">
        <v>27</v>
      </c>
      <c r="H89" s="25">
        <v>4.2</v>
      </c>
      <c r="I89" s="25">
        <v>0.44</v>
      </c>
      <c r="J89" s="25">
        <v>0.69</v>
      </c>
      <c r="K89" s="26">
        <v>0</v>
      </c>
      <c r="L89" s="25">
        <f t="shared" si="8"/>
        <v>-0.5158919083850918</v>
      </c>
      <c r="M89" s="25">
        <f t="shared" si="14"/>
        <v>0.37381334357298057</v>
      </c>
      <c r="N89" s="25">
        <f t="shared" si="9"/>
        <v>0.62618665642701943</v>
      </c>
      <c r="O89" s="25">
        <f t="shared" si="10"/>
        <v>-0.46810677912073301</v>
      </c>
      <c r="P89" s="25">
        <f t="shared" si="11"/>
        <v>0</v>
      </c>
      <c r="Q89" s="25">
        <f t="shared" si="15"/>
        <v>502.00849353535261</v>
      </c>
      <c r="R89" s="25">
        <f t="shared" si="12"/>
        <v>7</v>
      </c>
      <c r="S89" s="26">
        <f t="shared" si="13"/>
        <v>14</v>
      </c>
      <c r="V89">
        <v>2</v>
      </c>
      <c r="Y89">
        <v>1433</v>
      </c>
      <c r="Z89">
        <v>0.95533333333333337</v>
      </c>
      <c r="AA89">
        <v>548</v>
      </c>
      <c r="AB89">
        <v>548</v>
      </c>
      <c r="AC89">
        <v>1</v>
      </c>
      <c r="AD89">
        <v>0.95533333333333337</v>
      </c>
      <c r="AE89">
        <v>1.1333333333333331E-2</v>
      </c>
      <c r="AF89">
        <v>2.8819993706171148E-3</v>
      </c>
      <c r="AG89">
        <v>0</v>
      </c>
    </row>
    <row r="90" spans="2:33" x14ac:dyDescent="0.3">
      <c r="B90" s="24">
        <v>12439</v>
      </c>
      <c r="C90" s="25">
        <v>34</v>
      </c>
      <c r="D90" s="25">
        <v>3</v>
      </c>
      <c r="E90" s="25">
        <v>7</v>
      </c>
      <c r="F90" s="25">
        <v>8</v>
      </c>
      <c r="G90" s="25">
        <v>43</v>
      </c>
      <c r="H90" s="25">
        <v>30.3</v>
      </c>
      <c r="I90" s="25">
        <v>3.92</v>
      </c>
      <c r="J90" s="25">
        <v>9.11</v>
      </c>
      <c r="K90" s="26">
        <v>1</v>
      </c>
      <c r="L90" s="25">
        <f t="shared" si="8"/>
        <v>1.9737968822967027</v>
      </c>
      <c r="M90" s="25">
        <f t="shared" si="14"/>
        <v>0.87801835135936923</v>
      </c>
      <c r="N90" s="25">
        <f t="shared" si="9"/>
        <v>0.87801835135936923</v>
      </c>
      <c r="O90" s="25">
        <f t="shared" si="10"/>
        <v>-0.13008778424498385</v>
      </c>
      <c r="P90" s="25">
        <f t="shared" si="11"/>
        <v>1</v>
      </c>
      <c r="Q90" s="25">
        <f t="shared" si="15"/>
        <v>430.17126213789913</v>
      </c>
      <c r="R90" s="25">
        <f t="shared" si="12"/>
        <v>8</v>
      </c>
      <c r="S90" s="26">
        <f t="shared" si="13"/>
        <v>16</v>
      </c>
      <c r="V90">
        <v>1</v>
      </c>
      <c r="Y90">
        <v>1500</v>
      </c>
      <c r="Z90">
        <v>1</v>
      </c>
      <c r="AA90">
        <v>548</v>
      </c>
      <c r="AB90">
        <v>548</v>
      </c>
      <c r="AC90">
        <v>1</v>
      </c>
      <c r="AD90">
        <v>1</v>
      </c>
      <c r="AE90">
        <v>4.4666666666666667E-2</v>
      </c>
      <c r="AF90">
        <v>9.7146600705216336E-4</v>
      </c>
      <c r="AG90">
        <v>0</v>
      </c>
    </row>
    <row r="91" spans="2:33" x14ac:dyDescent="0.3">
      <c r="B91" s="24">
        <v>12540</v>
      </c>
      <c r="C91" s="25">
        <v>36</v>
      </c>
      <c r="D91" s="25">
        <v>2</v>
      </c>
      <c r="E91" s="25">
        <v>7</v>
      </c>
      <c r="F91" s="25">
        <v>4</v>
      </c>
      <c r="G91" s="25">
        <v>41</v>
      </c>
      <c r="H91" s="25">
        <v>18.899999999999999</v>
      </c>
      <c r="I91" s="25">
        <v>3.18</v>
      </c>
      <c r="J91" s="25">
        <v>4.57</v>
      </c>
      <c r="K91" s="26">
        <v>0</v>
      </c>
      <c r="L91" s="25">
        <f t="shared" si="8"/>
        <v>0.51346398300127261</v>
      </c>
      <c r="M91" s="25">
        <f t="shared" si="14"/>
        <v>0.62561816122076663</v>
      </c>
      <c r="N91" s="25">
        <f t="shared" si="9"/>
        <v>0.37438183877923337</v>
      </c>
      <c r="O91" s="25">
        <f t="shared" si="10"/>
        <v>-0.98247904308932743</v>
      </c>
      <c r="P91" s="25">
        <f t="shared" si="11"/>
        <v>1</v>
      </c>
      <c r="Q91" s="25">
        <f t="shared" si="15"/>
        <v>472.30756158087956</v>
      </c>
      <c r="R91" s="25">
        <f t="shared" si="12"/>
        <v>7</v>
      </c>
      <c r="S91" s="26">
        <f t="shared" si="13"/>
        <v>15</v>
      </c>
    </row>
    <row r="92" spans="2:33" x14ac:dyDescent="0.3">
      <c r="B92" s="24">
        <v>12596</v>
      </c>
      <c r="C92" s="25">
        <v>19</v>
      </c>
      <c r="D92" s="25">
        <v>1</v>
      </c>
      <c r="E92" s="25">
        <v>0</v>
      </c>
      <c r="F92" s="25">
        <v>0</v>
      </c>
      <c r="G92" s="25">
        <v>18</v>
      </c>
      <c r="H92" s="25">
        <v>15.1</v>
      </c>
      <c r="I92" s="25">
        <v>0.79</v>
      </c>
      <c r="J92" s="25">
        <v>1.92</v>
      </c>
      <c r="K92" s="26">
        <v>1</v>
      </c>
      <c r="L92" s="25">
        <f t="shared" si="8"/>
        <v>1.0655882535676295</v>
      </c>
      <c r="M92" s="25">
        <f t="shared" si="14"/>
        <v>0.74375701867588706</v>
      </c>
      <c r="N92" s="25">
        <f t="shared" si="9"/>
        <v>0.74375701867588706</v>
      </c>
      <c r="O92" s="25">
        <f t="shared" si="10"/>
        <v>-0.29604088529168232</v>
      </c>
      <c r="P92" s="25">
        <f t="shared" si="11"/>
        <v>1</v>
      </c>
      <c r="Q92" s="25">
        <f t="shared" si="15"/>
        <v>456.37662309038495</v>
      </c>
      <c r="R92" s="25">
        <f t="shared" si="12"/>
        <v>8</v>
      </c>
      <c r="S92" s="26">
        <f t="shared" si="13"/>
        <v>16</v>
      </c>
    </row>
    <row r="93" spans="2:33" x14ac:dyDescent="0.3">
      <c r="B93" s="24">
        <v>12638</v>
      </c>
      <c r="C93" s="25">
        <v>29</v>
      </c>
      <c r="D93" s="25">
        <v>5</v>
      </c>
      <c r="E93" s="25">
        <v>1</v>
      </c>
      <c r="F93" s="25">
        <v>4</v>
      </c>
      <c r="G93" s="25">
        <v>51</v>
      </c>
      <c r="H93" s="25">
        <v>1.3</v>
      </c>
      <c r="I93" s="25">
        <v>0.28000000000000003</v>
      </c>
      <c r="J93" s="25">
        <v>0.38</v>
      </c>
      <c r="K93" s="26">
        <v>0</v>
      </c>
      <c r="L93" s="25">
        <f t="shared" si="8"/>
        <v>-1.368485842939803</v>
      </c>
      <c r="M93" s="25">
        <f t="shared" si="14"/>
        <v>0.20286459144066912</v>
      </c>
      <c r="N93" s="25">
        <f t="shared" si="9"/>
        <v>0.79713540855933085</v>
      </c>
      <c r="O93" s="25">
        <f t="shared" si="10"/>
        <v>-0.22673071680694798</v>
      </c>
      <c r="P93" s="25">
        <f t="shared" si="11"/>
        <v>0</v>
      </c>
      <c r="Q93" s="25">
        <f t="shared" si="15"/>
        <v>526.60915366360075</v>
      </c>
      <c r="R93" s="25">
        <f t="shared" si="12"/>
        <v>6</v>
      </c>
      <c r="S93" s="26">
        <f t="shared" si="13"/>
        <v>12</v>
      </c>
      <c r="V93" t="s">
        <v>47</v>
      </c>
      <c r="Y93" t="s">
        <v>48</v>
      </c>
      <c r="Z93" t="s">
        <v>49</v>
      </c>
      <c r="AB93" t="s">
        <v>48</v>
      </c>
      <c r="AC93" t="s">
        <v>49</v>
      </c>
      <c r="AD93" t="s">
        <v>50</v>
      </c>
    </row>
    <row r="94" spans="2:33" x14ac:dyDescent="0.3">
      <c r="B94" s="24">
        <v>12687</v>
      </c>
      <c r="C94" s="25">
        <v>44</v>
      </c>
      <c r="D94" s="25">
        <v>2</v>
      </c>
      <c r="E94" s="25">
        <v>7</v>
      </c>
      <c r="F94" s="25">
        <v>9</v>
      </c>
      <c r="G94" s="25">
        <v>59</v>
      </c>
      <c r="H94" s="25">
        <v>8.4</v>
      </c>
      <c r="I94" s="25">
        <v>1.77</v>
      </c>
      <c r="J94" s="25">
        <v>3.19</v>
      </c>
      <c r="K94" s="26">
        <v>0</v>
      </c>
      <c r="L94" s="25">
        <f t="shared" si="8"/>
        <v>-1.5669533234772888</v>
      </c>
      <c r="M94" s="25">
        <f t="shared" si="14"/>
        <v>0.17265115339838885</v>
      </c>
      <c r="N94" s="25">
        <f t="shared" si="9"/>
        <v>0.82734884660161112</v>
      </c>
      <c r="O94" s="25">
        <f t="shared" si="10"/>
        <v>-0.1895288511328713</v>
      </c>
      <c r="P94" s="25">
        <f t="shared" si="11"/>
        <v>0</v>
      </c>
      <c r="Q94" s="25">
        <f t="shared" si="15"/>
        <v>532.33571450028137</v>
      </c>
      <c r="R94" s="25">
        <f t="shared" si="12"/>
        <v>6</v>
      </c>
      <c r="S94" s="26">
        <f t="shared" si="13"/>
        <v>12</v>
      </c>
    </row>
    <row r="95" spans="2:33" x14ac:dyDescent="0.3">
      <c r="B95" s="24">
        <v>12710</v>
      </c>
      <c r="C95" s="25">
        <v>19</v>
      </c>
      <c r="D95" s="25">
        <v>2</v>
      </c>
      <c r="E95" s="25">
        <v>0</v>
      </c>
      <c r="F95" s="25">
        <v>0</v>
      </c>
      <c r="G95" s="25">
        <v>28</v>
      </c>
      <c r="H95" s="25">
        <v>11.7</v>
      </c>
      <c r="I95" s="25">
        <v>0.82</v>
      </c>
      <c r="J95" s="25">
        <v>2.4500000000000002</v>
      </c>
      <c r="K95" s="26">
        <v>0</v>
      </c>
      <c r="L95" s="25">
        <f t="shared" si="8"/>
        <v>0.70319367095519358</v>
      </c>
      <c r="M95" s="25">
        <f t="shared" si="14"/>
        <v>0.6688954694005339</v>
      </c>
      <c r="N95" s="25">
        <f t="shared" si="9"/>
        <v>0.3311045305994661</v>
      </c>
      <c r="O95" s="25">
        <f t="shared" si="10"/>
        <v>-1.1053211510448555</v>
      </c>
      <c r="P95" s="25">
        <f t="shared" si="11"/>
        <v>1</v>
      </c>
      <c r="Q95" s="25">
        <f t="shared" si="15"/>
        <v>466.83312013762594</v>
      </c>
      <c r="R95" s="25">
        <f t="shared" si="12"/>
        <v>7</v>
      </c>
      <c r="S95" s="26">
        <f t="shared" si="13"/>
        <v>15</v>
      </c>
    </row>
    <row r="96" spans="2:33" x14ac:dyDescent="0.3">
      <c r="B96" s="24">
        <v>12729</v>
      </c>
      <c r="C96" s="25">
        <v>39</v>
      </c>
      <c r="D96" s="25">
        <v>1</v>
      </c>
      <c r="E96" s="25">
        <v>2</v>
      </c>
      <c r="F96" s="25">
        <v>9</v>
      </c>
      <c r="G96" s="25">
        <v>29</v>
      </c>
      <c r="H96" s="25">
        <v>3.7</v>
      </c>
      <c r="I96" s="25">
        <v>0.48</v>
      </c>
      <c r="J96" s="25">
        <v>0.6</v>
      </c>
      <c r="K96" s="26">
        <v>0</v>
      </c>
      <c r="L96" s="25">
        <f t="shared" si="8"/>
        <v>-1.4254141717924294</v>
      </c>
      <c r="M96" s="25">
        <f t="shared" si="14"/>
        <v>0.19381421516468628</v>
      </c>
      <c r="N96" s="25">
        <f t="shared" si="9"/>
        <v>0.80618578483531378</v>
      </c>
      <c r="O96" s="25">
        <f t="shared" si="10"/>
        <v>-0.21544106076001279</v>
      </c>
      <c r="P96" s="25">
        <f t="shared" si="11"/>
        <v>0</v>
      </c>
      <c r="Q96" s="25">
        <f t="shared" si="15"/>
        <v>528.25175797148154</v>
      </c>
      <c r="R96" s="25">
        <f t="shared" si="12"/>
        <v>6</v>
      </c>
      <c r="S96" s="26">
        <f t="shared" si="13"/>
        <v>12</v>
      </c>
      <c r="V96">
        <v>17.407712772739249</v>
      </c>
      <c r="Y96">
        <v>0</v>
      </c>
      <c r="Z96">
        <v>23.028239445555339</v>
      </c>
      <c r="AB96">
        <v>0</v>
      </c>
      <c r="AC96">
        <v>2.3028239445555339E-3</v>
      </c>
      <c r="AD96">
        <v>1</v>
      </c>
    </row>
    <row r="97" spans="2:33" x14ac:dyDescent="0.3">
      <c r="B97" s="24">
        <v>12759</v>
      </c>
      <c r="C97" s="25">
        <v>30</v>
      </c>
      <c r="D97" s="25">
        <v>4</v>
      </c>
      <c r="E97" s="25">
        <v>5</v>
      </c>
      <c r="F97" s="25">
        <v>5</v>
      </c>
      <c r="G97" s="25">
        <v>222</v>
      </c>
      <c r="H97" s="25">
        <v>2.9</v>
      </c>
      <c r="I97" s="25">
        <v>1.97</v>
      </c>
      <c r="J97" s="25">
        <v>4.47</v>
      </c>
      <c r="K97" s="26">
        <v>0</v>
      </c>
      <c r="L97" s="25">
        <f t="shared" si="8"/>
        <v>-1.1736072467234417</v>
      </c>
      <c r="M97" s="25">
        <f t="shared" si="14"/>
        <v>0.23620357651279422</v>
      </c>
      <c r="N97" s="25">
        <f t="shared" si="9"/>
        <v>0.76379642348720578</v>
      </c>
      <c r="O97" s="25">
        <f t="shared" si="10"/>
        <v>-0.26945398672694509</v>
      </c>
      <c r="P97" s="25">
        <f t="shared" si="11"/>
        <v>0</v>
      </c>
      <c r="Q97" s="25">
        <f t="shared" si="15"/>
        <v>520.98614613623351</v>
      </c>
      <c r="R97" s="25">
        <f t="shared" si="12"/>
        <v>6</v>
      </c>
      <c r="S97" s="26">
        <f t="shared" si="13"/>
        <v>13</v>
      </c>
      <c r="V97">
        <v>30.463497352293679</v>
      </c>
      <c r="Y97">
        <v>23.028239445555339</v>
      </c>
      <c r="Z97">
        <v>40.299419029721847</v>
      </c>
      <c r="AB97">
        <v>2.3028239445555339E-3</v>
      </c>
      <c r="AC97">
        <v>4.0299419029721844E-3</v>
      </c>
      <c r="AD97">
        <v>2</v>
      </c>
    </row>
    <row r="98" spans="2:33" x14ac:dyDescent="0.3">
      <c r="B98" s="24">
        <v>12779</v>
      </c>
      <c r="C98" s="25">
        <v>72</v>
      </c>
      <c r="D98" s="25">
        <v>2</v>
      </c>
      <c r="E98" s="25">
        <v>44</v>
      </c>
      <c r="F98" s="25">
        <v>13</v>
      </c>
      <c r="G98" s="25">
        <v>187</v>
      </c>
      <c r="H98" s="25">
        <v>9.1999999999999993</v>
      </c>
      <c r="I98" s="25">
        <v>4.71</v>
      </c>
      <c r="J98" s="25">
        <v>12.49</v>
      </c>
      <c r="K98" s="26">
        <v>0</v>
      </c>
      <c r="L98" s="25">
        <f t="shared" si="8"/>
        <v>-8.9384598050616226</v>
      </c>
      <c r="M98" s="25">
        <f t="shared" si="14"/>
        <v>1.3122580196454645E-4</v>
      </c>
      <c r="N98" s="25">
        <f t="shared" si="9"/>
        <v>0.99986877419803544</v>
      </c>
      <c r="O98" s="25">
        <f t="shared" si="10"/>
        <v>-1.31234412823433E-4</v>
      </c>
      <c r="P98" s="25">
        <f t="shared" si="11"/>
        <v>0</v>
      </c>
      <c r="Q98" s="25">
        <f t="shared" si="15"/>
        <v>745.03242536926746</v>
      </c>
      <c r="R98" s="25">
        <f t="shared" si="12"/>
        <v>1</v>
      </c>
      <c r="S98" s="26">
        <f t="shared" si="13"/>
        <v>1</v>
      </c>
      <c r="V98">
        <v>53.311120366513947</v>
      </c>
      <c r="Y98">
        <v>40.299419029721847</v>
      </c>
      <c r="Z98">
        <v>70.523983302013235</v>
      </c>
      <c r="AB98">
        <v>4.0299419029721844E-3</v>
      </c>
      <c r="AC98">
        <v>7.0523983302013234E-3</v>
      </c>
      <c r="AD98">
        <v>3</v>
      </c>
    </row>
    <row r="99" spans="2:33" x14ac:dyDescent="0.3">
      <c r="B99" s="24">
        <v>12841</v>
      </c>
      <c r="C99" s="25">
        <v>18</v>
      </c>
      <c r="D99" s="25">
        <v>2</v>
      </c>
      <c r="E99" s="25">
        <v>0</v>
      </c>
      <c r="F99" s="25">
        <v>0</v>
      </c>
      <c r="G99" s="25">
        <v>30</v>
      </c>
      <c r="H99" s="25">
        <v>7</v>
      </c>
      <c r="I99" s="25">
        <v>0.81</v>
      </c>
      <c r="J99" s="25">
        <v>1.29</v>
      </c>
      <c r="K99" s="26">
        <v>1</v>
      </c>
      <c r="L99" s="25">
        <f t="shared" si="8"/>
        <v>0.2230984492166726</v>
      </c>
      <c r="M99" s="25">
        <f t="shared" si="14"/>
        <v>0.55554441920727382</v>
      </c>
      <c r="N99" s="25">
        <f t="shared" si="9"/>
        <v>0.55554441920727382</v>
      </c>
      <c r="O99" s="25">
        <f t="shared" si="10"/>
        <v>-0.58780671052993838</v>
      </c>
      <c r="P99" s="25">
        <f t="shared" si="11"/>
        <v>1</v>
      </c>
      <c r="Q99" s="25">
        <f t="shared" si="15"/>
        <v>480.68573965614706</v>
      </c>
      <c r="R99" s="25">
        <f t="shared" si="12"/>
        <v>7</v>
      </c>
      <c r="S99" s="26">
        <f t="shared" si="13"/>
        <v>15</v>
      </c>
      <c r="V99">
        <v>93.294460641399411</v>
      </c>
      <c r="Y99">
        <v>70.523983302013235</v>
      </c>
      <c r="Z99">
        <v>123.41697077852319</v>
      </c>
      <c r="AB99">
        <v>7.0523983302013234E-3</v>
      </c>
      <c r="AC99">
        <v>1.2341697077852321E-2</v>
      </c>
      <c r="AD99">
        <v>4</v>
      </c>
    </row>
    <row r="100" spans="2:33" x14ac:dyDescent="0.3">
      <c r="B100" s="24">
        <v>12910</v>
      </c>
      <c r="C100" s="25">
        <v>28</v>
      </c>
      <c r="D100" s="25">
        <v>3</v>
      </c>
      <c r="E100" s="25">
        <v>7</v>
      </c>
      <c r="F100" s="25">
        <v>5</v>
      </c>
      <c r="G100" s="25">
        <v>30</v>
      </c>
      <c r="H100" s="25">
        <v>8.5</v>
      </c>
      <c r="I100" s="25">
        <v>0.46</v>
      </c>
      <c r="J100" s="25">
        <v>2.09</v>
      </c>
      <c r="K100" s="26">
        <v>0</v>
      </c>
      <c r="L100" s="25">
        <f t="shared" si="8"/>
        <v>-1.78916035569827</v>
      </c>
      <c r="M100" s="25">
        <f t="shared" si="14"/>
        <v>0.1431756971769651</v>
      </c>
      <c r="N100" s="25">
        <f t="shared" si="9"/>
        <v>0.8568243028230349</v>
      </c>
      <c r="O100" s="25">
        <f t="shared" si="10"/>
        <v>-0.15452239561147035</v>
      </c>
      <c r="P100" s="25">
        <f t="shared" si="11"/>
        <v>0</v>
      </c>
      <c r="Q100" s="25">
        <f t="shared" si="15"/>
        <v>538.74725398728231</v>
      </c>
      <c r="R100" s="25">
        <f t="shared" si="12"/>
        <v>6</v>
      </c>
      <c r="S100" s="26">
        <f t="shared" si="13"/>
        <v>12</v>
      </c>
      <c r="V100">
        <v>163.265306122449</v>
      </c>
      <c r="Y100">
        <v>123.41697077852319</v>
      </c>
      <c r="Z100">
        <v>215.97969886241549</v>
      </c>
      <c r="AB100">
        <v>1.2341697077852321E-2</v>
      </c>
      <c r="AC100">
        <v>2.159796988624155E-2</v>
      </c>
      <c r="AD100">
        <v>5</v>
      </c>
    </row>
    <row r="101" spans="2:33" x14ac:dyDescent="0.3">
      <c r="B101" s="24">
        <v>12946</v>
      </c>
      <c r="C101" s="25">
        <v>24</v>
      </c>
      <c r="D101" s="25">
        <v>1</v>
      </c>
      <c r="E101" s="25">
        <v>5</v>
      </c>
      <c r="F101" s="25">
        <v>2</v>
      </c>
      <c r="G101" s="25">
        <v>27</v>
      </c>
      <c r="H101" s="25">
        <v>10</v>
      </c>
      <c r="I101" s="25">
        <v>1.29</v>
      </c>
      <c r="J101" s="25">
        <v>1.41</v>
      </c>
      <c r="K101" s="26">
        <v>0</v>
      </c>
      <c r="L101" s="25">
        <f t="shared" si="8"/>
        <v>-0.52083104286441362</v>
      </c>
      <c r="M101" s="25">
        <f t="shared" si="14"/>
        <v>0.3726579286129183</v>
      </c>
      <c r="N101" s="25">
        <f t="shared" si="9"/>
        <v>0.62734207138708165</v>
      </c>
      <c r="O101" s="25">
        <f t="shared" si="10"/>
        <v>-0.46626331871710053</v>
      </c>
      <c r="P101" s="25">
        <f t="shared" si="11"/>
        <v>0</v>
      </c>
      <c r="Q101" s="25">
        <f t="shared" si="15"/>
        <v>502.15100682770549</v>
      </c>
      <c r="R101" s="25">
        <f t="shared" si="12"/>
        <v>7</v>
      </c>
      <c r="S101" s="26">
        <f t="shared" si="13"/>
        <v>14</v>
      </c>
      <c r="V101">
        <v>285.71428571428572</v>
      </c>
      <c r="Y101">
        <v>215.97969886241549</v>
      </c>
      <c r="Z101">
        <v>377.96447300922722</v>
      </c>
      <c r="AB101">
        <v>2.159796988624155E-2</v>
      </c>
      <c r="AC101">
        <v>3.7796447300922721E-2</v>
      </c>
      <c r="AD101">
        <v>6</v>
      </c>
    </row>
    <row r="102" spans="2:33" x14ac:dyDescent="0.3">
      <c r="B102" s="24">
        <v>13005</v>
      </c>
      <c r="C102" s="25">
        <v>33</v>
      </c>
      <c r="D102" s="25">
        <v>2</v>
      </c>
      <c r="E102" s="25">
        <v>8</v>
      </c>
      <c r="F102" s="25">
        <v>4</v>
      </c>
      <c r="G102" s="25">
        <v>45</v>
      </c>
      <c r="H102" s="25">
        <v>12.1</v>
      </c>
      <c r="I102" s="25">
        <v>0.11</v>
      </c>
      <c r="J102" s="25">
        <v>5.34</v>
      </c>
      <c r="K102" s="26">
        <v>0</v>
      </c>
      <c r="L102" s="25">
        <f t="shared" si="8"/>
        <v>-1.7595301845397466</v>
      </c>
      <c r="M102" s="25">
        <f t="shared" si="14"/>
        <v>0.14684919063379798</v>
      </c>
      <c r="N102" s="25">
        <f t="shared" si="9"/>
        <v>0.85315080936620202</v>
      </c>
      <c r="O102" s="25">
        <f t="shared" si="10"/>
        <v>-0.15881894832947721</v>
      </c>
      <c r="P102" s="25">
        <f t="shared" si="11"/>
        <v>0</v>
      </c>
      <c r="Q102" s="25">
        <f t="shared" si="15"/>
        <v>537.89230799169138</v>
      </c>
      <c r="R102" s="25">
        <f t="shared" si="12"/>
        <v>6</v>
      </c>
      <c r="S102" s="26">
        <f t="shared" si="13"/>
        <v>12</v>
      </c>
      <c r="V102">
        <v>500</v>
      </c>
      <c r="Y102">
        <v>377.96447300922722</v>
      </c>
      <c r="Z102">
        <v>661.43782776614762</v>
      </c>
      <c r="AB102">
        <v>3.7796447300922721E-2</v>
      </c>
      <c r="AC102">
        <v>6.6143782776614757E-2</v>
      </c>
      <c r="AD102">
        <v>7</v>
      </c>
    </row>
    <row r="103" spans="2:33" x14ac:dyDescent="0.3">
      <c r="B103" s="24">
        <v>13013</v>
      </c>
      <c r="C103" s="25">
        <v>34</v>
      </c>
      <c r="D103" s="25">
        <v>4</v>
      </c>
      <c r="E103" s="25">
        <v>11</v>
      </c>
      <c r="F103" s="25">
        <v>4</v>
      </c>
      <c r="G103" s="25">
        <v>132</v>
      </c>
      <c r="H103" s="25">
        <v>4.7</v>
      </c>
      <c r="I103" s="25">
        <v>1.51</v>
      </c>
      <c r="J103" s="25">
        <v>4.6900000000000004</v>
      </c>
      <c r="K103" s="26">
        <v>0</v>
      </c>
      <c r="L103" s="25">
        <f t="shared" si="8"/>
        <v>-2.6378222602668888</v>
      </c>
      <c r="M103" s="25">
        <f t="shared" si="14"/>
        <v>6.6743556567569404E-2</v>
      </c>
      <c r="N103" s="25">
        <f t="shared" si="9"/>
        <v>0.93325644343243064</v>
      </c>
      <c r="O103" s="25">
        <f t="shared" si="10"/>
        <v>-6.9075256917219274E-2</v>
      </c>
      <c r="P103" s="25">
        <f t="shared" si="11"/>
        <v>0</v>
      </c>
      <c r="Q103" s="25">
        <f t="shared" si="15"/>
        <v>563.23445971551473</v>
      </c>
      <c r="R103" s="25">
        <f t="shared" si="12"/>
        <v>5</v>
      </c>
      <c r="S103" s="26">
        <f t="shared" si="13"/>
        <v>10</v>
      </c>
      <c r="V103">
        <v>875</v>
      </c>
      <c r="Y103">
        <v>661.43782776614762</v>
      </c>
      <c r="Z103">
        <v>1157.516198590758</v>
      </c>
      <c r="AB103">
        <v>6.6143782776614757E-2</v>
      </c>
      <c r="AC103">
        <v>0.1157516198590758</v>
      </c>
      <c r="AD103">
        <v>8</v>
      </c>
    </row>
    <row r="104" spans="2:33" x14ac:dyDescent="0.3">
      <c r="B104" s="24">
        <v>60060</v>
      </c>
      <c r="C104" s="25">
        <v>46</v>
      </c>
      <c r="D104" s="25">
        <v>4</v>
      </c>
      <c r="E104" s="25">
        <v>7</v>
      </c>
      <c r="F104" s="25">
        <v>16</v>
      </c>
      <c r="G104" s="25">
        <v>41</v>
      </c>
      <c r="H104" s="25">
        <v>2.5</v>
      </c>
      <c r="I104" s="25">
        <v>0.35</v>
      </c>
      <c r="J104" s="25">
        <v>0.67</v>
      </c>
      <c r="K104" s="26">
        <v>0</v>
      </c>
      <c r="L104" s="25">
        <f t="shared" si="8"/>
        <v>-3.2728547872488734</v>
      </c>
      <c r="M104" s="25">
        <f t="shared" si="14"/>
        <v>3.6514261092931315E-2</v>
      </c>
      <c r="N104" s="25">
        <f t="shared" si="9"/>
        <v>0.96348573890706868</v>
      </c>
      <c r="O104" s="25">
        <f t="shared" si="10"/>
        <v>-3.7197592579167986E-2</v>
      </c>
      <c r="P104" s="25">
        <f t="shared" si="11"/>
        <v>0</v>
      </c>
      <c r="Q104" s="25">
        <f t="shared" si="15"/>
        <v>581.55762474580024</v>
      </c>
      <c r="R104" s="25">
        <f t="shared" si="12"/>
        <v>5</v>
      </c>
      <c r="S104" s="26">
        <f t="shared" si="13"/>
        <v>8</v>
      </c>
      <c r="V104">
        <v>1531.25</v>
      </c>
      <c r="Y104">
        <v>1157.516198590758</v>
      </c>
      <c r="Z104">
        <v>2025.6533475338269</v>
      </c>
      <c r="AB104">
        <v>0.1157516198590758</v>
      </c>
      <c r="AC104">
        <v>0.2025653347533827</v>
      </c>
      <c r="AD104">
        <v>9</v>
      </c>
    </row>
    <row r="105" spans="2:33" x14ac:dyDescent="0.3">
      <c r="B105" s="24">
        <v>60063</v>
      </c>
      <c r="C105" s="25">
        <v>36</v>
      </c>
      <c r="D105" s="25">
        <v>2</v>
      </c>
      <c r="E105" s="25">
        <v>16</v>
      </c>
      <c r="F105" s="25">
        <v>4</v>
      </c>
      <c r="G105" s="25">
        <v>96</v>
      </c>
      <c r="H105" s="25">
        <v>12.2</v>
      </c>
      <c r="I105" s="25">
        <v>5.42</v>
      </c>
      <c r="J105" s="25">
        <v>6.29</v>
      </c>
      <c r="K105" s="26">
        <v>0</v>
      </c>
      <c r="L105" s="25">
        <f t="shared" si="8"/>
        <v>-1.073651726491025</v>
      </c>
      <c r="M105" s="25">
        <f t="shared" si="14"/>
        <v>0.25470924727553684</v>
      </c>
      <c r="N105" s="25">
        <f t="shared" si="9"/>
        <v>0.74529075272446321</v>
      </c>
      <c r="O105" s="25">
        <f t="shared" si="10"/>
        <v>-0.29398086462555673</v>
      </c>
      <c r="P105" s="25">
        <f t="shared" si="11"/>
        <v>0</v>
      </c>
      <c r="Q105" s="25">
        <f t="shared" si="15"/>
        <v>518.10203955099939</v>
      </c>
      <c r="R105" s="25">
        <f t="shared" si="12"/>
        <v>6</v>
      </c>
      <c r="S105" s="26">
        <f t="shared" si="13"/>
        <v>13</v>
      </c>
      <c r="V105">
        <v>2679.6875</v>
      </c>
      <c r="Y105">
        <v>2025.6533475338269</v>
      </c>
      <c r="Z105">
        <v>3544.893358184197</v>
      </c>
      <c r="AB105">
        <v>0.2025653347533827</v>
      </c>
      <c r="AC105">
        <v>0.35448933581841968</v>
      </c>
      <c r="AD105">
        <v>10</v>
      </c>
    </row>
    <row r="106" spans="2:33" x14ac:dyDescent="0.3">
      <c r="B106" s="24">
        <v>60070</v>
      </c>
      <c r="C106" s="25">
        <v>45</v>
      </c>
      <c r="D106" s="25">
        <v>1</v>
      </c>
      <c r="E106" s="25">
        <v>13</v>
      </c>
      <c r="F106" s="25">
        <v>7</v>
      </c>
      <c r="G106" s="25">
        <v>65</v>
      </c>
      <c r="H106" s="25">
        <v>28.6</v>
      </c>
      <c r="I106" s="25">
        <v>10.73</v>
      </c>
      <c r="J106" s="25">
        <v>7.86</v>
      </c>
      <c r="K106" s="26">
        <v>1</v>
      </c>
      <c r="L106" s="25">
        <f t="shared" si="8"/>
        <v>3.5483367176127816</v>
      </c>
      <c r="M106" s="25">
        <f t="shared" si="14"/>
        <v>0.97203224443610581</v>
      </c>
      <c r="N106" s="25">
        <f t="shared" si="9"/>
        <v>0.97203224443610581</v>
      </c>
      <c r="O106" s="25">
        <f t="shared" si="10"/>
        <v>-2.8366301783744632E-2</v>
      </c>
      <c r="P106" s="25">
        <f t="shared" si="11"/>
        <v>1</v>
      </c>
      <c r="Q106" s="25">
        <f t="shared" si="15"/>
        <v>384.73964718367256</v>
      </c>
      <c r="R106" s="25">
        <f t="shared" si="12"/>
        <v>8</v>
      </c>
      <c r="S106" s="26">
        <f t="shared" si="13"/>
        <v>17</v>
      </c>
      <c r="V106">
        <v>4689.453125</v>
      </c>
      <c r="Y106">
        <v>3544.893358184197</v>
      </c>
      <c r="Z106">
        <v>6203.5633768223461</v>
      </c>
      <c r="AB106">
        <v>0.35448933581841968</v>
      </c>
      <c r="AC106">
        <v>0.62035633768223464</v>
      </c>
      <c r="AD106">
        <v>11</v>
      </c>
    </row>
    <row r="107" spans="2:33" x14ac:dyDescent="0.3">
      <c r="B107" s="24">
        <v>60087</v>
      </c>
      <c r="C107" s="25">
        <v>59</v>
      </c>
      <c r="D107" s="25">
        <v>1</v>
      </c>
      <c r="E107" s="25">
        <v>34</v>
      </c>
      <c r="F107" s="25">
        <v>26</v>
      </c>
      <c r="G107" s="25">
        <v>154</v>
      </c>
      <c r="H107" s="25">
        <v>8.5</v>
      </c>
      <c r="I107" s="25">
        <v>8.33</v>
      </c>
      <c r="J107" s="25">
        <v>4.76</v>
      </c>
      <c r="K107" s="26">
        <v>0</v>
      </c>
      <c r="L107" s="25">
        <f t="shared" si="8"/>
        <v>-5.3218193433448748</v>
      </c>
      <c r="M107" s="25">
        <f t="shared" si="14"/>
        <v>4.8601240524165515E-3</v>
      </c>
      <c r="N107" s="25">
        <f t="shared" si="9"/>
        <v>0.99513987594758346</v>
      </c>
      <c r="O107" s="25">
        <f t="shared" si="10"/>
        <v>-4.8719728620312749E-3</v>
      </c>
      <c r="P107" s="25">
        <f t="shared" si="11"/>
        <v>0</v>
      </c>
      <c r="Q107" s="25">
        <f t="shared" si="15"/>
        <v>640.67824315093867</v>
      </c>
      <c r="R107" s="25">
        <f t="shared" si="12"/>
        <v>3</v>
      </c>
      <c r="S107" s="26">
        <f t="shared" si="13"/>
        <v>3</v>
      </c>
      <c r="V107">
        <v>8206.54296875</v>
      </c>
      <c r="Y107">
        <v>6203.5633768223461</v>
      </c>
      <c r="Z107">
        <v>9058.9971678712864</v>
      </c>
      <c r="AB107">
        <v>0.62035633768223464</v>
      </c>
      <c r="AC107">
        <v>0.90589971678712866</v>
      </c>
      <c r="AD107">
        <v>12</v>
      </c>
    </row>
    <row r="108" spans="2:33" x14ac:dyDescent="0.3">
      <c r="B108" s="24">
        <v>60090</v>
      </c>
      <c r="C108" s="25">
        <v>35</v>
      </c>
      <c r="D108" s="25">
        <v>2</v>
      </c>
      <c r="E108" s="25">
        <v>9</v>
      </c>
      <c r="F108" s="25">
        <v>1</v>
      </c>
      <c r="G108" s="25">
        <v>80</v>
      </c>
      <c r="H108" s="25">
        <v>12.9</v>
      </c>
      <c r="I108" s="25">
        <v>4.28</v>
      </c>
      <c r="J108" s="25">
        <v>6.04</v>
      </c>
      <c r="K108" s="26">
        <v>1</v>
      </c>
      <c r="L108" s="25">
        <f t="shared" si="8"/>
        <v>0.14924699225793775</v>
      </c>
      <c r="M108" s="25">
        <f t="shared" si="14"/>
        <v>0.53724264309960956</v>
      </c>
      <c r="N108" s="25">
        <f t="shared" si="9"/>
        <v>0.53724264309960956</v>
      </c>
      <c r="O108" s="25">
        <f t="shared" si="10"/>
        <v>-0.62130543717894438</v>
      </c>
      <c r="P108" s="25">
        <f t="shared" si="11"/>
        <v>1</v>
      </c>
      <c r="Q108" s="25">
        <f t="shared" si="15"/>
        <v>482.81664221008867</v>
      </c>
      <c r="R108" s="25">
        <f t="shared" si="12"/>
        <v>7</v>
      </c>
      <c r="S108" s="26">
        <f t="shared" si="13"/>
        <v>15</v>
      </c>
      <c r="V108">
        <v>10000</v>
      </c>
      <c r="Y108">
        <v>9058.9971678712864</v>
      </c>
      <c r="Z108">
        <v>10000</v>
      </c>
      <c r="AB108">
        <v>0.90589971678712866</v>
      </c>
      <c r="AC108">
        <v>1</v>
      </c>
      <c r="AD108">
        <v>13</v>
      </c>
    </row>
    <row r="109" spans="2:33" x14ac:dyDescent="0.3">
      <c r="B109" s="24">
        <v>60112</v>
      </c>
      <c r="C109" s="25">
        <v>62</v>
      </c>
      <c r="D109" s="25">
        <v>4</v>
      </c>
      <c r="E109" s="25">
        <v>31</v>
      </c>
      <c r="F109" s="25">
        <v>22</v>
      </c>
      <c r="G109" s="25">
        <v>387</v>
      </c>
      <c r="H109" s="25">
        <v>15</v>
      </c>
      <c r="I109" s="25">
        <v>5.4</v>
      </c>
      <c r="J109" s="25">
        <v>52.65</v>
      </c>
      <c r="K109" s="26">
        <v>0</v>
      </c>
      <c r="L109" s="25">
        <f t="shared" si="8"/>
        <v>-4.2227064609819198</v>
      </c>
      <c r="M109" s="25">
        <f t="shared" si="14"/>
        <v>1.4447137591233202E-2</v>
      </c>
      <c r="N109" s="25">
        <f t="shared" si="9"/>
        <v>0.98555286240876683</v>
      </c>
      <c r="O109" s="25">
        <f t="shared" si="10"/>
        <v>-1.455251363640157E-2</v>
      </c>
      <c r="P109" s="25">
        <f t="shared" si="11"/>
        <v>0</v>
      </c>
      <c r="Q109" s="25">
        <f t="shared" si="15"/>
        <v>608.96454995452621</v>
      </c>
      <c r="R109" s="25">
        <f t="shared" si="12"/>
        <v>4</v>
      </c>
      <c r="S109" s="26">
        <f t="shared" si="13"/>
        <v>6</v>
      </c>
    </row>
    <row r="110" spans="2:33" x14ac:dyDescent="0.3">
      <c r="B110" s="24">
        <v>60199</v>
      </c>
      <c r="C110" s="25">
        <v>29</v>
      </c>
      <c r="D110" s="25">
        <v>4</v>
      </c>
      <c r="E110" s="25">
        <v>1</v>
      </c>
      <c r="F110" s="25">
        <v>4</v>
      </c>
      <c r="G110" s="25">
        <v>38</v>
      </c>
      <c r="H110" s="25">
        <v>4.5</v>
      </c>
      <c r="I110" s="25">
        <v>0.82</v>
      </c>
      <c r="J110" s="25">
        <v>0.89</v>
      </c>
      <c r="K110" s="26">
        <v>1</v>
      </c>
      <c r="L110" s="25">
        <f t="shared" si="8"/>
        <v>-0.73050265539488057</v>
      </c>
      <c r="M110" s="25">
        <f t="shared" si="14"/>
        <v>0.32508443284477406</v>
      </c>
      <c r="N110" s="25">
        <f t="shared" si="9"/>
        <v>0.32508443284477406</v>
      </c>
      <c r="O110" s="25">
        <f t="shared" si="10"/>
        <v>-1.1236703370243175</v>
      </c>
      <c r="P110" s="25">
        <f t="shared" si="11"/>
        <v>0</v>
      </c>
      <c r="Q110" s="25">
        <f t="shared" si="15"/>
        <v>508.20085056849831</v>
      </c>
      <c r="R110" s="25">
        <f t="shared" si="12"/>
        <v>7</v>
      </c>
      <c r="S110" s="26">
        <f t="shared" si="13"/>
        <v>14</v>
      </c>
      <c r="Z110">
        <v>0</v>
      </c>
      <c r="AC110">
        <v>0</v>
      </c>
      <c r="AD110">
        <v>0</v>
      </c>
    </row>
    <row r="111" spans="2:33" x14ac:dyDescent="0.3">
      <c r="B111" s="24">
        <v>60220</v>
      </c>
      <c r="C111" s="25">
        <v>56</v>
      </c>
      <c r="D111" s="25">
        <v>3</v>
      </c>
      <c r="E111" s="25">
        <v>30</v>
      </c>
      <c r="F111" s="25">
        <v>14</v>
      </c>
      <c r="G111" s="25">
        <v>167</v>
      </c>
      <c r="H111" s="25">
        <v>1.4</v>
      </c>
      <c r="I111" s="25">
        <v>0.46</v>
      </c>
      <c r="J111" s="25">
        <v>1.88</v>
      </c>
      <c r="K111" s="26">
        <v>0</v>
      </c>
      <c r="L111" s="25">
        <f t="shared" si="8"/>
        <v>-8.5730823953439188</v>
      </c>
      <c r="M111" s="25">
        <f t="shared" si="14"/>
        <v>1.8909301781143447E-4</v>
      </c>
      <c r="N111" s="25">
        <f t="shared" si="9"/>
        <v>0.99981090698218855</v>
      </c>
      <c r="O111" s="25">
        <f t="shared" si="10"/>
        <v>-1.8911089815020756E-4</v>
      </c>
      <c r="P111" s="25">
        <f t="shared" si="11"/>
        <v>0</v>
      </c>
      <c r="Q111" s="25">
        <f t="shared" si="15"/>
        <v>734.48986212701391</v>
      </c>
      <c r="R111" s="25">
        <f t="shared" si="12"/>
        <v>1</v>
      </c>
      <c r="S111" s="26">
        <f t="shared" si="13"/>
        <v>1</v>
      </c>
      <c r="V111">
        <v>13</v>
      </c>
      <c r="Y111">
        <v>70</v>
      </c>
      <c r="Z111">
        <v>4.6666666666666669E-2</v>
      </c>
      <c r="AA111">
        <v>66</v>
      </c>
      <c r="AB111">
        <v>548</v>
      </c>
      <c r="AC111">
        <v>0.1204379562043796</v>
      </c>
      <c r="AD111">
        <v>4.6666666666666669E-2</v>
      </c>
      <c r="AE111">
        <v>4.6666666666666669E-2</v>
      </c>
      <c r="AF111">
        <v>0.96397634094386631</v>
      </c>
      <c r="AG111">
        <v>0.94285714285714284</v>
      </c>
    </row>
    <row r="112" spans="2:33" x14ac:dyDescent="0.3">
      <c r="B112" s="24">
        <v>60229</v>
      </c>
      <c r="C112" s="25">
        <v>24</v>
      </c>
      <c r="D112" s="25">
        <v>2</v>
      </c>
      <c r="E112" s="25">
        <v>4</v>
      </c>
      <c r="F112" s="25">
        <v>1</v>
      </c>
      <c r="G112" s="25">
        <v>39</v>
      </c>
      <c r="H112" s="25">
        <v>21.5</v>
      </c>
      <c r="I112" s="25">
        <v>3.97</v>
      </c>
      <c r="J112" s="25">
        <v>4.42</v>
      </c>
      <c r="K112" s="26">
        <v>1</v>
      </c>
      <c r="L112" s="25">
        <f t="shared" si="8"/>
        <v>2.1781737124357465</v>
      </c>
      <c r="M112" s="25">
        <f t="shared" si="14"/>
        <v>0.89827230880740694</v>
      </c>
      <c r="N112" s="25">
        <f t="shared" si="9"/>
        <v>0.89827230880740694</v>
      </c>
      <c r="O112" s="25">
        <f t="shared" si="10"/>
        <v>-0.10728201744118653</v>
      </c>
      <c r="P112" s="25">
        <f t="shared" si="11"/>
        <v>1</v>
      </c>
      <c r="Q112" s="25">
        <f t="shared" si="15"/>
        <v>424.27419351875022</v>
      </c>
      <c r="R112" s="25">
        <f t="shared" si="12"/>
        <v>8</v>
      </c>
      <c r="S112" s="26">
        <f t="shared" si="13"/>
        <v>16</v>
      </c>
      <c r="V112">
        <v>12</v>
      </c>
      <c r="Y112">
        <v>307</v>
      </c>
      <c r="Z112">
        <v>0.20466666666666669</v>
      </c>
      <c r="AA112">
        <v>245</v>
      </c>
      <c r="AB112">
        <v>548</v>
      </c>
      <c r="AC112">
        <v>0.4470802919708029</v>
      </c>
      <c r="AD112">
        <v>0.20466666666666669</v>
      </c>
      <c r="AE112">
        <v>0.158</v>
      </c>
      <c r="AF112">
        <v>0.75366725619289043</v>
      </c>
      <c r="AG112">
        <v>0.75527426160337552</v>
      </c>
    </row>
    <row r="113" spans="2:33" x14ac:dyDescent="0.3">
      <c r="B113" s="24">
        <v>60237</v>
      </c>
      <c r="C113" s="25">
        <v>32</v>
      </c>
      <c r="D113" s="25">
        <v>3</v>
      </c>
      <c r="E113" s="25">
        <v>1</v>
      </c>
      <c r="F113" s="25">
        <v>6</v>
      </c>
      <c r="G113" s="25">
        <v>45</v>
      </c>
      <c r="H113" s="25">
        <v>13.9</v>
      </c>
      <c r="I113" s="25">
        <v>1.51</v>
      </c>
      <c r="J113" s="25">
        <v>4.74</v>
      </c>
      <c r="K113" s="26">
        <v>1</v>
      </c>
      <c r="L113" s="25">
        <f t="shared" si="8"/>
        <v>0.55465170984766576</v>
      </c>
      <c r="M113" s="25">
        <f t="shared" si="14"/>
        <v>0.63521414832820444</v>
      </c>
      <c r="N113" s="25">
        <f t="shared" si="9"/>
        <v>0.63521414832820444</v>
      </c>
      <c r="O113" s="25">
        <f t="shared" si="10"/>
        <v>-0.45379309548082608</v>
      </c>
      <c r="P113" s="25">
        <f t="shared" si="11"/>
        <v>1</v>
      </c>
      <c r="Q113" s="25">
        <f t="shared" si="15"/>
        <v>471.11913502922641</v>
      </c>
      <c r="R113" s="25">
        <f t="shared" si="12"/>
        <v>7</v>
      </c>
      <c r="S113" s="26">
        <f t="shared" si="13"/>
        <v>15</v>
      </c>
      <c r="V113">
        <v>11</v>
      </c>
      <c r="Y113">
        <v>700</v>
      </c>
      <c r="Z113">
        <v>0.46666666666666667</v>
      </c>
      <c r="AA113">
        <v>433</v>
      </c>
      <c r="AB113">
        <v>548</v>
      </c>
      <c r="AC113">
        <v>0.79014598540145986</v>
      </c>
      <c r="AD113">
        <v>0.46666666666666667</v>
      </c>
      <c r="AE113">
        <v>0.26200000000000001</v>
      </c>
      <c r="AF113">
        <v>0.47514024710269709</v>
      </c>
      <c r="AG113">
        <v>0.47837150127226458</v>
      </c>
    </row>
    <row r="114" spans="2:33" x14ac:dyDescent="0.3">
      <c r="B114" s="24">
        <v>60256</v>
      </c>
      <c r="C114" s="25">
        <v>25</v>
      </c>
      <c r="D114" s="25">
        <v>2</v>
      </c>
      <c r="E114" s="25">
        <v>6</v>
      </c>
      <c r="F114" s="25">
        <v>2</v>
      </c>
      <c r="G114" s="25">
        <v>29</v>
      </c>
      <c r="H114" s="25">
        <v>5.9</v>
      </c>
      <c r="I114" s="25">
        <v>0.64</v>
      </c>
      <c r="J114" s="25">
        <v>1.07</v>
      </c>
      <c r="K114" s="26">
        <v>0</v>
      </c>
      <c r="L114" s="25">
        <f t="shared" si="8"/>
        <v>-1.5465831146136981</v>
      </c>
      <c r="M114" s="25">
        <f t="shared" si="14"/>
        <v>0.17558032057858422</v>
      </c>
      <c r="N114" s="25">
        <f t="shared" si="9"/>
        <v>0.82441967942141581</v>
      </c>
      <c r="O114" s="25">
        <f t="shared" si="10"/>
        <v>-0.19307555904572901</v>
      </c>
      <c r="P114" s="25">
        <f t="shared" si="11"/>
        <v>0</v>
      </c>
      <c r="Q114" s="25">
        <f t="shared" si="15"/>
        <v>531.74795453075217</v>
      </c>
      <c r="R114" s="25">
        <f t="shared" si="12"/>
        <v>6</v>
      </c>
      <c r="S114" s="26">
        <f t="shared" si="13"/>
        <v>12</v>
      </c>
      <c r="V114">
        <v>10</v>
      </c>
      <c r="Y114">
        <v>969</v>
      </c>
      <c r="Z114">
        <v>0.64600000000000002</v>
      </c>
      <c r="AA114">
        <v>506</v>
      </c>
      <c r="AB114">
        <v>548</v>
      </c>
      <c r="AC114">
        <v>0.92335766423357668</v>
      </c>
      <c r="AD114">
        <v>0.64600000000000002</v>
      </c>
      <c r="AE114">
        <v>0.17933333333333329</v>
      </c>
      <c r="AF114">
        <v>0.27757074855190661</v>
      </c>
      <c r="AG114">
        <v>0.27137546468401491</v>
      </c>
    </row>
    <row r="115" spans="2:33" x14ac:dyDescent="0.3">
      <c r="B115" s="24">
        <v>60309</v>
      </c>
      <c r="C115" s="25">
        <v>37</v>
      </c>
      <c r="D115" s="25">
        <v>1</v>
      </c>
      <c r="E115" s="25">
        <v>9</v>
      </c>
      <c r="F115" s="25">
        <v>6</v>
      </c>
      <c r="G115" s="25">
        <v>33</v>
      </c>
      <c r="H115" s="25">
        <v>1.2</v>
      </c>
      <c r="I115" s="25">
        <v>0.11</v>
      </c>
      <c r="J115" s="25">
        <v>0.28000000000000003</v>
      </c>
      <c r="K115" s="26">
        <v>0</v>
      </c>
      <c r="L115" s="25">
        <f t="shared" si="8"/>
        <v>-3.2996842831226219</v>
      </c>
      <c r="M115" s="25">
        <f t="shared" si="14"/>
        <v>3.5582021806134616E-2</v>
      </c>
      <c r="N115" s="25">
        <f t="shared" si="9"/>
        <v>0.96441797819386543</v>
      </c>
      <c r="O115" s="25">
        <f t="shared" si="10"/>
        <v>-3.6230491005384259E-2</v>
      </c>
      <c r="P115" s="25">
        <f t="shared" si="11"/>
        <v>0</v>
      </c>
      <c r="Q115" s="25">
        <f t="shared" si="15"/>
        <v>582.33176033679183</v>
      </c>
      <c r="R115" s="25">
        <f t="shared" si="12"/>
        <v>5</v>
      </c>
      <c r="S115" s="26">
        <f t="shared" si="13"/>
        <v>8</v>
      </c>
      <c r="V115">
        <v>9</v>
      </c>
      <c r="Y115">
        <v>1143</v>
      </c>
      <c r="Z115">
        <v>0.76200000000000001</v>
      </c>
      <c r="AA115">
        <v>535</v>
      </c>
      <c r="AB115">
        <v>548</v>
      </c>
      <c r="AC115">
        <v>0.97627737226277367</v>
      </c>
      <c r="AD115">
        <v>0.76200000000000001</v>
      </c>
      <c r="AE115">
        <v>0.11600000000000001</v>
      </c>
      <c r="AF115">
        <v>0.15836500770591819</v>
      </c>
      <c r="AG115">
        <v>0.16666666666666671</v>
      </c>
    </row>
    <row r="116" spans="2:33" x14ac:dyDescent="0.3">
      <c r="B116" s="24">
        <v>60324</v>
      </c>
      <c r="C116" s="25">
        <v>27</v>
      </c>
      <c r="D116" s="25">
        <v>3</v>
      </c>
      <c r="E116" s="25">
        <v>1</v>
      </c>
      <c r="F116" s="25">
        <v>2</v>
      </c>
      <c r="G116" s="25">
        <v>28</v>
      </c>
      <c r="H116" s="25">
        <v>23.5</v>
      </c>
      <c r="I116" s="25">
        <v>0.82</v>
      </c>
      <c r="J116" s="25">
        <v>5.76</v>
      </c>
      <c r="K116" s="26">
        <v>0</v>
      </c>
      <c r="L116" s="25">
        <f t="shared" si="8"/>
        <v>1.4443674355636789</v>
      </c>
      <c r="M116" s="25">
        <f t="shared" si="14"/>
        <v>0.80913006289420142</v>
      </c>
      <c r="N116" s="25">
        <f t="shared" si="9"/>
        <v>0.19086993710579858</v>
      </c>
      <c r="O116" s="25">
        <f t="shared" si="10"/>
        <v>-1.6561630404536791</v>
      </c>
      <c r="P116" s="25">
        <f t="shared" si="11"/>
        <v>1</v>
      </c>
      <c r="Q116" s="25">
        <f t="shared" si="15"/>
        <v>445.44736645098914</v>
      </c>
      <c r="R116" s="25">
        <f t="shared" si="12"/>
        <v>8</v>
      </c>
      <c r="S116" s="26">
        <f t="shared" si="13"/>
        <v>16</v>
      </c>
      <c r="V116">
        <v>8</v>
      </c>
      <c r="Y116">
        <v>1227</v>
      </c>
      <c r="Z116">
        <v>0.81799999999999995</v>
      </c>
      <c r="AA116">
        <v>544</v>
      </c>
      <c r="AB116">
        <v>548</v>
      </c>
      <c r="AC116">
        <v>0.99270072992700731</v>
      </c>
      <c r="AD116">
        <v>0.81799999999999995</v>
      </c>
      <c r="AE116">
        <v>5.6000000000000001E-2</v>
      </c>
      <c r="AF116">
        <v>8.9173920076573154E-2</v>
      </c>
      <c r="AG116">
        <v>0.1071428571428571</v>
      </c>
    </row>
    <row r="117" spans="2:33" x14ac:dyDescent="0.3">
      <c r="B117" s="24">
        <v>60346</v>
      </c>
      <c r="C117" s="25">
        <v>56</v>
      </c>
      <c r="D117" s="25">
        <v>2</v>
      </c>
      <c r="E117" s="25">
        <v>37</v>
      </c>
      <c r="F117" s="25">
        <v>10</v>
      </c>
      <c r="G117" s="25">
        <v>160</v>
      </c>
      <c r="H117" s="25">
        <v>11.4</v>
      </c>
      <c r="I117" s="25">
        <v>6.77</v>
      </c>
      <c r="J117" s="25">
        <v>11.47</v>
      </c>
      <c r="K117" s="26">
        <v>0</v>
      </c>
      <c r="L117" s="25">
        <f t="shared" si="8"/>
        <v>-5.7479901394923525</v>
      </c>
      <c r="M117" s="25">
        <f t="shared" si="14"/>
        <v>3.1790456127710185E-3</v>
      </c>
      <c r="N117" s="25">
        <f t="shared" si="9"/>
        <v>0.99682095438722895</v>
      </c>
      <c r="O117" s="25">
        <f t="shared" si="10"/>
        <v>-3.1841095133704322E-3</v>
      </c>
      <c r="P117" s="25">
        <f t="shared" si="11"/>
        <v>0</v>
      </c>
      <c r="Q117" s="25">
        <f t="shared" si="15"/>
        <v>652.97493268589835</v>
      </c>
      <c r="R117" s="25">
        <f t="shared" si="12"/>
        <v>2</v>
      </c>
      <c r="S117" s="26">
        <f t="shared" si="13"/>
        <v>2</v>
      </c>
      <c r="V117">
        <v>7</v>
      </c>
      <c r="Y117">
        <v>1291</v>
      </c>
      <c r="Z117">
        <v>0.86066666666666669</v>
      </c>
      <c r="AA117">
        <v>547</v>
      </c>
      <c r="AB117">
        <v>548</v>
      </c>
      <c r="AC117">
        <v>0.99817518248175185</v>
      </c>
      <c r="AD117">
        <v>0.86066666666666669</v>
      </c>
      <c r="AE117">
        <v>4.2666666666666672E-2</v>
      </c>
      <c r="AF117">
        <v>4.9932245585855968E-2</v>
      </c>
      <c r="AG117">
        <v>4.6875E-2</v>
      </c>
    </row>
    <row r="118" spans="2:33" x14ac:dyDescent="0.3">
      <c r="B118" s="24">
        <v>60410</v>
      </c>
      <c r="C118" s="25">
        <v>31</v>
      </c>
      <c r="D118" s="25">
        <v>2</v>
      </c>
      <c r="E118" s="25">
        <v>11</v>
      </c>
      <c r="F118" s="25">
        <v>6</v>
      </c>
      <c r="G118" s="25">
        <v>61</v>
      </c>
      <c r="H118" s="25">
        <v>34.4</v>
      </c>
      <c r="I118" s="25">
        <v>9.48</v>
      </c>
      <c r="J118" s="25">
        <v>11.5</v>
      </c>
      <c r="K118" s="26">
        <v>1</v>
      </c>
      <c r="L118" s="25">
        <f t="shared" si="8"/>
        <v>4.3586662043815929</v>
      </c>
      <c r="M118" s="25">
        <f t="shared" si="14"/>
        <v>0.98736621213125741</v>
      </c>
      <c r="N118" s="25">
        <f t="shared" si="9"/>
        <v>0.98736621213125741</v>
      </c>
      <c r="O118" s="25">
        <f t="shared" si="10"/>
        <v>-1.2714272771360557E-2</v>
      </c>
      <c r="P118" s="25">
        <f t="shared" si="11"/>
        <v>1</v>
      </c>
      <c r="Q118" s="25">
        <f t="shared" si="15"/>
        <v>361.3584812053939</v>
      </c>
      <c r="R118" s="25">
        <f t="shared" si="12"/>
        <v>8</v>
      </c>
      <c r="S118" s="26">
        <f t="shared" si="13"/>
        <v>17</v>
      </c>
      <c r="V118">
        <v>6</v>
      </c>
      <c r="Y118">
        <v>1336</v>
      </c>
      <c r="Z118">
        <v>0.89066666666666672</v>
      </c>
      <c r="AA118">
        <v>548</v>
      </c>
      <c r="AB118">
        <v>548</v>
      </c>
      <c r="AC118">
        <v>1</v>
      </c>
      <c r="AD118">
        <v>0.89066666666666672</v>
      </c>
      <c r="AE118">
        <v>0.03</v>
      </c>
      <c r="AF118">
        <v>3.0238137796045259E-2</v>
      </c>
      <c r="AG118">
        <v>2.222222222222222E-2</v>
      </c>
    </row>
    <row r="119" spans="2:33" x14ac:dyDescent="0.3">
      <c r="B119" s="24">
        <v>60435</v>
      </c>
      <c r="C119" s="25">
        <v>59</v>
      </c>
      <c r="D119" s="25">
        <v>1</v>
      </c>
      <c r="E119" s="25">
        <v>31</v>
      </c>
      <c r="F119" s="25">
        <v>15</v>
      </c>
      <c r="G119" s="25">
        <v>86</v>
      </c>
      <c r="H119" s="25">
        <v>6.8</v>
      </c>
      <c r="I119" s="25">
        <v>1.61</v>
      </c>
      <c r="J119" s="25">
        <v>4.2300000000000004</v>
      </c>
      <c r="K119" s="26">
        <v>0</v>
      </c>
      <c r="L119" s="25">
        <f t="shared" si="8"/>
        <v>-7.6659031007434004</v>
      </c>
      <c r="M119" s="25">
        <f t="shared" si="14"/>
        <v>4.6831401049410575E-4</v>
      </c>
      <c r="N119" s="25">
        <f t="shared" si="9"/>
        <v>0.99953168598950592</v>
      </c>
      <c r="O119" s="25">
        <f t="shared" si="10"/>
        <v>-4.6842370374888343E-4</v>
      </c>
      <c r="P119" s="25">
        <f t="shared" si="11"/>
        <v>0</v>
      </c>
      <c r="Q119" s="25">
        <f t="shared" si="15"/>
        <v>708.31420147853999</v>
      </c>
      <c r="R119" s="25">
        <f t="shared" si="12"/>
        <v>1</v>
      </c>
      <c r="S119" s="26">
        <f t="shared" si="13"/>
        <v>1</v>
      </c>
      <c r="V119">
        <v>5</v>
      </c>
      <c r="Y119">
        <v>1359</v>
      </c>
      <c r="Z119">
        <v>0.90600000000000003</v>
      </c>
      <c r="AA119">
        <v>548</v>
      </c>
      <c r="AB119">
        <v>548</v>
      </c>
      <c r="AC119">
        <v>1</v>
      </c>
      <c r="AD119">
        <v>0.90600000000000003</v>
      </c>
      <c r="AE119">
        <v>1.5333333333333331E-2</v>
      </c>
      <c r="AF119">
        <v>1.6685361834630898E-2</v>
      </c>
      <c r="AG119">
        <v>0</v>
      </c>
    </row>
    <row r="120" spans="2:33" x14ac:dyDescent="0.3">
      <c r="B120" s="24">
        <v>60494</v>
      </c>
      <c r="C120" s="25">
        <v>65</v>
      </c>
      <c r="D120" s="25">
        <v>3</v>
      </c>
      <c r="E120" s="25">
        <v>26</v>
      </c>
      <c r="F120" s="25">
        <v>16</v>
      </c>
      <c r="G120" s="25">
        <v>186</v>
      </c>
      <c r="H120" s="25">
        <v>4.2</v>
      </c>
      <c r="I120" s="25">
        <v>2.98</v>
      </c>
      <c r="J120" s="25">
        <v>4.83</v>
      </c>
      <c r="K120" s="26">
        <v>0</v>
      </c>
      <c r="L120" s="25">
        <f t="shared" si="8"/>
        <v>-6.3765426341721696</v>
      </c>
      <c r="M120" s="25">
        <f t="shared" si="14"/>
        <v>1.6981052932093649E-3</v>
      </c>
      <c r="N120" s="25">
        <f t="shared" si="9"/>
        <v>0.99830189470679065</v>
      </c>
      <c r="O120" s="25">
        <f t="shared" si="10"/>
        <v>-1.6995487082813881E-3</v>
      </c>
      <c r="P120" s="25">
        <f t="shared" si="11"/>
        <v>0</v>
      </c>
      <c r="Q120" s="25">
        <f t="shared" si="15"/>
        <v>671.11112351214035</v>
      </c>
      <c r="R120" s="25">
        <f t="shared" si="12"/>
        <v>2</v>
      </c>
      <c r="S120" s="26">
        <f t="shared" si="13"/>
        <v>1</v>
      </c>
      <c r="V120">
        <v>4</v>
      </c>
      <c r="Y120">
        <v>1384</v>
      </c>
      <c r="Z120">
        <v>0.92266666666666663</v>
      </c>
      <c r="AA120">
        <v>548</v>
      </c>
      <c r="AB120">
        <v>548</v>
      </c>
      <c r="AC120">
        <v>1</v>
      </c>
      <c r="AD120">
        <v>0.92266666666666663</v>
      </c>
      <c r="AE120">
        <v>1.666666666666667E-2</v>
      </c>
      <c r="AF120">
        <v>9.6943983299120247E-3</v>
      </c>
      <c r="AG120">
        <v>0</v>
      </c>
    </row>
    <row r="121" spans="2:33" x14ac:dyDescent="0.3">
      <c r="B121" s="24">
        <v>60497</v>
      </c>
      <c r="C121" s="25">
        <v>26</v>
      </c>
      <c r="D121" s="25">
        <v>1</v>
      </c>
      <c r="E121" s="25">
        <v>0</v>
      </c>
      <c r="F121" s="25">
        <v>3</v>
      </c>
      <c r="G121" s="25">
        <v>29</v>
      </c>
      <c r="H121" s="25">
        <v>16.899999999999999</v>
      </c>
      <c r="I121" s="25">
        <v>3.09</v>
      </c>
      <c r="J121" s="25">
        <v>1.81</v>
      </c>
      <c r="K121" s="26">
        <v>1</v>
      </c>
      <c r="L121" s="25">
        <f t="shared" si="8"/>
        <v>2.0852248114067917</v>
      </c>
      <c r="M121" s="25">
        <f t="shared" si="14"/>
        <v>0.88945879269221773</v>
      </c>
      <c r="N121" s="25">
        <f t="shared" si="9"/>
        <v>0.88945879269221773</v>
      </c>
      <c r="O121" s="25">
        <f t="shared" si="10"/>
        <v>-0.11714209932122112</v>
      </c>
      <c r="P121" s="25">
        <f t="shared" si="11"/>
        <v>1</v>
      </c>
      <c r="Q121" s="25">
        <f t="shared" si="15"/>
        <v>426.95613181414956</v>
      </c>
      <c r="R121" s="25">
        <f t="shared" si="12"/>
        <v>8</v>
      </c>
      <c r="S121" s="26">
        <f t="shared" si="13"/>
        <v>16</v>
      </c>
      <c r="V121">
        <v>3</v>
      </c>
      <c r="Y121">
        <v>1412</v>
      </c>
      <c r="Z121">
        <v>0.94133333333333336</v>
      </c>
      <c r="AA121">
        <v>548</v>
      </c>
      <c r="AB121">
        <v>548</v>
      </c>
      <c r="AC121">
        <v>1</v>
      </c>
      <c r="AD121">
        <v>0.94133333333333336</v>
      </c>
      <c r="AE121">
        <v>1.8666666666666672E-2</v>
      </c>
      <c r="AF121">
        <v>5.2748791555581312E-3</v>
      </c>
      <c r="AG121">
        <v>0</v>
      </c>
    </row>
    <row r="122" spans="2:33" x14ac:dyDescent="0.3">
      <c r="B122" s="24">
        <v>60499</v>
      </c>
      <c r="C122" s="25">
        <v>27</v>
      </c>
      <c r="D122" s="25">
        <v>3</v>
      </c>
      <c r="E122" s="25">
        <v>3</v>
      </c>
      <c r="F122" s="25">
        <v>4</v>
      </c>
      <c r="G122" s="25">
        <v>68</v>
      </c>
      <c r="H122" s="25">
        <v>24.9</v>
      </c>
      <c r="I122" s="25">
        <v>5.23</v>
      </c>
      <c r="J122" s="25">
        <v>11.7</v>
      </c>
      <c r="K122" s="26">
        <v>1</v>
      </c>
      <c r="L122" s="25">
        <f t="shared" si="8"/>
        <v>3.3135381698989343</v>
      </c>
      <c r="M122" s="25">
        <f t="shared" si="14"/>
        <v>0.96489034063029977</v>
      </c>
      <c r="N122" s="25">
        <f t="shared" si="9"/>
        <v>0.96489034063029977</v>
      </c>
      <c r="O122" s="25">
        <f t="shared" si="10"/>
        <v>-3.574082075282381E-2</v>
      </c>
      <c r="P122" s="25">
        <f t="shared" si="11"/>
        <v>1</v>
      </c>
      <c r="Q122" s="25">
        <f t="shared" si="15"/>
        <v>391.51450099955315</v>
      </c>
      <c r="R122" s="25">
        <f t="shared" si="12"/>
        <v>8</v>
      </c>
      <c r="S122" s="26">
        <f t="shared" si="13"/>
        <v>17</v>
      </c>
      <c r="V122">
        <v>2</v>
      </c>
      <c r="Y122">
        <v>1436</v>
      </c>
      <c r="Z122">
        <v>0.95733333333333337</v>
      </c>
      <c r="AA122">
        <v>548</v>
      </c>
      <c r="AB122">
        <v>548</v>
      </c>
      <c r="AC122">
        <v>1</v>
      </c>
      <c r="AD122">
        <v>0.95733333333333337</v>
      </c>
      <c r="AE122">
        <v>1.6E-2</v>
      </c>
      <c r="AF122">
        <v>2.980661049170978E-3</v>
      </c>
      <c r="AG122">
        <v>0</v>
      </c>
    </row>
    <row r="123" spans="2:33" x14ac:dyDescent="0.3">
      <c r="B123" s="24">
        <v>60515</v>
      </c>
      <c r="C123" s="25">
        <v>30</v>
      </c>
      <c r="D123" s="25">
        <v>1</v>
      </c>
      <c r="E123" s="25">
        <v>6</v>
      </c>
      <c r="F123" s="25">
        <v>3</v>
      </c>
      <c r="G123" s="25">
        <v>22</v>
      </c>
      <c r="H123" s="25">
        <v>15.5</v>
      </c>
      <c r="I123" s="25">
        <v>0.13</v>
      </c>
      <c r="J123" s="25">
        <v>3.28</v>
      </c>
      <c r="K123" s="26">
        <v>1</v>
      </c>
      <c r="L123" s="25">
        <f t="shared" si="8"/>
        <v>-0.86492875251476553</v>
      </c>
      <c r="M123" s="25">
        <f t="shared" si="14"/>
        <v>0.29631061764305777</v>
      </c>
      <c r="N123" s="25">
        <f t="shared" si="9"/>
        <v>0.29631061764305777</v>
      </c>
      <c r="O123" s="25">
        <f t="shared" si="10"/>
        <v>-1.2163469909472497</v>
      </c>
      <c r="P123" s="25">
        <f t="shared" si="11"/>
        <v>0</v>
      </c>
      <c r="Q123" s="25">
        <f t="shared" si="15"/>
        <v>512.07956773218575</v>
      </c>
      <c r="R123" s="25">
        <f t="shared" si="12"/>
        <v>7</v>
      </c>
      <c r="S123" s="26">
        <f t="shared" si="13"/>
        <v>13</v>
      </c>
      <c r="V123">
        <v>1</v>
      </c>
      <c r="Y123">
        <v>1500</v>
      </c>
      <c r="Z123">
        <v>1</v>
      </c>
      <c r="AA123">
        <v>548</v>
      </c>
      <c r="AB123">
        <v>548</v>
      </c>
      <c r="AC123">
        <v>1</v>
      </c>
      <c r="AD123">
        <v>1</v>
      </c>
      <c r="AE123">
        <v>4.2666666666666672E-2</v>
      </c>
      <c r="AF123">
        <v>9.0654626646343036E-4</v>
      </c>
      <c r="AG123">
        <v>0</v>
      </c>
    </row>
    <row r="124" spans="2:33" x14ac:dyDescent="0.3">
      <c r="B124" s="24">
        <v>60625</v>
      </c>
      <c r="C124" s="25">
        <v>43</v>
      </c>
      <c r="D124" s="25">
        <v>1</v>
      </c>
      <c r="E124" s="25">
        <v>22</v>
      </c>
      <c r="F124" s="25">
        <v>13</v>
      </c>
      <c r="G124" s="25">
        <v>96</v>
      </c>
      <c r="H124" s="25">
        <v>1.2</v>
      </c>
      <c r="I124" s="25">
        <v>0.34</v>
      </c>
      <c r="J124" s="25">
        <v>0.81</v>
      </c>
      <c r="K124" s="26">
        <v>0</v>
      </c>
      <c r="L124" s="25">
        <f t="shared" si="8"/>
        <v>-6.4622865547396904</v>
      </c>
      <c r="M124" s="25">
        <f t="shared" si="14"/>
        <v>1.5587881927472704E-3</v>
      </c>
      <c r="N124" s="25">
        <f t="shared" si="9"/>
        <v>0.99844121180725276</v>
      </c>
      <c r="O124" s="25">
        <f t="shared" si="10"/>
        <v>-1.5600043670652506E-3</v>
      </c>
      <c r="P124" s="25">
        <f t="shared" si="11"/>
        <v>0</v>
      </c>
      <c r="Q124" s="25">
        <f t="shared" si="15"/>
        <v>673.58517002180361</v>
      </c>
      <c r="R124" s="25">
        <f t="shared" si="12"/>
        <v>2</v>
      </c>
      <c r="S124" s="26">
        <f t="shared" si="13"/>
        <v>1</v>
      </c>
    </row>
    <row r="125" spans="2:33" x14ac:dyDescent="0.3">
      <c r="B125" s="24">
        <v>60634</v>
      </c>
      <c r="C125" s="25">
        <v>30</v>
      </c>
      <c r="D125" s="25">
        <v>4</v>
      </c>
      <c r="E125" s="25">
        <v>4</v>
      </c>
      <c r="F125" s="25">
        <v>5</v>
      </c>
      <c r="G125" s="25">
        <v>64</v>
      </c>
      <c r="H125" s="25">
        <v>14.1</v>
      </c>
      <c r="I125" s="25">
        <v>2.83</v>
      </c>
      <c r="J125" s="25">
        <v>6.19</v>
      </c>
      <c r="K125" s="26">
        <v>0</v>
      </c>
      <c r="L125" s="25">
        <f t="shared" si="8"/>
        <v>0.58418266589830203</v>
      </c>
      <c r="M125" s="25">
        <f t="shared" si="14"/>
        <v>0.64202926876558619</v>
      </c>
      <c r="N125" s="25">
        <f t="shared" si="9"/>
        <v>0.35797073123441381</v>
      </c>
      <c r="O125" s="25">
        <f t="shared" si="10"/>
        <v>-1.0273040522521206</v>
      </c>
      <c r="P125" s="25">
        <f t="shared" si="11"/>
        <v>1</v>
      </c>
      <c r="Q125" s="25">
        <f t="shared" si="15"/>
        <v>470.26705177643697</v>
      </c>
      <c r="R125" s="25">
        <f t="shared" si="12"/>
        <v>7</v>
      </c>
      <c r="S125" s="26">
        <f t="shared" si="13"/>
        <v>15</v>
      </c>
    </row>
    <row r="126" spans="2:33" x14ac:dyDescent="0.3">
      <c r="B126" s="24">
        <v>60657</v>
      </c>
      <c r="C126" s="25">
        <v>18</v>
      </c>
      <c r="D126" s="25">
        <v>2</v>
      </c>
      <c r="E126" s="25">
        <v>0</v>
      </c>
      <c r="F126" s="25">
        <v>0</v>
      </c>
      <c r="G126" s="25">
        <v>19</v>
      </c>
      <c r="H126" s="25">
        <v>14</v>
      </c>
      <c r="I126" s="25">
        <v>0.56000000000000005</v>
      </c>
      <c r="J126" s="25">
        <v>2.1</v>
      </c>
      <c r="K126" s="26">
        <v>1</v>
      </c>
      <c r="L126" s="25">
        <f t="shared" si="8"/>
        <v>0.81996975534950134</v>
      </c>
      <c r="M126" s="25">
        <f t="shared" si="14"/>
        <v>0.69422991997047934</v>
      </c>
      <c r="N126" s="25">
        <f t="shared" si="9"/>
        <v>0.69422991997047934</v>
      </c>
      <c r="O126" s="25">
        <f t="shared" si="10"/>
        <v>-0.36495207655456124</v>
      </c>
      <c r="P126" s="25">
        <f t="shared" si="11"/>
        <v>1</v>
      </c>
      <c r="Q126" s="25">
        <f t="shared" si="15"/>
        <v>463.463674676121</v>
      </c>
      <c r="R126" s="25">
        <f t="shared" si="12"/>
        <v>8</v>
      </c>
      <c r="S126" s="26">
        <f t="shared" si="13"/>
        <v>15</v>
      </c>
      <c r="Y126">
        <v>13</v>
      </c>
      <c r="Z126">
        <v>5.4313099041533537E-2</v>
      </c>
      <c r="AA126">
        <v>3.3868092691622102E-2</v>
      </c>
      <c r="AB126">
        <v>4.1935538457980488E-3</v>
      </c>
    </row>
    <row r="127" spans="2:33" x14ac:dyDescent="0.3">
      <c r="B127" s="24">
        <v>60686</v>
      </c>
      <c r="C127" s="25">
        <v>24</v>
      </c>
      <c r="D127" s="25">
        <v>3</v>
      </c>
      <c r="E127" s="25">
        <v>1</v>
      </c>
      <c r="F127" s="25">
        <v>1</v>
      </c>
      <c r="G127" s="25">
        <v>33</v>
      </c>
      <c r="H127" s="25">
        <v>14</v>
      </c>
      <c r="I127" s="25">
        <v>0.06</v>
      </c>
      <c r="J127" s="25">
        <v>4.5599999999999996</v>
      </c>
      <c r="K127" s="26">
        <v>0</v>
      </c>
      <c r="L127" s="25">
        <f t="shared" si="8"/>
        <v>0.2062138023033559</v>
      </c>
      <c r="M127" s="25">
        <f t="shared" si="14"/>
        <v>0.55137153530304395</v>
      </c>
      <c r="N127" s="25">
        <f t="shared" si="9"/>
        <v>0.44862846469695605</v>
      </c>
      <c r="O127" s="25">
        <f t="shared" si="10"/>
        <v>-0.80156020661979377</v>
      </c>
      <c r="P127" s="25">
        <f t="shared" si="11"/>
        <v>1</v>
      </c>
      <c r="Q127" s="25">
        <f t="shared" si="15"/>
        <v>481.17292756971921</v>
      </c>
      <c r="R127" s="25">
        <f t="shared" si="12"/>
        <v>7</v>
      </c>
      <c r="S127" s="26">
        <f t="shared" si="13"/>
        <v>15</v>
      </c>
      <c r="Y127">
        <v>12</v>
      </c>
      <c r="Z127">
        <v>0.15867944621938229</v>
      </c>
      <c r="AA127">
        <v>0.16221033868092691</v>
      </c>
      <c r="AB127">
        <v>3.3747757881218639E-5</v>
      </c>
    </row>
    <row r="128" spans="2:33" x14ac:dyDescent="0.3">
      <c r="B128" s="24">
        <v>60777</v>
      </c>
      <c r="C128" s="25">
        <v>31</v>
      </c>
      <c r="D128" s="25">
        <v>4</v>
      </c>
      <c r="E128" s="25">
        <v>0</v>
      </c>
      <c r="F128" s="25">
        <v>6</v>
      </c>
      <c r="G128" s="25">
        <v>28</v>
      </c>
      <c r="H128" s="25">
        <v>4.5</v>
      </c>
      <c r="I128" s="25">
        <v>7.0000000000000007E-2</v>
      </c>
      <c r="J128" s="25">
        <v>1.19</v>
      </c>
      <c r="K128" s="26">
        <v>0</v>
      </c>
      <c r="L128" s="25">
        <f t="shared" si="8"/>
        <v>-0.96257737541937027</v>
      </c>
      <c r="M128" s="25">
        <f t="shared" si="14"/>
        <v>0.27636245824684391</v>
      </c>
      <c r="N128" s="25">
        <f t="shared" si="9"/>
        <v>0.72363754175315609</v>
      </c>
      <c r="O128" s="25">
        <f t="shared" si="10"/>
        <v>-0.32346464489256033</v>
      </c>
      <c r="P128" s="25">
        <f t="shared" si="11"/>
        <v>0</v>
      </c>
      <c r="Q128" s="25">
        <f t="shared" si="15"/>
        <v>514.89711133261301</v>
      </c>
      <c r="R128" s="25">
        <f t="shared" si="12"/>
        <v>7</v>
      </c>
      <c r="S128" s="26">
        <f t="shared" si="13"/>
        <v>13</v>
      </c>
      <c r="Y128">
        <v>11</v>
      </c>
      <c r="Z128">
        <v>0.26730564430244941</v>
      </c>
      <c r="AA128">
        <v>0.26024955436720137</v>
      </c>
      <c r="AB128">
        <v>8.1978603228837223E-5</v>
      </c>
    </row>
    <row r="129" spans="2:29" x14ac:dyDescent="0.3">
      <c r="B129" s="24">
        <v>60925</v>
      </c>
      <c r="C129" s="25">
        <v>25</v>
      </c>
      <c r="D129" s="25">
        <v>1</v>
      </c>
      <c r="E129" s="25">
        <v>4</v>
      </c>
      <c r="F129" s="25">
        <v>3</v>
      </c>
      <c r="G129" s="25">
        <v>31</v>
      </c>
      <c r="H129" s="25">
        <v>3.1</v>
      </c>
      <c r="I129" s="25">
        <v>0.37</v>
      </c>
      <c r="J129" s="25">
        <v>0.59</v>
      </c>
      <c r="K129" s="26">
        <v>0</v>
      </c>
      <c r="L129" s="25">
        <f t="shared" si="8"/>
        <v>-1.4917360629028713</v>
      </c>
      <c r="M129" s="25">
        <f t="shared" si="14"/>
        <v>0.18366129685361493</v>
      </c>
      <c r="N129" s="25">
        <f t="shared" si="9"/>
        <v>0.81633870314638513</v>
      </c>
      <c r="O129" s="25">
        <f t="shared" si="10"/>
        <v>-0.20292593275354168</v>
      </c>
      <c r="P129" s="25">
        <f t="shared" si="11"/>
        <v>0</v>
      </c>
      <c r="Q129" s="25">
        <f t="shared" si="15"/>
        <v>530.16540318539319</v>
      </c>
      <c r="R129" s="25">
        <f t="shared" si="12"/>
        <v>6</v>
      </c>
      <c r="S129" s="26">
        <f t="shared" si="13"/>
        <v>12</v>
      </c>
      <c r="Y129">
        <v>10</v>
      </c>
      <c r="Z129">
        <v>0.17252396166134179</v>
      </c>
      <c r="AA129">
        <v>0.18003565062388591</v>
      </c>
      <c r="AB129">
        <v>1.3903452893736459E-4</v>
      </c>
    </row>
    <row r="130" spans="2:29" x14ac:dyDescent="0.3">
      <c r="B130" s="24">
        <v>60937</v>
      </c>
      <c r="C130" s="25">
        <v>24</v>
      </c>
      <c r="D130" s="25">
        <v>4</v>
      </c>
      <c r="E130" s="25">
        <v>0</v>
      </c>
      <c r="F130" s="25">
        <v>2</v>
      </c>
      <c r="G130" s="25">
        <v>48</v>
      </c>
      <c r="H130" s="25">
        <v>1.2</v>
      </c>
      <c r="I130" s="25">
        <v>0.06</v>
      </c>
      <c r="J130" s="25">
        <v>0.51</v>
      </c>
      <c r="K130" s="26">
        <v>1</v>
      </c>
      <c r="L130" s="25">
        <f t="shared" si="8"/>
        <v>-1.0272467920699473</v>
      </c>
      <c r="M130" s="25">
        <f t="shared" si="14"/>
        <v>0.26361821900541721</v>
      </c>
      <c r="N130" s="25">
        <f t="shared" si="9"/>
        <v>0.26361821900541721</v>
      </c>
      <c r="O130" s="25">
        <f t="shared" si="10"/>
        <v>-1.3332533626366647</v>
      </c>
      <c r="P130" s="25">
        <f t="shared" si="11"/>
        <v>0</v>
      </c>
      <c r="Q130" s="25">
        <f t="shared" si="15"/>
        <v>516.763076213707</v>
      </c>
      <c r="R130" s="25">
        <f t="shared" si="12"/>
        <v>7</v>
      </c>
      <c r="S130" s="26">
        <f t="shared" si="13"/>
        <v>13</v>
      </c>
      <c r="Y130">
        <v>9</v>
      </c>
      <c r="Z130">
        <v>0.1075612353567625</v>
      </c>
      <c r="AA130">
        <v>0.12477718360071299</v>
      </c>
      <c r="AB130">
        <v>1.1100739657118859E-3</v>
      </c>
    </row>
    <row r="131" spans="2:29" x14ac:dyDescent="0.3">
      <c r="B131" s="24">
        <v>60942</v>
      </c>
      <c r="C131" s="25">
        <v>26</v>
      </c>
      <c r="D131" s="25">
        <v>3</v>
      </c>
      <c r="E131" s="25">
        <v>2</v>
      </c>
      <c r="F131" s="25">
        <v>3</v>
      </c>
      <c r="G131" s="25">
        <v>37</v>
      </c>
      <c r="H131" s="25">
        <v>3.1</v>
      </c>
      <c r="I131" s="25">
        <v>0.35</v>
      </c>
      <c r="J131" s="25">
        <v>0.8</v>
      </c>
      <c r="K131" s="26">
        <v>0</v>
      </c>
      <c r="L131" s="25">
        <f t="shared" si="8"/>
        <v>-1.1705595570716589</v>
      </c>
      <c r="M131" s="25">
        <f t="shared" si="14"/>
        <v>0.23675385659528195</v>
      </c>
      <c r="N131" s="25">
        <f t="shared" si="9"/>
        <v>0.76324614340471808</v>
      </c>
      <c r="O131" s="25">
        <f t="shared" si="10"/>
        <v>-0.27017470023976742</v>
      </c>
      <c r="P131" s="25">
        <f t="shared" si="11"/>
        <v>0</v>
      </c>
      <c r="Q131" s="25">
        <f t="shared" si="15"/>
        <v>520.89820840378991</v>
      </c>
      <c r="R131" s="25">
        <f t="shared" si="12"/>
        <v>6</v>
      </c>
      <c r="S131" s="26">
        <f t="shared" si="13"/>
        <v>13</v>
      </c>
      <c r="Y131">
        <v>8</v>
      </c>
      <c r="Z131">
        <v>5.6443024494142707E-2</v>
      </c>
      <c r="AA131">
        <v>4.9910873440285212E-2</v>
      </c>
      <c r="AB131">
        <v>3.4891554910598691E-4</v>
      </c>
    </row>
    <row r="132" spans="2:29" x14ac:dyDescent="0.3">
      <c r="B132" s="24">
        <v>60944</v>
      </c>
      <c r="C132" s="25">
        <v>33</v>
      </c>
      <c r="D132" s="25">
        <v>2</v>
      </c>
      <c r="E132" s="25">
        <v>13</v>
      </c>
      <c r="F132" s="25">
        <v>5</v>
      </c>
      <c r="G132" s="25">
        <v>54</v>
      </c>
      <c r="H132" s="25">
        <v>16.2</v>
      </c>
      <c r="I132" s="25">
        <v>2.88</v>
      </c>
      <c r="J132" s="25">
        <v>5.87</v>
      </c>
      <c r="K132" s="26">
        <v>1</v>
      </c>
      <c r="L132" s="25">
        <f t="shared" si="8"/>
        <v>-1.1873188995335633</v>
      </c>
      <c r="M132" s="25">
        <f t="shared" si="14"/>
        <v>0.23373879134334694</v>
      </c>
      <c r="N132" s="25">
        <f t="shared" si="9"/>
        <v>0.23373879134334694</v>
      </c>
      <c r="O132" s="25">
        <f t="shared" si="10"/>
        <v>-1.4535510634353619</v>
      </c>
      <c r="P132" s="25">
        <f t="shared" si="11"/>
        <v>0</v>
      </c>
      <c r="Q132" s="25">
        <f t="shared" si="15"/>
        <v>521.38178079525142</v>
      </c>
      <c r="R132" s="25">
        <f t="shared" si="12"/>
        <v>6</v>
      </c>
      <c r="S132" s="26">
        <f t="shared" si="13"/>
        <v>13</v>
      </c>
      <c r="Y132">
        <v>7</v>
      </c>
      <c r="Z132">
        <v>4.3663471778487763E-2</v>
      </c>
      <c r="AA132">
        <v>5.5258467023172907E-2</v>
      </c>
      <c r="AB132">
        <v>1.185942701027118E-3</v>
      </c>
    </row>
    <row r="133" spans="2:29" x14ac:dyDescent="0.3">
      <c r="B133" s="24">
        <v>60947</v>
      </c>
      <c r="C133" s="25">
        <v>44</v>
      </c>
      <c r="D133" s="25">
        <v>4</v>
      </c>
      <c r="E133" s="25">
        <v>18</v>
      </c>
      <c r="F133" s="25">
        <v>9</v>
      </c>
      <c r="G133" s="25">
        <v>136</v>
      </c>
      <c r="H133" s="25">
        <v>4.2</v>
      </c>
      <c r="I133" s="25">
        <v>1.42</v>
      </c>
      <c r="J133" s="25">
        <v>4.3</v>
      </c>
      <c r="K133" s="26">
        <v>0</v>
      </c>
      <c r="L133" s="25">
        <f t="shared" ref="L133:L196" si="16">$Y$4+SUMPRODUCT($Z$4:$AG$4,C133:J133)</f>
        <v>-4.7017763338523739</v>
      </c>
      <c r="M133" s="25">
        <f t="shared" si="14"/>
        <v>8.9974461639130959E-3</v>
      </c>
      <c r="N133" s="25">
        <f t="shared" ref="N133:N196" si="17">IF(K133=1,M133,(1-M133))</f>
        <v>0.99100255383608693</v>
      </c>
      <c r="O133" s="25">
        <f t="shared" ref="O133:O196" si="18">LN(N133)</f>
        <v>-9.0381676261185075E-3</v>
      </c>
      <c r="P133" s="25">
        <f t="shared" ref="P133:P196" si="19">IF(M133&gt;0.4,1,0)</f>
        <v>0</v>
      </c>
      <c r="Q133" s="25">
        <f t="shared" si="15"/>
        <v>622.78758415934294</v>
      </c>
      <c r="R133" s="25">
        <f t="shared" ref="R133:R196" si="20">VLOOKUP(M133,$U$9:$W$16,3,TRUE)</f>
        <v>3</v>
      </c>
      <c r="S133" s="26">
        <f t="shared" ref="S133:S196" si="21">VLOOKUP(M133,$U$21:$W$37,3,TRUE)</f>
        <v>5</v>
      </c>
      <c r="Y133">
        <v>6</v>
      </c>
      <c r="Z133">
        <v>3.4078807241746542E-2</v>
      </c>
      <c r="AA133">
        <v>2.4955436720142599E-2</v>
      </c>
      <c r="AB133">
        <v>1.2345673064075051E-3</v>
      </c>
    </row>
    <row r="134" spans="2:29" x14ac:dyDescent="0.3">
      <c r="B134" s="24">
        <v>60949</v>
      </c>
      <c r="C134" s="25">
        <v>18</v>
      </c>
      <c r="D134" s="25">
        <v>2</v>
      </c>
      <c r="E134" s="25">
        <v>0</v>
      </c>
      <c r="F134" s="25">
        <v>0</v>
      </c>
      <c r="G134" s="25">
        <v>16</v>
      </c>
      <c r="H134" s="25">
        <v>6</v>
      </c>
      <c r="I134" s="25">
        <v>0.4</v>
      </c>
      <c r="J134" s="25">
        <v>0.56000000000000005</v>
      </c>
      <c r="K134" s="26">
        <v>0</v>
      </c>
      <c r="L134" s="25">
        <f t="shared" si="16"/>
        <v>-9.2201804142867994E-2</v>
      </c>
      <c r="M134" s="25">
        <f t="shared" ref="M134:M197" si="22">EXP(L134)/(1+EXP(L134))</f>
        <v>0.47696586474949032</v>
      </c>
      <c r="N134" s="25">
        <f t="shared" si="17"/>
        <v>0.52303413525050968</v>
      </c>
      <c r="O134" s="25">
        <f t="shared" si="18"/>
        <v>-0.64810854888167768</v>
      </c>
      <c r="P134" s="25">
        <f t="shared" si="19"/>
        <v>1</v>
      </c>
      <c r="Q134" s="25">
        <f t="shared" si="15"/>
        <v>489.78338163655786</v>
      </c>
      <c r="R134" s="25">
        <f t="shared" si="20"/>
        <v>7</v>
      </c>
      <c r="S134" s="26">
        <f t="shared" si="21"/>
        <v>15</v>
      </c>
      <c r="Y134">
        <v>5</v>
      </c>
      <c r="Z134">
        <v>1.384451544195953E-2</v>
      </c>
      <c r="AA134">
        <v>1.9607843137254902E-2</v>
      </c>
      <c r="AB134">
        <v>8.7113887585310264E-4</v>
      </c>
    </row>
    <row r="135" spans="2:29" x14ac:dyDescent="0.3">
      <c r="B135" s="24">
        <v>60980</v>
      </c>
      <c r="C135" s="25">
        <v>29</v>
      </c>
      <c r="D135" s="25">
        <v>3</v>
      </c>
      <c r="E135" s="25">
        <v>1</v>
      </c>
      <c r="F135" s="25">
        <v>2</v>
      </c>
      <c r="G135" s="25">
        <v>34</v>
      </c>
      <c r="H135" s="25">
        <v>15.5</v>
      </c>
      <c r="I135" s="25">
        <v>0.39</v>
      </c>
      <c r="J135" s="25">
        <v>4.88</v>
      </c>
      <c r="K135" s="26">
        <v>1</v>
      </c>
      <c r="L135" s="25">
        <f t="shared" si="16"/>
        <v>0.37967293169983268</v>
      </c>
      <c r="M135" s="25">
        <f t="shared" si="22"/>
        <v>0.59379421561574697</v>
      </c>
      <c r="N135" s="25">
        <f t="shared" si="17"/>
        <v>0.59379421561574697</v>
      </c>
      <c r="O135" s="25">
        <f t="shared" si="18"/>
        <v>-0.52122245800045153</v>
      </c>
      <c r="P135" s="25">
        <f t="shared" si="19"/>
        <v>1</v>
      </c>
      <c r="Q135" s="25">
        <f t="shared" si="15"/>
        <v>476.16795519602618</v>
      </c>
      <c r="R135" s="25">
        <f t="shared" si="20"/>
        <v>7</v>
      </c>
      <c r="S135" s="26">
        <f t="shared" si="21"/>
        <v>15</v>
      </c>
      <c r="Y135">
        <v>4</v>
      </c>
      <c r="Z135">
        <v>1.7039403620873271E-2</v>
      </c>
      <c r="AA135">
        <v>1.4260249554367201E-2</v>
      </c>
      <c r="AB135">
        <v>2.1490438201504341E-4</v>
      </c>
    </row>
    <row r="136" spans="2:29" x14ac:dyDescent="0.3">
      <c r="B136" s="24">
        <v>61081</v>
      </c>
      <c r="C136" s="25">
        <v>21</v>
      </c>
      <c r="D136" s="25">
        <v>3</v>
      </c>
      <c r="E136" s="25">
        <v>0</v>
      </c>
      <c r="F136" s="25">
        <v>1</v>
      </c>
      <c r="G136" s="25">
        <v>27</v>
      </c>
      <c r="H136" s="25">
        <v>16.5</v>
      </c>
      <c r="I136" s="25">
        <v>1.1599999999999999</v>
      </c>
      <c r="J136" s="25">
        <v>3.3</v>
      </c>
      <c r="K136" s="26">
        <v>0</v>
      </c>
      <c r="L136" s="25">
        <f t="shared" si="16"/>
        <v>1.2344106427835457</v>
      </c>
      <c r="M136" s="25">
        <f t="shared" si="22"/>
        <v>0.77458960747535122</v>
      </c>
      <c r="N136" s="25">
        <f t="shared" si="17"/>
        <v>0.22541039252464878</v>
      </c>
      <c r="O136" s="25">
        <f t="shared" si="18"/>
        <v>-1.4898325714089726</v>
      </c>
      <c r="P136" s="25">
        <f t="shared" si="19"/>
        <v>1</v>
      </c>
      <c r="Q136" s="25">
        <f t="shared" si="15"/>
        <v>451.50543875418788</v>
      </c>
      <c r="R136" s="25">
        <f t="shared" si="20"/>
        <v>8</v>
      </c>
      <c r="S136" s="26">
        <f t="shared" si="21"/>
        <v>16</v>
      </c>
      <c r="Y136">
        <v>3</v>
      </c>
      <c r="Z136">
        <v>1.7039403620873271E-2</v>
      </c>
      <c r="AA136">
        <v>1.24777183600713E-2</v>
      </c>
      <c r="AB136">
        <v>6.1728365320375274E-4</v>
      </c>
    </row>
    <row r="137" spans="2:29" x14ac:dyDescent="0.3">
      <c r="B137" s="24">
        <v>61231</v>
      </c>
      <c r="C137" s="25">
        <v>41</v>
      </c>
      <c r="D137" s="25">
        <v>2</v>
      </c>
      <c r="E137" s="25">
        <v>22</v>
      </c>
      <c r="F137" s="25">
        <v>13</v>
      </c>
      <c r="G137" s="25">
        <v>54</v>
      </c>
      <c r="H137" s="25">
        <v>4.0999999999999996</v>
      </c>
      <c r="I137" s="25">
        <v>0.82</v>
      </c>
      <c r="J137" s="25">
        <v>1.39</v>
      </c>
      <c r="K137" s="26">
        <v>0</v>
      </c>
      <c r="L137" s="25">
        <f t="shared" si="16"/>
        <v>-5.9509013736955687</v>
      </c>
      <c r="M137" s="25">
        <f t="shared" si="22"/>
        <v>2.596732167235273E-3</v>
      </c>
      <c r="N137" s="25">
        <f t="shared" si="17"/>
        <v>0.99740326783276467</v>
      </c>
      <c r="O137" s="25">
        <f t="shared" si="18"/>
        <v>-2.6001095242041126E-3</v>
      </c>
      <c r="P137" s="25">
        <f t="shared" si="19"/>
        <v>0</v>
      </c>
      <c r="Q137" s="25">
        <f t="shared" ref="Q137:Q200" si="23">28.8539*LN((1-M137)/(M137))+487.123</f>
        <v>658.82971314647455</v>
      </c>
      <c r="R137" s="25">
        <f t="shared" si="20"/>
        <v>2</v>
      </c>
      <c r="S137" s="26">
        <f t="shared" si="21"/>
        <v>2</v>
      </c>
      <c r="Y137">
        <v>2</v>
      </c>
      <c r="Z137">
        <v>1.9169329073482431E-2</v>
      </c>
      <c r="AA137">
        <v>1.60427807486631E-2</v>
      </c>
      <c r="AB137">
        <v>2.417674297669231E-4</v>
      </c>
    </row>
    <row r="138" spans="2:29" x14ac:dyDescent="0.3">
      <c r="B138" s="24">
        <v>61255</v>
      </c>
      <c r="C138" s="25">
        <v>40</v>
      </c>
      <c r="D138" s="25">
        <v>4</v>
      </c>
      <c r="E138" s="25">
        <v>11</v>
      </c>
      <c r="F138" s="25">
        <v>8</v>
      </c>
      <c r="G138" s="25">
        <v>238</v>
      </c>
      <c r="H138" s="25">
        <v>7.9</v>
      </c>
      <c r="I138" s="25">
        <v>6.34</v>
      </c>
      <c r="J138" s="25">
        <v>12.47</v>
      </c>
      <c r="K138" s="26">
        <v>0</v>
      </c>
      <c r="L138" s="25">
        <f t="shared" si="16"/>
        <v>-7.1786519030587526E-2</v>
      </c>
      <c r="M138" s="25">
        <f t="shared" si="22"/>
        <v>0.48206107330979919</v>
      </c>
      <c r="N138" s="25">
        <f t="shared" si="17"/>
        <v>0.51793892669020081</v>
      </c>
      <c r="O138" s="25">
        <f t="shared" si="18"/>
        <v>-0.65789794581612748</v>
      </c>
      <c r="P138" s="25">
        <f t="shared" si="19"/>
        <v>1</v>
      </c>
      <c r="Q138" s="25">
        <f t="shared" si="23"/>
        <v>489.19432104145665</v>
      </c>
      <c r="R138" s="25">
        <f t="shared" si="20"/>
        <v>7</v>
      </c>
      <c r="S138" s="26">
        <f t="shared" si="21"/>
        <v>15</v>
      </c>
      <c r="Y138">
        <v>1</v>
      </c>
      <c r="Z138">
        <v>3.8338658146964848E-2</v>
      </c>
      <c r="AA138">
        <v>4.6345811051693407E-2</v>
      </c>
      <c r="AB138">
        <v>6.595778360649529E-4</v>
      </c>
    </row>
    <row r="139" spans="2:29" x14ac:dyDescent="0.3">
      <c r="B139" s="24">
        <v>61272</v>
      </c>
      <c r="C139" s="25">
        <v>37</v>
      </c>
      <c r="D139" s="25">
        <v>1</v>
      </c>
      <c r="E139" s="25">
        <v>5</v>
      </c>
      <c r="F139" s="25">
        <v>10</v>
      </c>
      <c r="G139" s="25">
        <v>21</v>
      </c>
      <c r="H139" s="25">
        <v>14.5</v>
      </c>
      <c r="I139" s="25">
        <v>0.71</v>
      </c>
      <c r="J139" s="25">
        <v>2.33</v>
      </c>
      <c r="K139" s="26">
        <v>0</v>
      </c>
      <c r="L139" s="25">
        <f t="shared" si="16"/>
        <v>-0.86689526296453012</v>
      </c>
      <c r="M139" s="25">
        <f t="shared" si="22"/>
        <v>0.2959007436095536</v>
      </c>
      <c r="N139" s="25">
        <f t="shared" si="17"/>
        <v>0.70409925639044646</v>
      </c>
      <c r="O139" s="25">
        <f t="shared" si="18"/>
        <v>-0.35083594357116143</v>
      </c>
      <c r="P139" s="25">
        <f t="shared" si="19"/>
        <v>0</v>
      </c>
      <c r="Q139" s="25">
        <f t="shared" si="23"/>
        <v>512.13630922805226</v>
      </c>
      <c r="R139" s="25">
        <f t="shared" si="20"/>
        <v>7</v>
      </c>
      <c r="S139" s="26">
        <f t="shared" si="21"/>
        <v>13</v>
      </c>
      <c r="AB139">
        <v>1.0932486435001739E-2</v>
      </c>
      <c r="AC139" t="s">
        <v>51</v>
      </c>
    </row>
    <row r="140" spans="2:29" x14ac:dyDescent="0.3">
      <c r="B140" s="24">
        <v>61437</v>
      </c>
      <c r="C140" s="25">
        <v>24</v>
      </c>
      <c r="D140" s="25">
        <v>1</v>
      </c>
      <c r="E140" s="25">
        <v>6</v>
      </c>
      <c r="F140" s="25">
        <v>3</v>
      </c>
      <c r="G140" s="25">
        <v>36</v>
      </c>
      <c r="H140" s="25">
        <v>13.2</v>
      </c>
      <c r="I140" s="25">
        <v>1.92</v>
      </c>
      <c r="J140" s="25">
        <v>2.83</v>
      </c>
      <c r="K140" s="26">
        <v>0</v>
      </c>
      <c r="L140" s="25">
        <f t="shared" si="16"/>
        <v>-0.12471373588224138</v>
      </c>
      <c r="M140" s="25">
        <f t="shared" si="22"/>
        <v>0.46886191446368758</v>
      </c>
      <c r="N140" s="25">
        <f t="shared" si="17"/>
        <v>0.53113808553631237</v>
      </c>
      <c r="O140" s="25">
        <f t="shared" si="18"/>
        <v>-0.63273324345585846</v>
      </c>
      <c r="P140" s="25">
        <f t="shared" si="19"/>
        <v>1</v>
      </c>
      <c r="Q140" s="25">
        <f t="shared" si="23"/>
        <v>490.72147766377259</v>
      </c>
      <c r="R140" s="25">
        <f t="shared" si="20"/>
        <v>7</v>
      </c>
      <c r="S140" s="26">
        <f t="shared" si="21"/>
        <v>15</v>
      </c>
    </row>
    <row r="141" spans="2:29" x14ac:dyDescent="0.3">
      <c r="B141" s="24">
        <v>61475</v>
      </c>
      <c r="C141" s="25">
        <v>24</v>
      </c>
      <c r="D141" s="25">
        <v>4</v>
      </c>
      <c r="E141" s="25">
        <v>0</v>
      </c>
      <c r="F141" s="25">
        <v>4</v>
      </c>
      <c r="G141" s="25">
        <v>18</v>
      </c>
      <c r="H141" s="25">
        <v>2.9</v>
      </c>
      <c r="I141" s="25">
        <v>0.18</v>
      </c>
      <c r="J141" s="25">
        <v>0.34</v>
      </c>
      <c r="K141" s="26">
        <v>0</v>
      </c>
      <c r="L141" s="25">
        <f t="shared" si="16"/>
        <v>-0.87709502031004849</v>
      </c>
      <c r="M141" s="25">
        <f t="shared" si="22"/>
        <v>0.29378012354394406</v>
      </c>
      <c r="N141" s="25">
        <f t="shared" si="17"/>
        <v>0.70621987645605588</v>
      </c>
      <c r="O141" s="25">
        <f t="shared" si="18"/>
        <v>-0.34782865023672771</v>
      </c>
      <c r="P141" s="25">
        <f t="shared" si="19"/>
        <v>0</v>
      </c>
      <c r="Q141" s="25">
        <f t="shared" si="23"/>
        <v>512.43061200652414</v>
      </c>
      <c r="R141" s="25">
        <f t="shared" si="20"/>
        <v>7</v>
      </c>
      <c r="S141" s="26">
        <f t="shared" si="21"/>
        <v>13</v>
      </c>
    </row>
    <row r="142" spans="2:29" x14ac:dyDescent="0.3">
      <c r="B142" s="24">
        <v>61481</v>
      </c>
      <c r="C142" s="25">
        <v>18</v>
      </c>
      <c r="D142" s="25">
        <v>2</v>
      </c>
      <c r="E142" s="25">
        <v>0</v>
      </c>
      <c r="F142" s="25">
        <v>0</v>
      </c>
      <c r="G142" s="25">
        <v>25</v>
      </c>
      <c r="H142" s="25">
        <v>2.9</v>
      </c>
      <c r="I142" s="25">
        <v>0.56000000000000005</v>
      </c>
      <c r="J142" s="25">
        <v>0.16</v>
      </c>
      <c r="K142" s="26">
        <v>0</v>
      </c>
      <c r="L142" s="25">
        <f t="shared" si="16"/>
        <v>-0.33330866706857903</v>
      </c>
      <c r="M142" s="25">
        <f t="shared" si="22"/>
        <v>0.41743579194546881</v>
      </c>
      <c r="N142" s="25">
        <f t="shared" si="17"/>
        <v>0.58256420805453124</v>
      </c>
      <c r="O142" s="25">
        <f t="shared" si="18"/>
        <v>-0.54031587119719116</v>
      </c>
      <c r="P142" s="25">
        <f t="shared" si="19"/>
        <v>1</v>
      </c>
      <c r="Q142" s="25">
        <f t="shared" si="23"/>
        <v>496.74025494873007</v>
      </c>
      <c r="R142" s="25">
        <f t="shared" si="20"/>
        <v>7</v>
      </c>
      <c r="S142" s="26">
        <f t="shared" si="21"/>
        <v>14</v>
      </c>
    </row>
    <row r="143" spans="2:29" x14ac:dyDescent="0.3">
      <c r="B143" s="24">
        <v>61510</v>
      </c>
      <c r="C143" s="25">
        <v>30</v>
      </c>
      <c r="D143" s="25">
        <v>4</v>
      </c>
      <c r="E143" s="25">
        <v>5</v>
      </c>
      <c r="F143" s="25">
        <v>6</v>
      </c>
      <c r="G143" s="25">
        <v>95</v>
      </c>
      <c r="H143" s="25">
        <v>7</v>
      </c>
      <c r="I143" s="25">
        <v>3.46</v>
      </c>
      <c r="J143" s="25">
        <v>3.19</v>
      </c>
      <c r="K143" s="26">
        <v>0</v>
      </c>
      <c r="L143" s="25">
        <f t="shared" si="16"/>
        <v>-0.15210283282943063</v>
      </c>
      <c r="M143" s="25">
        <f t="shared" si="22"/>
        <v>0.46204743383894353</v>
      </c>
      <c r="N143" s="25">
        <f t="shared" si="17"/>
        <v>0.53795256616105647</v>
      </c>
      <c r="O143" s="25">
        <f t="shared" si="18"/>
        <v>-0.61998488969417376</v>
      </c>
      <c r="P143" s="25">
        <f t="shared" si="19"/>
        <v>1</v>
      </c>
      <c r="Q143" s="25">
        <f t="shared" si="23"/>
        <v>491.51175992817707</v>
      </c>
      <c r="R143" s="25">
        <f t="shared" si="20"/>
        <v>7</v>
      </c>
      <c r="S143" s="26">
        <f t="shared" si="21"/>
        <v>14</v>
      </c>
    </row>
    <row r="144" spans="2:29" x14ac:dyDescent="0.3">
      <c r="B144" s="24">
        <v>61513</v>
      </c>
      <c r="C144" s="25">
        <v>36</v>
      </c>
      <c r="D144" s="25">
        <v>1</v>
      </c>
      <c r="E144" s="25">
        <v>4</v>
      </c>
      <c r="F144" s="25">
        <v>8</v>
      </c>
      <c r="G144" s="25">
        <v>45</v>
      </c>
      <c r="H144" s="25">
        <v>13.2</v>
      </c>
      <c r="I144" s="25">
        <v>0.33</v>
      </c>
      <c r="J144" s="25">
        <v>5.61</v>
      </c>
      <c r="K144" s="26">
        <v>0</v>
      </c>
      <c r="L144" s="25">
        <f t="shared" si="16"/>
        <v>-0.77565243194024269</v>
      </c>
      <c r="M144" s="25">
        <f t="shared" si="22"/>
        <v>0.31525764205039858</v>
      </c>
      <c r="N144" s="25">
        <f t="shared" si="17"/>
        <v>0.68474235794960148</v>
      </c>
      <c r="O144" s="25">
        <f t="shared" si="18"/>
        <v>-0.37871263125230159</v>
      </c>
      <c r="P144" s="25">
        <f t="shared" si="19"/>
        <v>0</v>
      </c>
      <c r="Q144" s="25">
        <f t="shared" si="23"/>
        <v>509.50359770596054</v>
      </c>
      <c r="R144" s="25">
        <f t="shared" si="20"/>
        <v>7</v>
      </c>
      <c r="S144" s="26">
        <f t="shared" si="21"/>
        <v>14</v>
      </c>
    </row>
    <row r="145" spans="2:19" x14ac:dyDescent="0.3">
      <c r="B145" s="24">
        <v>61536</v>
      </c>
      <c r="C145" s="25">
        <v>34</v>
      </c>
      <c r="D145" s="25">
        <v>1</v>
      </c>
      <c r="E145" s="25">
        <v>14</v>
      </c>
      <c r="F145" s="25">
        <v>9</v>
      </c>
      <c r="G145" s="25">
        <v>39</v>
      </c>
      <c r="H145" s="25">
        <v>11.4</v>
      </c>
      <c r="I145" s="25">
        <v>2.71</v>
      </c>
      <c r="J145" s="25">
        <v>1.73</v>
      </c>
      <c r="K145" s="26">
        <v>0</v>
      </c>
      <c r="L145" s="25">
        <f t="shared" si="16"/>
        <v>-2.1781903510390368</v>
      </c>
      <c r="M145" s="25">
        <f t="shared" si="22"/>
        <v>0.1017261707809424</v>
      </c>
      <c r="N145" s="25">
        <f t="shared" si="17"/>
        <v>0.89827382921905763</v>
      </c>
      <c r="O145" s="25">
        <f t="shared" si="18"/>
        <v>-0.10728032484713786</v>
      </c>
      <c r="P145" s="25">
        <f t="shared" si="19"/>
        <v>0</v>
      </c>
      <c r="Q145" s="25">
        <f t="shared" si="23"/>
        <v>549.97228656984521</v>
      </c>
      <c r="R145" s="25">
        <f t="shared" si="20"/>
        <v>6</v>
      </c>
      <c r="S145" s="26">
        <f t="shared" si="21"/>
        <v>11</v>
      </c>
    </row>
    <row r="146" spans="2:19" x14ac:dyDescent="0.3">
      <c r="B146" s="24">
        <v>61605</v>
      </c>
      <c r="C146" s="25">
        <v>63</v>
      </c>
      <c r="D146" s="25">
        <v>3</v>
      </c>
      <c r="E146" s="25">
        <v>8</v>
      </c>
      <c r="F146" s="25">
        <v>25</v>
      </c>
      <c r="G146" s="25">
        <v>92</v>
      </c>
      <c r="H146" s="25">
        <v>5.6</v>
      </c>
      <c r="I146" s="25">
        <v>0.89</v>
      </c>
      <c r="J146" s="25">
        <v>4.2699999999999996</v>
      </c>
      <c r="K146" s="26">
        <v>0</v>
      </c>
      <c r="L146" s="25">
        <f t="shared" si="16"/>
        <v>-3.4396375766027232</v>
      </c>
      <c r="M146" s="25">
        <f t="shared" si="22"/>
        <v>3.1079396130193063E-2</v>
      </c>
      <c r="N146" s="25">
        <f t="shared" si="17"/>
        <v>0.96892060386980694</v>
      </c>
      <c r="O146" s="25">
        <f t="shared" si="18"/>
        <v>-3.1572606599190631E-2</v>
      </c>
      <c r="P146" s="25">
        <f t="shared" si="19"/>
        <v>0</v>
      </c>
      <c r="Q146" s="25">
        <f t="shared" si="23"/>
        <v>586.36995867153735</v>
      </c>
      <c r="R146" s="25">
        <f t="shared" si="20"/>
        <v>5</v>
      </c>
      <c r="S146" s="26">
        <f t="shared" si="21"/>
        <v>8</v>
      </c>
    </row>
    <row r="147" spans="2:19" x14ac:dyDescent="0.3">
      <c r="B147" s="24">
        <v>61632</v>
      </c>
      <c r="C147" s="25">
        <v>56</v>
      </c>
      <c r="D147" s="25">
        <v>5</v>
      </c>
      <c r="E147" s="25">
        <v>16</v>
      </c>
      <c r="F147" s="25">
        <v>19</v>
      </c>
      <c r="G147" s="25">
        <v>232</v>
      </c>
      <c r="H147" s="25">
        <v>2.8</v>
      </c>
      <c r="I147" s="25">
        <v>2.1</v>
      </c>
      <c r="J147" s="25">
        <v>4.3899999999999997</v>
      </c>
      <c r="K147" s="26">
        <v>0</v>
      </c>
      <c r="L147" s="25">
        <f t="shared" si="16"/>
        <v>-4.6815546965353203</v>
      </c>
      <c r="M147" s="25">
        <f t="shared" si="22"/>
        <v>9.1795541559170756E-3</v>
      </c>
      <c r="N147" s="25">
        <f t="shared" si="17"/>
        <v>0.99082044584408291</v>
      </c>
      <c r="O147" s="25">
        <f t="shared" si="18"/>
        <v>-9.221945887392051E-3</v>
      </c>
      <c r="P147" s="25">
        <f t="shared" si="19"/>
        <v>0</v>
      </c>
      <c r="Q147" s="25">
        <f t="shared" si="23"/>
        <v>622.20411105836047</v>
      </c>
      <c r="R147" s="25">
        <f t="shared" si="20"/>
        <v>3</v>
      </c>
      <c r="S147" s="26">
        <f t="shared" si="21"/>
        <v>5</v>
      </c>
    </row>
    <row r="148" spans="2:19" x14ac:dyDescent="0.3">
      <c r="B148" s="24">
        <v>61637</v>
      </c>
      <c r="C148" s="25">
        <v>41</v>
      </c>
      <c r="D148" s="25">
        <v>2</v>
      </c>
      <c r="E148" s="25">
        <v>9</v>
      </c>
      <c r="F148" s="25">
        <v>8</v>
      </c>
      <c r="G148" s="25">
        <v>68</v>
      </c>
      <c r="H148" s="25">
        <v>28.3</v>
      </c>
      <c r="I148" s="25">
        <v>4.5199999999999996</v>
      </c>
      <c r="J148" s="25">
        <v>14.72</v>
      </c>
      <c r="K148" s="26">
        <v>1</v>
      </c>
      <c r="L148" s="25">
        <f t="shared" si="16"/>
        <v>1.6551062111082857</v>
      </c>
      <c r="M148" s="25">
        <f t="shared" si="22"/>
        <v>0.83957997579048049</v>
      </c>
      <c r="N148" s="25">
        <f t="shared" si="17"/>
        <v>0.83957997579048049</v>
      </c>
      <c r="O148" s="25">
        <f t="shared" si="18"/>
        <v>-0.17485354102173467</v>
      </c>
      <c r="P148" s="25">
        <f t="shared" si="19"/>
        <v>1</v>
      </c>
      <c r="Q148" s="25">
        <f t="shared" si="23"/>
        <v>439.36673089530262</v>
      </c>
      <c r="R148" s="25">
        <f t="shared" si="20"/>
        <v>8</v>
      </c>
      <c r="S148" s="26">
        <f t="shared" si="21"/>
        <v>16</v>
      </c>
    </row>
    <row r="149" spans="2:19" x14ac:dyDescent="0.3">
      <c r="B149" s="24">
        <v>61638</v>
      </c>
      <c r="C149" s="25">
        <v>23</v>
      </c>
      <c r="D149" s="25">
        <v>4</v>
      </c>
      <c r="E149" s="25">
        <v>0</v>
      </c>
      <c r="F149" s="25">
        <v>1</v>
      </c>
      <c r="G149" s="25">
        <v>53</v>
      </c>
      <c r="H149" s="25">
        <v>3</v>
      </c>
      <c r="I149" s="25">
        <v>0.63</v>
      </c>
      <c r="J149" s="25">
        <v>0.96</v>
      </c>
      <c r="K149" s="26">
        <v>1</v>
      </c>
      <c r="L149" s="25">
        <f t="shared" si="16"/>
        <v>-0.51130134405626082</v>
      </c>
      <c r="M149" s="25">
        <f t="shared" si="22"/>
        <v>0.37488850968884591</v>
      </c>
      <c r="N149" s="25">
        <f t="shared" si="17"/>
        <v>0.37488850968884591</v>
      </c>
      <c r="O149" s="25">
        <f t="shared" si="18"/>
        <v>-0.98112660471277269</v>
      </c>
      <c r="P149" s="25">
        <f t="shared" si="19"/>
        <v>0</v>
      </c>
      <c r="Q149" s="25">
        <f t="shared" si="23"/>
        <v>501.87603785126493</v>
      </c>
      <c r="R149" s="25">
        <f t="shared" si="20"/>
        <v>7</v>
      </c>
      <c r="S149" s="26">
        <f t="shared" si="21"/>
        <v>14</v>
      </c>
    </row>
    <row r="150" spans="2:19" x14ac:dyDescent="0.3">
      <c r="B150" s="24">
        <v>61685</v>
      </c>
      <c r="C150" s="25">
        <v>25</v>
      </c>
      <c r="D150" s="25">
        <v>5</v>
      </c>
      <c r="E150" s="25">
        <v>0</v>
      </c>
      <c r="F150" s="25">
        <v>3</v>
      </c>
      <c r="G150" s="25">
        <v>32</v>
      </c>
      <c r="H150" s="25">
        <v>14.6</v>
      </c>
      <c r="I150" s="25">
        <v>1.45</v>
      </c>
      <c r="J150" s="25">
        <v>3.22</v>
      </c>
      <c r="K150" s="26">
        <v>1</v>
      </c>
      <c r="L150" s="25">
        <f t="shared" si="16"/>
        <v>0.92320578794542008</v>
      </c>
      <c r="M150" s="25">
        <f t="shared" si="22"/>
        <v>0.71569485653964038</v>
      </c>
      <c r="N150" s="25">
        <f t="shared" si="17"/>
        <v>0.71569485653964038</v>
      </c>
      <c r="O150" s="25">
        <f t="shared" si="18"/>
        <v>-0.33450138087841486</v>
      </c>
      <c r="P150" s="25">
        <f t="shared" si="19"/>
        <v>1</v>
      </c>
      <c r="Q150" s="25">
        <f t="shared" si="23"/>
        <v>460.48491251520164</v>
      </c>
      <c r="R150" s="25">
        <f t="shared" si="20"/>
        <v>8</v>
      </c>
      <c r="S150" s="26">
        <f t="shared" si="21"/>
        <v>16</v>
      </c>
    </row>
    <row r="151" spans="2:19" x14ac:dyDescent="0.3">
      <c r="B151" s="24">
        <v>61722</v>
      </c>
      <c r="C151" s="25">
        <v>22</v>
      </c>
      <c r="D151" s="25">
        <v>1</v>
      </c>
      <c r="E151" s="25">
        <v>1</v>
      </c>
      <c r="F151" s="25">
        <v>1</v>
      </c>
      <c r="G151" s="25">
        <v>22</v>
      </c>
      <c r="H151" s="25">
        <v>3.2</v>
      </c>
      <c r="I151" s="25">
        <v>0.16</v>
      </c>
      <c r="J151" s="25">
        <v>0.55000000000000004</v>
      </c>
      <c r="K151" s="26">
        <v>0</v>
      </c>
      <c r="L151" s="25">
        <f t="shared" si="16"/>
        <v>-0.77556766774036934</v>
      </c>
      <c r="M151" s="25">
        <f t="shared" si="22"/>
        <v>0.31527594040689677</v>
      </c>
      <c r="N151" s="25">
        <f t="shared" si="17"/>
        <v>0.68472405959310323</v>
      </c>
      <c r="O151" s="25">
        <f t="shared" si="18"/>
        <v>-0.37873935458960278</v>
      </c>
      <c r="P151" s="25">
        <f t="shared" si="19"/>
        <v>0</v>
      </c>
      <c r="Q151" s="25">
        <f t="shared" si="23"/>
        <v>509.50115192821386</v>
      </c>
      <c r="R151" s="25">
        <f t="shared" si="20"/>
        <v>7</v>
      </c>
      <c r="S151" s="26">
        <f t="shared" si="21"/>
        <v>14</v>
      </c>
    </row>
    <row r="152" spans="2:19" x14ac:dyDescent="0.3">
      <c r="B152" s="24">
        <v>61760</v>
      </c>
      <c r="C152" s="25">
        <v>58</v>
      </c>
      <c r="D152" s="25">
        <v>2</v>
      </c>
      <c r="E152" s="25">
        <v>19</v>
      </c>
      <c r="F152" s="25">
        <v>9</v>
      </c>
      <c r="G152" s="25">
        <v>114</v>
      </c>
      <c r="H152" s="25">
        <v>6.4</v>
      </c>
      <c r="I152" s="25">
        <v>0.28000000000000003</v>
      </c>
      <c r="J152" s="25">
        <v>7.02</v>
      </c>
      <c r="K152" s="26">
        <v>0</v>
      </c>
      <c r="L152" s="25">
        <f t="shared" si="16"/>
        <v>-5.3809153806359662</v>
      </c>
      <c r="M152" s="25">
        <f t="shared" si="22"/>
        <v>4.5825098791912721E-3</v>
      </c>
      <c r="N152" s="25">
        <f t="shared" si="17"/>
        <v>0.99541749012080871</v>
      </c>
      <c r="O152" s="25">
        <f t="shared" si="18"/>
        <v>-4.5930417648848542E-3</v>
      </c>
      <c r="P152" s="25">
        <f t="shared" si="19"/>
        <v>0</v>
      </c>
      <c r="Q152" s="25">
        <f t="shared" si="23"/>
        <v>642.38339430133215</v>
      </c>
      <c r="R152" s="25">
        <f t="shared" si="20"/>
        <v>3</v>
      </c>
      <c r="S152" s="26">
        <f t="shared" si="21"/>
        <v>3</v>
      </c>
    </row>
    <row r="153" spans="2:19" x14ac:dyDescent="0.3">
      <c r="B153" s="24">
        <v>61791</v>
      </c>
      <c r="C153" s="25">
        <v>31</v>
      </c>
      <c r="D153" s="25">
        <v>3</v>
      </c>
      <c r="E153" s="25">
        <v>7</v>
      </c>
      <c r="F153" s="25">
        <v>5</v>
      </c>
      <c r="G153" s="25">
        <v>53</v>
      </c>
      <c r="H153" s="25">
        <v>2.7</v>
      </c>
      <c r="I153" s="25">
        <v>0.73</v>
      </c>
      <c r="J153" s="25">
        <v>0.7</v>
      </c>
      <c r="K153" s="26">
        <v>0</v>
      </c>
      <c r="L153" s="25">
        <f t="shared" si="16"/>
        <v>-2.333739571653044</v>
      </c>
      <c r="M153" s="25">
        <f t="shared" si="22"/>
        <v>8.8366945894648274E-2</v>
      </c>
      <c r="N153" s="25">
        <f t="shared" si="17"/>
        <v>0.91163305410535167</v>
      </c>
      <c r="O153" s="25">
        <f t="shared" si="18"/>
        <v>-9.2517722828132559E-2</v>
      </c>
      <c r="P153" s="25">
        <f t="shared" si="19"/>
        <v>0</v>
      </c>
      <c r="Q153" s="25">
        <f t="shared" si="23"/>
        <v>554.46048822651971</v>
      </c>
      <c r="R153" s="25">
        <f t="shared" si="20"/>
        <v>6</v>
      </c>
      <c r="S153" s="26">
        <f t="shared" si="21"/>
        <v>10</v>
      </c>
    </row>
    <row r="154" spans="2:19" x14ac:dyDescent="0.3">
      <c r="B154" s="24">
        <v>61800</v>
      </c>
      <c r="C154" s="25">
        <v>47</v>
      </c>
      <c r="D154" s="25">
        <v>2</v>
      </c>
      <c r="E154" s="25">
        <v>6</v>
      </c>
      <c r="F154" s="25">
        <v>10</v>
      </c>
      <c r="G154" s="25">
        <v>40</v>
      </c>
      <c r="H154" s="25">
        <v>8.6999999999999993</v>
      </c>
      <c r="I154" s="25">
        <v>1.31</v>
      </c>
      <c r="J154" s="25">
        <v>2.17</v>
      </c>
      <c r="K154" s="26">
        <v>1</v>
      </c>
      <c r="L154" s="25">
        <f t="shared" si="16"/>
        <v>-1.6559581401520924</v>
      </c>
      <c r="M154" s="25">
        <f t="shared" si="22"/>
        <v>0.16030531496346812</v>
      </c>
      <c r="N154" s="25">
        <f t="shared" si="17"/>
        <v>0.16030531496346812</v>
      </c>
      <c r="O154" s="25">
        <f t="shared" si="18"/>
        <v>-1.8306750635627766</v>
      </c>
      <c r="P154" s="25">
        <f t="shared" si="19"/>
        <v>0</v>
      </c>
      <c r="Q154" s="25">
        <f t="shared" si="23"/>
        <v>534.90385058013442</v>
      </c>
      <c r="R154" s="25">
        <f t="shared" si="20"/>
        <v>6</v>
      </c>
      <c r="S154" s="26">
        <f t="shared" si="21"/>
        <v>12</v>
      </c>
    </row>
    <row r="155" spans="2:19" x14ac:dyDescent="0.3">
      <c r="B155" s="24">
        <v>61802</v>
      </c>
      <c r="C155" s="25">
        <v>55</v>
      </c>
      <c r="D155" s="25">
        <v>2</v>
      </c>
      <c r="E155" s="25">
        <v>13</v>
      </c>
      <c r="F155" s="25">
        <v>11</v>
      </c>
      <c r="G155" s="25">
        <v>63</v>
      </c>
      <c r="H155" s="25">
        <v>17.5</v>
      </c>
      <c r="I155" s="25">
        <v>2.56</v>
      </c>
      <c r="J155" s="25">
        <v>8.4700000000000006</v>
      </c>
      <c r="K155" s="26">
        <v>0</v>
      </c>
      <c r="L155" s="25">
        <f t="shared" si="16"/>
        <v>-1.8126920137803895</v>
      </c>
      <c r="M155" s="25">
        <f t="shared" si="22"/>
        <v>0.1403130861659079</v>
      </c>
      <c r="N155" s="25">
        <f t="shared" si="17"/>
        <v>0.85968691383409213</v>
      </c>
      <c r="O155" s="25">
        <f t="shared" si="18"/>
        <v>-0.15118700969950097</v>
      </c>
      <c r="P155" s="25">
        <f t="shared" si="19"/>
        <v>0</v>
      </c>
      <c r="Q155" s="25">
        <f t="shared" si="23"/>
        <v>539.42623409641794</v>
      </c>
      <c r="R155" s="25">
        <f t="shared" si="20"/>
        <v>6</v>
      </c>
      <c r="S155" s="26">
        <f t="shared" si="21"/>
        <v>12</v>
      </c>
    </row>
    <row r="156" spans="2:19" x14ac:dyDescent="0.3">
      <c r="B156" s="24">
        <v>61844</v>
      </c>
      <c r="C156" s="25">
        <v>39</v>
      </c>
      <c r="D156" s="25">
        <v>2</v>
      </c>
      <c r="E156" s="25">
        <v>9</v>
      </c>
      <c r="F156" s="25">
        <v>5</v>
      </c>
      <c r="G156" s="25">
        <v>60</v>
      </c>
      <c r="H156" s="25">
        <v>9.1999999999999993</v>
      </c>
      <c r="I156" s="25">
        <v>2.08</v>
      </c>
      <c r="J156" s="25">
        <v>3.44</v>
      </c>
      <c r="K156" s="26">
        <v>0</v>
      </c>
      <c r="L156" s="25">
        <f t="shared" si="16"/>
        <v>-1.5480682816766997</v>
      </c>
      <c r="M156" s="25">
        <f t="shared" si="22"/>
        <v>0.17536544343761676</v>
      </c>
      <c r="N156" s="25">
        <f t="shared" si="17"/>
        <v>0.82463455656238327</v>
      </c>
      <c r="O156" s="25">
        <f t="shared" si="18"/>
        <v>-0.19281495252655603</v>
      </c>
      <c r="P156" s="25">
        <f t="shared" si="19"/>
        <v>0</v>
      </c>
      <c r="Q156" s="25">
        <f t="shared" si="23"/>
        <v>531.79080739267135</v>
      </c>
      <c r="R156" s="25">
        <f t="shared" si="20"/>
        <v>6</v>
      </c>
      <c r="S156" s="26">
        <f t="shared" si="21"/>
        <v>12</v>
      </c>
    </row>
    <row r="157" spans="2:19" x14ac:dyDescent="0.3">
      <c r="B157" s="24">
        <v>61875</v>
      </c>
      <c r="C157" s="25">
        <v>27</v>
      </c>
      <c r="D157" s="25">
        <v>5</v>
      </c>
      <c r="E157" s="25">
        <v>0</v>
      </c>
      <c r="F157" s="25">
        <v>4</v>
      </c>
      <c r="G157" s="25">
        <v>30</v>
      </c>
      <c r="H157" s="25">
        <v>4.3</v>
      </c>
      <c r="I157" s="25">
        <v>0.42</v>
      </c>
      <c r="J157" s="25">
        <v>0.87</v>
      </c>
      <c r="K157" s="26">
        <v>0</v>
      </c>
      <c r="L157" s="25">
        <f t="shared" si="16"/>
        <v>-0.72616813937205937</v>
      </c>
      <c r="M157" s="25">
        <f t="shared" si="22"/>
        <v>0.32603616544694025</v>
      </c>
      <c r="N157" s="25">
        <f t="shared" si="17"/>
        <v>0.67396383455305975</v>
      </c>
      <c r="O157" s="25">
        <f t="shared" si="18"/>
        <v>-0.39457882744261419</v>
      </c>
      <c r="P157" s="25">
        <f t="shared" si="19"/>
        <v>0</v>
      </c>
      <c r="Q157" s="25">
        <f t="shared" si="23"/>
        <v>508.07578287662744</v>
      </c>
      <c r="R157" s="25">
        <f t="shared" si="20"/>
        <v>7</v>
      </c>
      <c r="S157" s="26">
        <f t="shared" si="21"/>
        <v>14</v>
      </c>
    </row>
    <row r="158" spans="2:19" x14ac:dyDescent="0.3">
      <c r="B158" s="24">
        <v>61881</v>
      </c>
      <c r="C158" s="25">
        <v>30</v>
      </c>
      <c r="D158" s="25">
        <v>3</v>
      </c>
      <c r="E158" s="25">
        <v>7</v>
      </c>
      <c r="F158" s="25">
        <v>4</v>
      </c>
      <c r="G158" s="25">
        <v>60</v>
      </c>
      <c r="H158" s="25">
        <v>21.6</v>
      </c>
      <c r="I158" s="25">
        <v>5.57</v>
      </c>
      <c r="J158" s="25">
        <v>7.39</v>
      </c>
      <c r="K158" s="26">
        <v>1</v>
      </c>
      <c r="L158" s="25">
        <f t="shared" si="16"/>
        <v>2.0659408030233073</v>
      </c>
      <c r="M158" s="25">
        <f t="shared" si="22"/>
        <v>0.88754846535306575</v>
      </c>
      <c r="N158" s="25">
        <f t="shared" si="17"/>
        <v>0.88754846535306575</v>
      </c>
      <c r="O158" s="25">
        <f t="shared" si="18"/>
        <v>-0.11929215027505029</v>
      </c>
      <c r="P158" s="25">
        <f t="shared" si="19"/>
        <v>1</v>
      </c>
      <c r="Q158" s="25">
        <f t="shared" si="23"/>
        <v>427.51255066364581</v>
      </c>
      <c r="R158" s="25">
        <f t="shared" si="20"/>
        <v>8</v>
      </c>
      <c r="S158" s="26">
        <f t="shared" si="21"/>
        <v>16</v>
      </c>
    </row>
    <row r="159" spans="2:19" x14ac:dyDescent="0.3">
      <c r="B159" s="24">
        <v>61920</v>
      </c>
      <c r="C159" s="25">
        <v>35</v>
      </c>
      <c r="D159" s="25">
        <v>2</v>
      </c>
      <c r="E159" s="25">
        <v>6</v>
      </c>
      <c r="F159" s="25">
        <v>5</v>
      </c>
      <c r="G159" s="25">
        <v>32</v>
      </c>
      <c r="H159" s="25">
        <v>7.6</v>
      </c>
      <c r="I159" s="25">
        <v>0.82</v>
      </c>
      <c r="J159" s="25">
        <v>1.61</v>
      </c>
      <c r="K159" s="26">
        <v>0</v>
      </c>
      <c r="L159" s="25">
        <f t="shared" si="16"/>
        <v>-1.5914378831863221</v>
      </c>
      <c r="M159" s="25">
        <f t="shared" si="22"/>
        <v>0.16918169300584768</v>
      </c>
      <c r="N159" s="25">
        <f t="shared" si="17"/>
        <v>0.83081830699415238</v>
      </c>
      <c r="O159" s="25">
        <f t="shared" si="18"/>
        <v>-0.18534415184241554</v>
      </c>
      <c r="P159" s="25">
        <f t="shared" si="19"/>
        <v>0</v>
      </c>
      <c r="Q159" s="25">
        <f t="shared" si="23"/>
        <v>533.04218953766986</v>
      </c>
      <c r="R159" s="25">
        <f t="shared" si="20"/>
        <v>6</v>
      </c>
      <c r="S159" s="26">
        <f t="shared" si="21"/>
        <v>12</v>
      </c>
    </row>
    <row r="160" spans="2:19" x14ac:dyDescent="0.3">
      <c r="B160" s="24">
        <v>61946</v>
      </c>
      <c r="C160" s="25">
        <v>30</v>
      </c>
      <c r="D160" s="25">
        <v>4</v>
      </c>
      <c r="E160" s="25">
        <v>4</v>
      </c>
      <c r="F160" s="25">
        <v>7</v>
      </c>
      <c r="G160" s="25">
        <v>30</v>
      </c>
      <c r="H160" s="25">
        <v>9.1999999999999993</v>
      </c>
      <c r="I160" s="25">
        <v>0.89</v>
      </c>
      <c r="J160" s="25">
        <v>1.87</v>
      </c>
      <c r="K160" s="26">
        <v>0</v>
      </c>
      <c r="L160" s="25">
        <f t="shared" si="16"/>
        <v>-1.0042977376161264</v>
      </c>
      <c r="M160" s="25">
        <f t="shared" si="22"/>
        <v>0.26809727443055836</v>
      </c>
      <c r="N160" s="25">
        <f t="shared" si="17"/>
        <v>0.73190272556944169</v>
      </c>
      <c r="O160" s="25">
        <f t="shared" si="18"/>
        <v>-0.31210766241762983</v>
      </c>
      <c r="P160" s="25">
        <f t="shared" si="19"/>
        <v>0</v>
      </c>
      <c r="Q160" s="25">
        <f t="shared" si="23"/>
        <v>516.10090649140193</v>
      </c>
      <c r="R160" s="25">
        <f t="shared" si="20"/>
        <v>7</v>
      </c>
      <c r="S160" s="26">
        <f t="shared" si="21"/>
        <v>13</v>
      </c>
    </row>
    <row r="161" spans="2:19" x14ac:dyDescent="0.3">
      <c r="B161" s="24">
        <v>61952</v>
      </c>
      <c r="C161" s="25">
        <v>19</v>
      </c>
      <c r="D161" s="25">
        <v>2</v>
      </c>
      <c r="E161" s="25">
        <v>0</v>
      </c>
      <c r="F161" s="25">
        <v>0</v>
      </c>
      <c r="G161" s="25">
        <v>23</v>
      </c>
      <c r="H161" s="25">
        <v>8.8000000000000007</v>
      </c>
      <c r="I161" s="25">
        <v>1.1100000000000001</v>
      </c>
      <c r="J161" s="25">
        <v>0.92</v>
      </c>
      <c r="K161" s="26">
        <v>0</v>
      </c>
      <c r="L161" s="25">
        <f t="shared" si="16"/>
        <v>0.51209178780961317</v>
      </c>
      <c r="M161" s="25">
        <f t="shared" si="22"/>
        <v>0.62529671019761135</v>
      </c>
      <c r="N161" s="25">
        <f t="shared" si="17"/>
        <v>0.37470328980238865</v>
      </c>
      <c r="O161" s="25">
        <f t="shared" si="18"/>
        <v>-0.98162079339080388</v>
      </c>
      <c r="P161" s="25">
        <f t="shared" si="19"/>
        <v>1</v>
      </c>
      <c r="Q161" s="25">
        <f t="shared" si="23"/>
        <v>472.3471547637202</v>
      </c>
      <c r="R161" s="25">
        <f t="shared" si="20"/>
        <v>7</v>
      </c>
      <c r="S161" s="26">
        <f t="shared" si="21"/>
        <v>15</v>
      </c>
    </row>
    <row r="162" spans="2:19" x14ac:dyDescent="0.3">
      <c r="B162" s="24">
        <v>61972</v>
      </c>
      <c r="C162" s="25">
        <v>38</v>
      </c>
      <c r="D162" s="25">
        <v>4</v>
      </c>
      <c r="E162" s="25">
        <v>14</v>
      </c>
      <c r="F162" s="25">
        <v>4</v>
      </c>
      <c r="G162" s="25">
        <v>98</v>
      </c>
      <c r="H162" s="25">
        <v>16.5</v>
      </c>
      <c r="I162" s="25">
        <v>1.34</v>
      </c>
      <c r="J162" s="25">
        <v>14.83</v>
      </c>
      <c r="K162" s="26">
        <v>0</v>
      </c>
      <c r="L162" s="25">
        <f t="shared" si="16"/>
        <v>-2.0604703933922712</v>
      </c>
      <c r="M162" s="25">
        <f t="shared" si="22"/>
        <v>0.11299867397120332</v>
      </c>
      <c r="N162" s="25">
        <f t="shared" si="17"/>
        <v>0.88700132602879667</v>
      </c>
      <c r="O162" s="25">
        <f t="shared" si="18"/>
        <v>-0.11990880171449049</v>
      </c>
      <c r="P162" s="25">
        <f t="shared" si="19"/>
        <v>0</v>
      </c>
      <c r="Q162" s="25">
        <f t="shared" si="23"/>
        <v>546.57560668390124</v>
      </c>
      <c r="R162" s="25">
        <f t="shared" si="20"/>
        <v>6</v>
      </c>
      <c r="S162" s="26">
        <f t="shared" si="21"/>
        <v>11</v>
      </c>
    </row>
    <row r="163" spans="2:19" x14ac:dyDescent="0.3">
      <c r="B163" s="24">
        <v>61980</v>
      </c>
      <c r="C163" s="25">
        <v>20</v>
      </c>
      <c r="D163" s="25">
        <v>2</v>
      </c>
      <c r="E163" s="25">
        <v>1</v>
      </c>
      <c r="F163" s="25">
        <v>0</v>
      </c>
      <c r="G163" s="25">
        <v>19</v>
      </c>
      <c r="H163" s="25">
        <v>8</v>
      </c>
      <c r="I163" s="25">
        <v>0.78</v>
      </c>
      <c r="J163" s="25">
        <v>0.74</v>
      </c>
      <c r="K163" s="26">
        <v>0</v>
      </c>
      <c r="L163" s="25">
        <f t="shared" si="16"/>
        <v>2.2810245529827078E-2</v>
      </c>
      <c r="M163" s="25">
        <f t="shared" si="22"/>
        <v>0.50570231413829425</v>
      </c>
      <c r="N163" s="25">
        <f t="shared" si="17"/>
        <v>0.49429768586170575</v>
      </c>
      <c r="O163" s="25">
        <f t="shared" si="18"/>
        <v>-0.70461734032755086</v>
      </c>
      <c r="P163" s="25">
        <f t="shared" si="19"/>
        <v>1</v>
      </c>
      <c r="Q163" s="25">
        <f t="shared" si="23"/>
        <v>486.46483545650693</v>
      </c>
      <c r="R163" s="25">
        <f t="shared" si="20"/>
        <v>7</v>
      </c>
      <c r="S163" s="26">
        <f t="shared" si="21"/>
        <v>15</v>
      </c>
    </row>
    <row r="164" spans="2:19" x14ac:dyDescent="0.3">
      <c r="B164" s="24">
        <v>62038</v>
      </c>
      <c r="C164" s="25">
        <v>43</v>
      </c>
      <c r="D164" s="25">
        <v>2</v>
      </c>
      <c r="E164" s="25">
        <v>14</v>
      </c>
      <c r="F164" s="25">
        <v>8</v>
      </c>
      <c r="G164" s="25">
        <v>61</v>
      </c>
      <c r="H164" s="25">
        <v>10.8</v>
      </c>
      <c r="I164" s="25">
        <v>2.17</v>
      </c>
      <c r="J164" s="25">
        <v>4.41</v>
      </c>
      <c r="K164" s="26">
        <v>0</v>
      </c>
      <c r="L164" s="25">
        <f t="shared" si="16"/>
        <v>-2.6367699913263594</v>
      </c>
      <c r="M164" s="25">
        <f t="shared" si="22"/>
        <v>6.6809131083732709E-2</v>
      </c>
      <c r="N164" s="25">
        <f t="shared" si="17"/>
        <v>0.93319086891626735</v>
      </c>
      <c r="O164" s="25">
        <f t="shared" si="18"/>
        <v>-6.9145523584546467E-2</v>
      </c>
      <c r="P164" s="25">
        <f t="shared" si="19"/>
        <v>0</v>
      </c>
      <c r="Q164" s="25">
        <f t="shared" si="23"/>
        <v>563.20409765273166</v>
      </c>
      <c r="R164" s="25">
        <f t="shared" si="20"/>
        <v>5</v>
      </c>
      <c r="S164" s="26">
        <f t="shared" si="21"/>
        <v>10</v>
      </c>
    </row>
    <row r="165" spans="2:19" x14ac:dyDescent="0.3">
      <c r="B165" s="24">
        <v>62060</v>
      </c>
      <c r="C165" s="25">
        <v>25</v>
      </c>
      <c r="D165" s="25">
        <v>2</v>
      </c>
      <c r="E165" s="25">
        <v>2</v>
      </c>
      <c r="F165" s="25">
        <v>3</v>
      </c>
      <c r="G165" s="25">
        <v>25</v>
      </c>
      <c r="H165" s="25">
        <v>9.9</v>
      </c>
      <c r="I165" s="25">
        <v>1.4</v>
      </c>
      <c r="J165" s="25">
        <v>1.08</v>
      </c>
      <c r="K165" s="26">
        <v>0</v>
      </c>
      <c r="L165" s="25">
        <f t="shared" si="16"/>
        <v>8.3708693983169991E-2</v>
      </c>
      <c r="M165" s="25">
        <f t="shared" si="22"/>
        <v>0.52091496207340005</v>
      </c>
      <c r="N165" s="25">
        <f t="shared" si="17"/>
        <v>0.47908503792659995</v>
      </c>
      <c r="O165" s="25">
        <f t="shared" si="18"/>
        <v>-0.73587716512235357</v>
      </c>
      <c r="P165" s="25">
        <f t="shared" si="19"/>
        <v>1</v>
      </c>
      <c r="Q165" s="25">
        <f t="shared" si="23"/>
        <v>484.70767771467899</v>
      </c>
      <c r="R165" s="25">
        <f t="shared" si="20"/>
        <v>7</v>
      </c>
      <c r="S165" s="26">
        <f t="shared" si="21"/>
        <v>15</v>
      </c>
    </row>
    <row r="166" spans="2:19" x14ac:dyDescent="0.3">
      <c r="B166" s="24">
        <v>62074</v>
      </c>
      <c r="C166" s="25">
        <v>41</v>
      </c>
      <c r="D166" s="25">
        <v>1</v>
      </c>
      <c r="E166" s="25">
        <v>11</v>
      </c>
      <c r="F166" s="25">
        <v>5</v>
      </c>
      <c r="G166" s="25">
        <v>36</v>
      </c>
      <c r="H166" s="25">
        <v>10.199999999999999</v>
      </c>
      <c r="I166" s="25">
        <v>1.37</v>
      </c>
      <c r="J166" s="25">
        <v>2.31</v>
      </c>
      <c r="K166" s="26">
        <v>1</v>
      </c>
      <c r="L166" s="25">
        <f t="shared" si="16"/>
        <v>-2.2607701213107316</v>
      </c>
      <c r="M166" s="25">
        <f t="shared" si="22"/>
        <v>9.4424496452135021E-2</v>
      </c>
      <c r="N166" s="25">
        <f t="shared" si="17"/>
        <v>9.4424496452135021E-2</v>
      </c>
      <c r="O166" s="25">
        <f t="shared" si="18"/>
        <v>-2.3599547431790375</v>
      </c>
      <c r="P166" s="25">
        <f t="shared" si="19"/>
        <v>0</v>
      </c>
      <c r="Q166" s="25">
        <f t="shared" si="23"/>
        <v>552.35503500328775</v>
      </c>
      <c r="R166" s="25">
        <f t="shared" si="20"/>
        <v>6</v>
      </c>
      <c r="S166" s="26">
        <f t="shared" si="21"/>
        <v>11</v>
      </c>
    </row>
    <row r="167" spans="2:19" x14ac:dyDescent="0.3">
      <c r="B167" s="24">
        <v>62109</v>
      </c>
      <c r="C167" s="25">
        <v>37</v>
      </c>
      <c r="D167" s="25">
        <v>3</v>
      </c>
      <c r="E167" s="25">
        <v>3</v>
      </c>
      <c r="F167" s="25">
        <v>4</v>
      </c>
      <c r="G167" s="25">
        <v>36</v>
      </c>
      <c r="H167" s="25">
        <v>6.7</v>
      </c>
      <c r="I167" s="25">
        <v>0.68</v>
      </c>
      <c r="J167" s="25">
        <v>1.73</v>
      </c>
      <c r="K167" s="26">
        <v>0</v>
      </c>
      <c r="L167" s="25">
        <f t="shared" si="16"/>
        <v>-1.1288329047779573</v>
      </c>
      <c r="M167" s="25">
        <f t="shared" si="22"/>
        <v>0.24437654849992912</v>
      </c>
      <c r="N167" s="25">
        <f t="shared" si="17"/>
        <v>0.75562345150007082</v>
      </c>
      <c r="O167" s="25">
        <f t="shared" si="18"/>
        <v>-0.28021210691202564</v>
      </c>
      <c r="P167" s="25">
        <f t="shared" si="19"/>
        <v>0</v>
      </c>
      <c r="Q167" s="25">
        <f t="shared" si="23"/>
        <v>519.69423175117265</v>
      </c>
      <c r="R167" s="25">
        <f t="shared" si="20"/>
        <v>6</v>
      </c>
      <c r="S167" s="26">
        <f t="shared" si="21"/>
        <v>13</v>
      </c>
    </row>
    <row r="168" spans="2:19" x14ac:dyDescent="0.3">
      <c r="B168" s="24">
        <v>62155</v>
      </c>
      <c r="C168" s="25">
        <v>22</v>
      </c>
      <c r="D168" s="25">
        <v>1</v>
      </c>
      <c r="E168" s="25">
        <v>0</v>
      </c>
      <c r="F168" s="25">
        <v>2</v>
      </c>
      <c r="G168" s="25">
        <v>17</v>
      </c>
      <c r="H168" s="25">
        <v>3.7</v>
      </c>
      <c r="I168" s="25">
        <v>0.14000000000000001</v>
      </c>
      <c r="J168" s="25">
        <v>0.49</v>
      </c>
      <c r="K168" s="26">
        <v>1</v>
      </c>
      <c r="L168" s="25">
        <f t="shared" si="16"/>
        <v>-0.54417842523895799</v>
      </c>
      <c r="M168" s="25">
        <f t="shared" si="22"/>
        <v>0.36721611052905145</v>
      </c>
      <c r="N168" s="25">
        <f t="shared" si="17"/>
        <v>0.36721611052905145</v>
      </c>
      <c r="O168" s="25">
        <f t="shared" si="18"/>
        <v>-1.0018047472084455</v>
      </c>
      <c r="P168" s="25">
        <f t="shared" si="19"/>
        <v>0</v>
      </c>
      <c r="Q168" s="25">
        <f t="shared" si="23"/>
        <v>502.82466986400237</v>
      </c>
      <c r="R168" s="25">
        <f t="shared" si="20"/>
        <v>7</v>
      </c>
      <c r="S168" s="26">
        <f t="shared" si="21"/>
        <v>14</v>
      </c>
    </row>
    <row r="169" spans="2:19" x14ac:dyDescent="0.3">
      <c r="B169" s="24">
        <v>62168</v>
      </c>
      <c r="C169" s="25">
        <v>23</v>
      </c>
      <c r="D169" s="25">
        <v>2</v>
      </c>
      <c r="E169" s="25">
        <v>0</v>
      </c>
      <c r="F169" s="25">
        <v>3</v>
      </c>
      <c r="G169" s="25">
        <v>27</v>
      </c>
      <c r="H169" s="25">
        <v>17.600000000000001</v>
      </c>
      <c r="I169" s="25">
        <v>2.13</v>
      </c>
      <c r="J169" s="25">
        <v>2.62</v>
      </c>
      <c r="K169" s="26">
        <v>1</v>
      </c>
      <c r="L169" s="25">
        <f t="shared" si="16"/>
        <v>1.7314828624391791</v>
      </c>
      <c r="M169" s="25">
        <f t="shared" si="22"/>
        <v>0.84960199635324063</v>
      </c>
      <c r="N169" s="25">
        <f t="shared" si="17"/>
        <v>0.84960199635324063</v>
      </c>
      <c r="O169" s="25">
        <f t="shared" si="18"/>
        <v>-0.16298727874058419</v>
      </c>
      <c r="P169" s="25">
        <f t="shared" si="19"/>
        <v>1</v>
      </c>
      <c r="Q169" s="25">
        <f t="shared" si="23"/>
        <v>437.16296663546615</v>
      </c>
      <c r="R169" s="25">
        <f t="shared" si="20"/>
        <v>8</v>
      </c>
      <c r="S169" s="26">
        <f t="shared" si="21"/>
        <v>16</v>
      </c>
    </row>
    <row r="170" spans="2:19" x14ac:dyDescent="0.3">
      <c r="B170" s="24">
        <v>62184</v>
      </c>
      <c r="C170" s="25">
        <v>45</v>
      </c>
      <c r="D170" s="25">
        <v>4</v>
      </c>
      <c r="E170" s="25">
        <v>1</v>
      </c>
      <c r="F170" s="25">
        <v>8</v>
      </c>
      <c r="G170" s="25">
        <v>60</v>
      </c>
      <c r="H170" s="25">
        <v>9.9</v>
      </c>
      <c r="I170" s="25">
        <v>1.1399999999999999</v>
      </c>
      <c r="J170" s="25">
        <v>4.8</v>
      </c>
      <c r="K170" s="26">
        <v>1</v>
      </c>
      <c r="L170" s="25">
        <f t="shared" si="16"/>
        <v>-0.41366933313097043</v>
      </c>
      <c r="M170" s="25">
        <f t="shared" si="22"/>
        <v>0.39803261111992083</v>
      </c>
      <c r="N170" s="25">
        <f t="shared" si="17"/>
        <v>0.39803261111992083</v>
      </c>
      <c r="O170" s="25">
        <f t="shared" si="18"/>
        <v>-0.92122133956715357</v>
      </c>
      <c r="P170" s="25">
        <f t="shared" si="19"/>
        <v>0</v>
      </c>
      <c r="Q170" s="25">
        <f t="shared" si="23"/>
        <v>499.05897357122768</v>
      </c>
      <c r="R170" s="25">
        <f t="shared" si="20"/>
        <v>7</v>
      </c>
      <c r="S170" s="26">
        <f t="shared" si="21"/>
        <v>14</v>
      </c>
    </row>
    <row r="171" spans="2:19" x14ac:dyDescent="0.3">
      <c r="B171" s="24">
        <v>62219</v>
      </c>
      <c r="C171" s="25">
        <v>19</v>
      </c>
      <c r="D171" s="25">
        <v>1</v>
      </c>
      <c r="E171" s="25">
        <v>1</v>
      </c>
      <c r="F171" s="25">
        <v>0</v>
      </c>
      <c r="G171" s="25">
        <v>20</v>
      </c>
      <c r="H171" s="25">
        <v>8.8000000000000007</v>
      </c>
      <c r="I171" s="25">
        <v>0.55000000000000004</v>
      </c>
      <c r="J171" s="25">
        <v>1.21</v>
      </c>
      <c r="K171" s="26">
        <v>0</v>
      </c>
      <c r="L171" s="25">
        <f t="shared" si="16"/>
        <v>8.060960272174289E-2</v>
      </c>
      <c r="M171" s="25">
        <f t="shared" si="22"/>
        <v>0.5201414953959822</v>
      </c>
      <c r="N171" s="25">
        <f t="shared" si="17"/>
        <v>0.4798585046040178</v>
      </c>
      <c r="O171" s="25">
        <f t="shared" si="18"/>
        <v>-0.73426400061193964</v>
      </c>
      <c r="P171" s="25">
        <f t="shared" si="19"/>
        <v>1</v>
      </c>
      <c r="Q171" s="25">
        <f t="shared" si="23"/>
        <v>484.79709858402708</v>
      </c>
      <c r="R171" s="25">
        <f t="shared" si="20"/>
        <v>7</v>
      </c>
      <c r="S171" s="26">
        <f t="shared" si="21"/>
        <v>15</v>
      </c>
    </row>
    <row r="172" spans="2:19" x14ac:dyDescent="0.3">
      <c r="B172" s="24">
        <v>62223</v>
      </c>
      <c r="C172" s="25">
        <v>26</v>
      </c>
      <c r="D172" s="25">
        <v>2</v>
      </c>
      <c r="E172" s="25">
        <v>6</v>
      </c>
      <c r="F172" s="25">
        <v>3</v>
      </c>
      <c r="G172" s="25">
        <v>23</v>
      </c>
      <c r="H172" s="25">
        <v>13.6</v>
      </c>
      <c r="I172" s="25">
        <v>0.13</v>
      </c>
      <c r="J172" s="25">
        <v>3</v>
      </c>
      <c r="K172" s="26">
        <v>0</v>
      </c>
      <c r="L172" s="25">
        <f t="shared" si="16"/>
        <v>-1.0280567776627552</v>
      </c>
      <c r="M172" s="25">
        <f t="shared" si="22"/>
        <v>0.26346101175118031</v>
      </c>
      <c r="N172" s="25">
        <f t="shared" si="17"/>
        <v>0.73653898824881969</v>
      </c>
      <c r="O172" s="25">
        <f t="shared" si="18"/>
        <v>-0.30579310727919179</v>
      </c>
      <c r="P172" s="25">
        <f t="shared" si="19"/>
        <v>0</v>
      </c>
      <c r="Q172" s="25">
        <f t="shared" si="23"/>
        <v>516.78644745700331</v>
      </c>
      <c r="R172" s="25">
        <f t="shared" si="20"/>
        <v>7</v>
      </c>
      <c r="S172" s="26">
        <f t="shared" si="21"/>
        <v>13</v>
      </c>
    </row>
    <row r="173" spans="2:19" x14ac:dyDescent="0.3">
      <c r="B173" s="24">
        <v>62229</v>
      </c>
      <c r="C173" s="25">
        <v>25</v>
      </c>
      <c r="D173" s="25">
        <v>4</v>
      </c>
      <c r="E173" s="25">
        <v>0</v>
      </c>
      <c r="F173" s="25">
        <v>2</v>
      </c>
      <c r="G173" s="25">
        <v>21</v>
      </c>
      <c r="H173" s="25">
        <v>22.3</v>
      </c>
      <c r="I173" s="25">
        <v>1.68</v>
      </c>
      <c r="J173" s="25">
        <v>3.01</v>
      </c>
      <c r="K173" s="26">
        <v>1</v>
      </c>
      <c r="L173" s="25">
        <f t="shared" si="16"/>
        <v>1.8775558542918109</v>
      </c>
      <c r="M173" s="25">
        <f t="shared" si="22"/>
        <v>0.86733013451766061</v>
      </c>
      <c r="N173" s="25">
        <f t="shared" si="17"/>
        <v>0.86733013451766061</v>
      </c>
      <c r="O173" s="25">
        <f t="shared" si="18"/>
        <v>-0.14233559668875487</v>
      </c>
      <c r="P173" s="25">
        <f t="shared" si="19"/>
        <v>1</v>
      </c>
      <c r="Q173" s="25">
        <f t="shared" si="23"/>
        <v>432.94819113584953</v>
      </c>
      <c r="R173" s="25">
        <f t="shared" si="20"/>
        <v>8</v>
      </c>
      <c r="S173" s="26">
        <f t="shared" si="21"/>
        <v>16</v>
      </c>
    </row>
    <row r="174" spans="2:19" x14ac:dyDescent="0.3">
      <c r="B174" s="24">
        <v>62238</v>
      </c>
      <c r="C174" s="25">
        <v>49</v>
      </c>
      <c r="D174" s="25">
        <v>4</v>
      </c>
      <c r="E174" s="25">
        <v>1</v>
      </c>
      <c r="F174" s="25">
        <v>8</v>
      </c>
      <c r="G174" s="25">
        <v>51</v>
      </c>
      <c r="H174" s="25">
        <v>11.2</v>
      </c>
      <c r="I174" s="25">
        <v>1.86</v>
      </c>
      <c r="J174" s="25">
        <v>3.85</v>
      </c>
      <c r="K174" s="26">
        <v>0</v>
      </c>
      <c r="L174" s="25">
        <f t="shared" si="16"/>
        <v>-5.5344294864934807E-2</v>
      </c>
      <c r="M174" s="25">
        <f t="shared" si="22"/>
        <v>0.48616745684977025</v>
      </c>
      <c r="N174" s="25">
        <f t="shared" si="17"/>
        <v>0.51383254315022975</v>
      </c>
      <c r="O174" s="25">
        <f t="shared" si="18"/>
        <v>-0.66585785814508192</v>
      </c>
      <c r="P174" s="25">
        <f t="shared" si="19"/>
        <v>1</v>
      </c>
      <c r="Q174" s="25">
        <f t="shared" si="23"/>
        <v>488.71989874960332</v>
      </c>
      <c r="R174" s="25">
        <f t="shared" si="20"/>
        <v>7</v>
      </c>
      <c r="S174" s="26">
        <f t="shared" si="21"/>
        <v>15</v>
      </c>
    </row>
    <row r="175" spans="2:19" x14ac:dyDescent="0.3">
      <c r="B175" s="24">
        <v>62301</v>
      </c>
      <c r="C175" s="25">
        <v>76</v>
      </c>
      <c r="D175" s="25">
        <v>1</v>
      </c>
      <c r="E175" s="25">
        <v>15</v>
      </c>
      <c r="F175" s="25">
        <v>20</v>
      </c>
      <c r="G175" s="25">
        <v>26</v>
      </c>
      <c r="H175" s="25">
        <v>5.6</v>
      </c>
      <c r="I175" s="25">
        <v>0.14000000000000001</v>
      </c>
      <c r="J175" s="25">
        <v>1.32</v>
      </c>
      <c r="K175" s="26">
        <v>0</v>
      </c>
      <c r="L175" s="25">
        <f t="shared" si="16"/>
        <v>-5.478446335181018</v>
      </c>
      <c r="M175" s="25">
        <f t="shared" si="22"/>
        <v>4.1584475762413541E-3</v>
      </c>
      <c r="N175" s="25">
        <f t="shared" si="17"/>
        <v>0.9958415524237586</v>
      </c>
      <c r="O175" s="25">
        <f t="shared" si="18"/>
        <v>-4.1671179646154584E-3</v>
      </c>
      <c r="P175" s="25">
        <f t="shared" si="19"/>
        <v>0</v>
      </c>
      <c r="Q175" s="25">
        <f t="shared" si="23"/>
        <v>645.1975427106795</v>
      </c>
      <c r="R175" s="25">
        <f t="shared" si="20"/>
        <v>3</v>
      </c>
      <c r="S175" s="26">
        <f t="shared" si="21"/>
        <v>3</v>
      </c>
    </row>
    <row r="176" spans="2:19" x14ac:dyDescent="0.3">
      <c r="B176" s="24">
        <v>62380</v>
      </c>
      <c r="C176" s="25">
        <v>28</v>
      </c>
      <c r="D176" s="25">
        <v>3</v>
      </c>
      <c r="E176" s="25">
        <v>1</v>
      </c>
      <c r="F176" s="25">
        <v>3</v>
      </c>
      <c r="G176" s="25">
        <v>16</v>
      </c>
      <c r="H176" s="25">
        <v>5.2</v>
      </c>
      <c r="I176" s="25">
        <v>0.5</v>
      </c>
      <c r="J176" s="25">
        <v>0.33</v>
      </c>
      <c r="K176" s="26">
        <v>0</v>
      </c>
      <c r="L176" s="25">
        <f t="shared" si="16"/>
        <v>-0.72370131045770769</v>
      </c>
      <c r="M176" s="25">
        <f t="shared" si="22"/>
        <v>0.32657845044720979</v>
      </c>
      <c r="N176" s="25">
        <f t="shared" si="17"/>
        <v>0.67342154955279021</v>
      </c>
      <c r="O176" s="25">
        <f t="shared" si="18"/>
        <v>-0.39538377164929323</v>
      </c>
      <c r="P176" s="25">
        <f t="shared" si="19"/>
        <v>0</v>
      </c>
      <c r="Q176" s="25">
        <f t="shared" si="23"/>
        <v>508.00460524181563</v>
      </c>
      <c r="R176" s="25">
        <f t="shared" si="20"/>
        <v>7</v>
      </c>
      <c r="S176" s="26">
        <f t="shared" si="21"/>
        <v>14</v>
      </c>
    </row>
    <row r="177" spans="2:19" x14ac:dyDescent="0.3">
      <c r="B177" s="24">
        <v>62399</v>
      </c>
      <c r="C177" s="25">
        <v>37</v>
      </c>
      <c r="D177" s="25">
        <v>1</v>
      </c>
      <c r="E177" s="25">
        <v>18</v>
      </c>
      <c r="F177" s="25">
        <v>8</v>
      </c>
      <c r="G177" s="25">
        <v>36</v>
      </c>
      <c r="H177" s="25">
        <v>4.8</v>
      </c>
      <c r="I177" s="25">
        <v>0.44</v>
      </c>
      <c r="J177" s="25">
        <v>1.29</v>
      </c>
      <c r="K177" s="26">
        <v>0</v>
      </c>
      <c r="L177" s="25">
        <f t="shared" si="16"/>
        <v>-4.8599922735576078</v>
      </c>
      <c r="M177" s="25">
        <f t="shared" si="22"/>
        <v>7.6909348478263126E-3</v>
      </c>
      <c r="N177" s="25">
        <f t="shared" si="17"/>
        <v>0.99230906515217365</v>
      </c>
      <c r="O177" s="25">
        <f t="shared" si="18"/>
        <v>-7.7206626081806956E-3</v>
      </c>
      <c r="P177" s="25">
        <f t="shared" si="19"/>
        <v>0</v>
      </c>
      <c r="Q177" s="25">
        <f t="shared" si="23"/>
        <v>627.35273106200384</v>
      </c>
      <c r="R177" s="25">
        <f t="shared" si="20"/>
        <v>3</v>
      </c>
      <c r="S177" s="26">
        <f t="shared" si="21"/>
        <v>4</v>
      </c>
    </row>
    <row r="178" spans="2:19" x14ac:dyDescent="0.3">
      <c r="B178" s="24">
        <v>62406</v>
      </c>
      <c r="C178" s="25">
        <v>41</v>
      </c>
      <c r="D178" s="25">
        <v>1</v>
      </c>
      <c r="E178" s="25">
        <v>9</v>
      </c>
      <c r="F178" s="25">
        <v>8</v>
      </c>
      <c r="G178" s="25">
        <v>29</v>
      </c>
      <c r="H178" s="25">
        <v>5.6</v>
      </c>
      <c r="I178" s="25">
        <v>0.25</v>
      </c>
      <c r="J178" s="25">
        <v>1.38</v>
      </c>
      <c r="K178" s="26">
        <v>0</v>
      </c>
      <c r="L178" s="25">
        <f t="shared" si="16"/>
        <v>-2.919795616859266</v>
      </c>
      <c r="M178" s="25">
        <f t="shared" si="22"/>
        <v>5.1183625641320889E-2</v>
      </c>
      <c r="N178" s="25">
        <f t="shared" si="17"/>
        <v>0.94881637435867916</v>
      </c>
      <c r="O178" s="25">
        <f t="shared" si="18"/>
        <v>-5.2539992921025624E-2</v>
      </c>
      <c r="P178" s="25">
        <f t="shared" si="19"/>
        <v>0</v>
      </c>
      <c r="Q178" s="25">
        <f t="shared" si="23"/>
        <v>571.37049074929564</v>
      </c>
      <c r="R178" s="25">
        <f t="shared" si="20"/>
        <v>5</v>
      </c>
      <c r="S178" s="26">
        <f t="shared" si="21"/>
        <v>9</v>
      </c>
    </row>
    <row r="179" spans="2:19" x14ac:dyDescent="0.3">
      <c r="B179" s="24">
        <v>62428</v>
      </c>
      <c r="C179" s="25">
        <v>30</v>
      </c>
      <c r="D179" s="25">
        <v>2</v>
      </c>
      <c r="E179" s="25">
        <v>8</v>
      </c>
      <c r="F179" s="25">
        <v>4</v>
      </c>
      <c r="G179" s="25">
        <v>68</v>
      </c>
      <c r="H179" s="25">
        <v>2.4</v>
      </c>
      <c r="I179" s="25">
        <v>0.27</v>
      </c>
      <c r="J179" s="25">
        <v>1.36</v>
      </c>
      <c r="K179" s="26">
        <v>0</v>
      </c>
      <c r="L179" s="25">
        <f t="shared" si="16"/>
        <v>-2.6802798496947622</v>
      </c>
      <c r="M179" s="25">
        <f t="shared" si="22"/>
        <v>6.4147074355422218E-2</v>
      </c>
      <c r="N179" s="25">
        <f t="shared" si="17"/>
        <v>0.93585292564457778</v>
      </c>
      <c r="O179" s="25">
        <f t="shared" si="18"/>
        <v>-6.6296945572475119E-2</v>
      </c>
      <c r="P179" s="25">
        <f t="shared" si="19"/>
        <v>0</v>
      </c>
      <c r="Q179" s="25">
        <f t="shared" si="23"/>
        <v>564.45952675510773</v>
      </c>
      <c r="R179" s="25">
        <f t="shared" si="20"/>
        <v>5</v>
      </c>
      <c r="S179" s="26">
        <f t="shared" si="21"/>
        <v>10</v>
      </c>
    </row>
    <row r="180" spans="2:19" x14ac:dyDescent="0.3">
      <c r="B180" s="24">
        <v>62534</v>
      </c>
      <c r="C180" s="25">
        <v>39</v>
      </c>
      <c r="D180" s="25">
        <v>3</v>
      </c>
      <c r="E180" s="25">
        <v>4</v>
      </c>
      <c r="F180" s="25">
        <v>9</v>
      </c>
      <c r="G180" s="25">
        <v>78</v>
      </c>
      <c r="H180" s="25">
        <v>14</v>
      </c>
      <c r="I180" s="25">
        <v>7.21</v>
      </c>
      <c r="J180" s="25">
        <v>3.71</v>
      </c>
      <c r="K180" s="26">
        <v>1</v>
      </c>
      <c r="L180" s="25">
        <f t="shared" si="16"/>
        <v>2.3186077709167519</v>
      </c>
      <c r="M180" s="25">
        <f t="shared" si="22"/>
        <v>0.91040644621159872</v>
      </c>
      <c r="N180" s="25">
        <f t="shared" si="17"/>
        <v>0.91040644621159872</v>
      </c>
      <c r="O180" s="25">
        <f t="shared" si="18"/>
        <v>-9.3864134998496343E-2</v>
      </c>
      <c r="P180" s="25">
        <f t="shared" si="19"/>
        <v>1</v>
      </c>
      <c r="Q180" s="25">
        <f t="shared" si="23"/>
        <v>420.22212323874516</v>
      </c>
      <c r="R180" s="25">
        <f t="shared" si="20"/>
        <v>8</v>
      </c>
      <c r="S180" s="26">
        <f t="shared" si="21"/>
        <v>16</v>
      </c>
    </row>
    <row r="181" spans="2:19" x14ac:dyDescent="0.3">
      <c r="B181" s="24">
        <v>62545</v>
      </c>
      <c r="C181" s="25">
        <v>25</v>
      </c>
      <c r="D181" s="25">
        <v>3</v>
      </c>
      <c r="E181" s="25">
        <v>2</v>
      </c>
      <c r="F181" s="25">
        <v>2</v>
      </c>
      <c r="G181" s="25">
        <v>19</v>
      </c>
      <c r="H181" s="25">
        <v>3.4</v>
      </c>
      <c r="I181" s="25">
        <v>0.19</v>
      </c>
      <c r="J181" s="25">
        <v>0.46</v>
      </c>
      <c r="K181" s="26">
        <v>0</v>
      </c>
      <c r="L181" s="25">
        <f t="shared" si="16"/>
        <v>-1.1748162459628344</v>
      </c>
      <c r="M181" s="25">
        <f t="shared" si="22"/>
        <v>0.23598552877910003</v>
      </c>
      <c r="N181" s="25">
        <f t="shared" si="17"/>
        <v>0.76401447122089994</v>
      </c>
      <c r="O181" s="25">
        <f t="shared" si="18"/>
        <v>-0.26916854860638989</v>
      </c>
      <c r="P181" s="25">
        <f t="shared" si="19"/>
        <v>0</v>
      </c>
      <c r="Q181" s="25">
        <f t="shared" si="23"/>
        <v>521.02103047938704</v>
      </c>
      <c r="R181" s="25">
        <f t="shared" si="20"/>
        <v>6</v>
      </c>
      <c r="S181" s="26">
        <f t="shared" si="21"/>
        <v>13</v>
      </c>
    </row>
    <row r="182" spans="2:19" x14ac:dyDescent="0.3">
      <c r="B182" s="24">
        <v>62573</v>
      </c>
      <c r="C182" s="25">
        <v>26</v>
      </c>
      <c r="D182" s="25">
        <v>5</v>
      </c>
      <c r="E182" s="25">
        <v>0</v>
      </c>
      <c r="F182" s="25">
        <v>4</v>
      </c>
      <c r="G182" s="25">
        <v>19</v>
      </c>
      <c r="H182" s="25">
        <v>7.7</v>
      </c>
      <c r="I182" s="25">
        <v>0.67</v>
      </c>
      <c r="J182" s="25">
        <v>0.79</v>
      </c>
      <c r="K182" s="26">
        <v>0</v>
      </c>
      <c r="L182" s="25">
        <f t="shared" si="16"/>
        <v>-0.25185633847052741</v>
      </c>
      <c r="M182" s="25">
        <f t="shared" si="22"/>
        <v>0.43736664380922879</v>
      </c>
      <c r="N182" s="25">
        <f t="shared" si="17"/>
        <v>0.56263335619077126</v>
      </c>
      <c r="O182" s="25">
        <f t="shared" si="18"/>
        <v>-0.57512709532955009</v>
      </c>
      <c r="P182" s="25">
        <f t="shared" si="19"/>
        <v>1</v>
      </c>
      <c r="Q182" s="25">
        <f t="shared" si="23"/>
        <v>494.39003760459474</v>
      </c>
      <c r="R182" s="25">
        <f t="shared" si="20"/>
        <v>7</v>
      </c>
      <c r="S182" s="26">
        <f t="shared" si="21"/>
        <v>14</v>
      </c>
    </row>
    <row r="183" spans="2:19" x14ac:dyDescent="0.3">
      <c r="B183" s="24">
        <v>62602</v>
      </c>
      <c r="C183" s="25">
        <v>24</v>
      </c>
      <c r="D183" s="25">
        <v>1</v>
      </c>
      <c r="E183" s="25">
        <v>8</v>
      </c>
      <c r="F183" s="25">
        <v>2</v>
      </c>
      <c r="G183" s="25">
        <v>28</v>
      </c>
      <c r="H183" s="25">
        <v>6.6</v>
      </c>
      <c r="I183" s="25">
        <v>0.26</v>
      </c>
      <c r="J183" s="25">
        <v>1.59</v>
      </c>
      <c r="K183" s="26">
        <v>0</v>
      </c>
      <c r="L183" s="25">
        <f t="shared" si="16"/>
        <v>-2.0214760504005138</v>
      </c>
      <c r="M183" s="25">
        <f t="shared" si="22"/>
        <v>0.11696645035239668</v>
      </c>
      <c r="N183" s="25">
        <f t="shared" si="17"/>
        <v>0.88303354964760328</v>
      </c>
      <c r="O183" s="25">
        <f t="shared" si="18"/>
        <v>-0.12439208402907308</v>
      </c>
      <c r="P183" s="25">
        <f t="shared" si="19"/>
        <v>0</v>
      </c>
      <c r="Q183" s="25">
        <f t="shared" si="23"/>
        <v>545.45046781065139</v>
      </c>
      <c r="R183" s="25">
        <f t="shared" si="20"/>
        <v>6</v>
      </c>
      <c r="S183" s="26">
        <f t="shared" si="21"/>
        <v>11</v>
      </c>
    </row>
    <row r="184" spans="2:19" x14ac:dyDescent="0.3">
      <c r="B184" s="24">
        <v>62610</v>
      </c>
      <c r="C184" s="25">
        <v>61</v>
      </c>
      <c r="D184" s="25">
        <v>1</v>
      </c>
      <c r="E184" s="25">
        <v>0</v>
      </c>
      <c r="F184" s="25">
        <v>10</v>
      </c>
      <c r="G184" s="25">
        <v>42</v>
      </c>
      <c r="H184" s="25">
        <v>18.399999999999999</v>
      </c>
      <c r="I184" s="25">
        <v>4.01</v>
      </c>
      <c r="J184" s="25">
        <v>3.72</v>
      </c>
      <c r="K184" s="26">
        <v>0</v>
      </c>
      <c r="L184" s="25">
        <f t="shared" si="16"/>
        <v>1.7373672347868208</v>
      </c>
      <c r="M184" s="25">
        <f t="shared" si="22"/>
        <v>0.85035234651987435</v>
      </c>
      <c r="N184" s="25">
        <f t="shared" si="17"/>
        <v>0.14964765348012565</v>
      </c>
      <c r="O184" s="25">
        <f t="shared" si="18"/>
        <v>-1.8994717248589807</v>
      </c>
      <c r="P184" s="25">
        <f t="shared" si="19"/>
        <v>1</v>
      </c>
      <c r="Q184" s="25">
        <f t="shared" si="23"/>
        <v>436.9931795441845</v>
      </c>
      <c r="R184" s="25">
        <f t="shared" si="20"/>
        <v>8</v>
      </c>
      <c r="S184" s="26">
        <f t="shared" si="21"/>
        <v>16</v>
      </c>
    </row>
    <row r="185" spans="2:19" x14ac:dyDescent="0.3">
      <c r="B185" s="24">
        <v>62637</v>
      </c>
      <c r="C185" s="25">
        <v>26</v>
      </c>
      <c r="D185" s="25">
        <v>2</v>
      </c>
      <c r="E185" s="25">
        <v>6</v>
      </c>
      <c r="F185" s="25">
        <v>2</v>
      </c>
      <c r="G185" s="25">
        <v>38</v>
      </c>
      <c r="H185" s="25">
        <v>10.6</v>
      </c>
      <c r="I185" s="25">
        <v>2.57</v>
      </c>
      <c r="J185" s="25">
        <v>1.46</v>
      </c>
      <c r="K185" s="26">
        <v>0</v>
      </c>
      <c r="L185" s="25">
        <f t="shared" si="16"/>
        <v>-0.17385750917849616</v>
      </c>
      <c r="M185" s="25">
        <f t="shared" si="22"/>
        <v>0.45664477388464259</v>
      </c>
      <c r="N185" s="25">
        <f t="shared" si="17"/>
        <v>0.54335522611535736</v>
      </c>
      <c r="O185" s="25">
        <f t="shared" si="18"/>
        <v>-0.60999198119735065</v>
      </c>
      <c r="P185" s="25">
        <f t="shared" si="19"/>
        <v>1</v>
      </c>
      <c r="Q185" s="25">
        <f t="shared" si="23"/>
        <v>492.13946718408539</v>
      </c>
      <c r="R185" s="25">
        <f t="shared" si="20"/>
        <v>7</v>
      </c>
      <c r="S185" s="26">
        <f t="shared" si="21"/>
        <v>14</v>
      </c>
    </row>
    <row r="186" spans="2:19" x14ac:dyDescent="0.3">
      <c r="B186" s="24">
        <v>62645</v>
      </c>
      <c r="C186" s="25">
        <v>18</v>
      </c>
      <c r="D186" s="25">
        <v>2</v>
      </c>
      <c r="E186" s="25">
        <v>0</v>
      </c>
      <c r="F186" s="25">
        <v>0</v>
      </c>
      <c r="G186" s="25">
        <v>44</v>
      </c>
      <c r="H186" s="25">
        <v>9.1999999999999993</v>
      </c>
      <c r="I186" s="25">
        <v>1.25</v>
      </c>
      <c r="J186" s="25">
        <v>2.8</v>
      </c>
      <c r="K186" s="26">
        <v>0</v>
      </c>
      <c r="L186" s="25">
        <f t="shared" si="16"/>
        <v>0.69177148724955795</v>
      </c>
      <c r="M186" s="25">
        <f t="shared" si="22"/>
        <v>0.66636088698051621</v>
      </c>
      <c r="N186" s="25">
        <f t="shared" si="17"/>
        <v>0.33363911301948379</v>
      </c>
      <c r="O186" s="25">
        <f t="shared" si="18"/>
        <v>-1.0976953701079923</v>
      </c>
      <c r="P186" s="25">
        <f t="shared" si="19"/>
        <v>1</v>
      </c>
      <c r="Q186" s="25">
        <f t="shared" si="23"/>
        <v>467.16269468404994</v>
      </c>
      <c r="R186" s="25">
        <f t="shared" si="20"/>
        <v>7</v>
      </c>
      <c r="S186" s="26">
        <f t="shared" si="21"/>
        <v>15</v>
      </c>
    </row>
    <row r="187" spans="2:19" x14ac:dyDescent="0.3">
      <c r="B187" s="24">
        <v>62691</v>
      </c>
      <c r="C187" s="25">
        <v>41</v>
      </c>
      <c r="D187" s="25">
        <v>2</v>
      </c>
      <c r="E187" s="25">
        <v>21</v>
      </c>
      <c r="F187" s="25">
        <v>8</v>
      </c>
      <c r="G187" s="25">
        <v>189</v>
      </c>
      <c r="H187" s="25">
        <v>6.3</v>
      </c>
      <c r="I187" s="25">
        <v>6.22</v>
      </c>
      <c r="J187" s="25">
        <v>5.69</v>
      </c>
      <c r="K187" s="26">
        <v>0</v>
      </c>
      <c r="L187" s="25">
        <f t="shared" si="16"/>
        <v>-2.646518264972471</v>
      </c>
      <c r="M187" s="25">
        <f t="shared" si="22"/>
        <v>6.6203928899940284E-2</v>
      </c>
      <c r="N187" s="25">
        <f t="shared" si="17"/>
        <v>0.93379607110005969</v>
      </c>
      <c r="O187" s="25">
        <f t="shared" si="18"/>
        <v>-6.849720388608603E-2</v>
      </c>
      <c r="P187" s="25">
        <f t="shared" si="19"/>
        <v>0</v>
      </c>
      <c r="Q187" s="25">
        <f t="shared" si="23"/>
        <v>563.48537336568916</v>
      </c>
      <c r="R187" s="25">
        <f t="shared" si="20"/>
        <v>5</v>
      </c>
      <c r="S187" s="26">
        <f t="shared" si="21"/>
        <v>10</v>
      </c>
    </row>
    <row r="188" spans="2:19" x14ac:dyDescent="0.3">
      <c r="B188" s="24">
        <v>62693</v>
      </c>
      <c r="C188" s="25">
        <v>49</v>
      </c>
      <c r="D188" s="25">
        <v>3</v>
      </c>
      <c r="E188" s="25">
        <v>9</v>
      </c>
      <c r="F188" s="25">
        <v>16</v>
      </c>
      <c r="G188" s="25">
        <v>64</v>
      </c>
      <c r="H188" s="25">
        <v>6.1</v>
      </c>
      <c r="I188" s="25">
        <v>0.33</v>
      </c>
      <c r="J188" s="25">
        <v>3.57</v>
      </c>
      <c r="K188" s="26">
        <v>0</v>
      </c>
      <c r="L188" s="25">
        <f t="shared" si="16"/>
        <v>-3.3095496972577751</v>
      </c>
      <c r="M188" s="25">
        <f t="shared" si="22"/>
        <v>3.5245027563028969E-2</v>
      </c>
      <c r="N188" s="25">
        <f t="shared" si="17"/>
        <v>0.96475497243697106</v>
      </c>
      <c r="O188" s="25">
        <f t="shared" si="18"/>
        <v>-3.5881124458001207E-2</v>
      </c>
      <c r="P188" s="25">
        <f t="shared" si="19"/>
        <v>0</v>
      </c>
      <c r="Q188" s="25">
        <f t="shared" si="23"/>
        <v>582.61641600970609</v>
      </c>
      <c r="R188" s="25">
        <f t="shared" si="20"/>
        <v>5</v>
      </c>
      <c r="S188" s="26">
        <f t="shared" si="21"/>
        <v>8</v>
      </c>
    </row>
    <row r="189" spans="2:19" x14ac:dyDescent="0.3">
      <c r="B189" s="24">
        <v>62744</v>
      </c>
      <c r="C189" s="25">
        <v>18</v>
      </c>
      <c r="D189" s="25">
        <v>1</v>
      </c>
      <c r="E189" s="25">
        <v>0</v>
      </c>
      <c r="F189" s="25">
        <v>0</v>
      </c>
      <c r="G189" s="25">
        <v>20</v>
      </c>
      <c r="H189" s="25">
        <v>3.9</v>
      </c>
      <c r="I189" s="25">
        <v>0.37</v>
      </c>
      <c r="J189" s="25">
        <v>0.41</v>
      </c>
      <c r="K189" s="26">
        <v>0</v>
      </c>
      <c r="L189" s="25">
        <f t="shared" si="16"/>
        <v>-0.26509143258078083</v>
      </c>
      <c r="M189" s="25">
        <f t="shared" si="22"/>
        <v>0.43411253574730024</v>
      </c>
      <c r="N189" s="25">
        <f t="shared" si="17"/>
        <v>0.56588746425269976</v>
      </c>
      <c r="O189" s="25">
        <f t="shared" si="18"/>
        <v>-0.56936004695620257</v>
      </c>
      <c r="P189" s="25">
        <f t="shared" si="19"/>
        <v>1</v>
      </c>
      <c r="Q189" s="25">
        <f t="shared" si="23"/>
        <v>494.77192168654261</v>
      </c>
      <c r="R189" s="25">
        <f t="shared" si="20"/>
        <v>7</v>
      </c>
      <c r="S189" s="26">
        <f t="shared" si="21"/>
        <v>14</v>
      </c>
    </row>
    <row r="190" spans="2:19" x14ac:dyDescent="0.3">
      <c r="B190" s="24">
        <v>62750</v>
      </c>
      <c r="C190" s="25">
        <v>18</v>
      </c>
      <c r="D190" s="25">
        <v>2</v>
      </c>
      <c r="E190" s="25">
        <v>0</v>
      </c>
      <c r="F190" s="25">
        <v>0</v>
      </c>
      <c r="G190" s="25">
        <v>24</v>
      </c>
      <c r="H190" s="25">
        <v>6.5</v>
      </c>
      <c r="I190" s="25">
        <v>0.3</v>
      </c>
      <c r="J190" s="25">
        <v>1.26</v>
      </c>
      <c r="K190" s="26">
        <v>0</v>
      </c>
      <c r="L190" s="25">
        <f t="shared" si="16"/>
        <v>-7.0395272070841342E-2</v>
      </c>
      <c r="M190" s="25">
        <f t="shared" si="22"/>
        <v>0.48240844595289606</v>
      </c>
      <c r="N190" s="25">
        <f t="shared" si="17"/>
        <v>0.51759155404710389</v>
      </c>
      <c r="O190" s="25">
        <f t="shared" si="18"/>
        <v>-0.65856885345735772</v>
      </c>
      <c r="P190" s="25">
        <f t="shared" si="19"/>
        <v>1</v>
      </c>
      <c r="Q190" s="25">
        <f t="shared" si="23"/>
        <v>489.15417814080485</v>
      </c>
      <c r="R190" s="25">
        <f t="shared" si="20"/>
        <v>7</v>
      </c>
      <c r="S190" s="26">
        <f t="shared" si="21"/>
        <v>15</v>
      </c>
    </row>
    <row r="191" spans="2:19" x14ac:dyDescent="0.3">
      <c r="B191" s="24">
        <v>62792</v>
      </c>
      <c r="C191" s="25">
        <v>52</v>
      </c>
      <c r="D191" s="25">
        <v>4</v>
      </c>
      <c r="E191" s="25">
        <v>2</v>
      </c>
      <c r="F191" s="25">
        <v>12</v>
      </c>
      <c r="G191" s="25">
        <v>96</v>
      </c>
      <c r="H191" s="25">
        <v>7.1</v>
      </c>
      <c r="I191" s="25">
        <v>2.2799999999999998</v>
      </c>
      <c r="J191" s="25">
        <v>4.54</v>
      </c>
      <c r="K191" s="26">
        <v>1</v>
      </c>
      <c r="L191" s="25">
        <f t="shared" si="16"/>
        <v>-0.65890044160996286</v>
      </c>
      <c r="M191" s="25">
        <f t="shared" si="22"/>
        <v>0.34098665532505096</v>
      </c>
      <c r="N191" s="25">
        <f t="shared" si="17"/>
        <v>0.34098665532505096</v>
      </c>
      <c r="O191" s="25">
        <f t="shared" si="18"/>
        <v>-1.075911936408505</v>
      </c>
      <c r="P191" s="25">
        <f t="shared" si="19"/>
        <v>0</v>
      </c>
      <c r="Q191" s="25">
        <f t="shared" si="23"/>
        <v>506.13484745216971</v>
      </c>
      <c r="R191" s="25">
        <f t="shared" si="20"/>
        <v>7</v>
      </c>
      <c r="S191" s="26">
        <f t="shared" si="21"/>
        <v>14</v>
      </c>
    </row>
    <row r="192" spans="2:19" x14ac:dyDescent="0.3">
      <c r="B192" s="24">
        <v>62812</v>
      </c>
      <c r="C192" s="25">
        <v>32</v>
      </c>
      <c r="D192" s="25">
        <v>2</v>
      </c>
      <c r="E192" s="25">
        <v>2</v>
      </c>
      <c r="F192" s="25">
        <v>6</v>
      </c>
      <c r="G192" s="25">
        <v>30</v>
      </c>
      <c r="H192" s="25">
        <v>9.4</v>
      </c>
      <c r="I192" s="25">
        <v>1.18</v>
      </c>
      <c r="J192" s="25">
        <v>1.64</v>
      </c>
      <c r="K192" s="26">
        <v>0</v>
      </c>
      <c r="L192" s="25">
        <f t="shared" si="16"/>
        <v>-0.30406807551474319</v>
      </c>
      <c r="M192" s="25">
        <f t="shared" si="22"/>
        <v>0.42456331076021342</v>
      </c>
      <c r="N192" s="25">
        <f t="shared" si="17"/>
        <v>0.57543668923978664</v>
      </c>
      <c r="O192" s="25">
        <f t="shared" si="18"/>
        <v>-0.5526260668808034</v>
      </c>
      <c r="P192" s="25">
        <f t="shared" si="19"/>
        <v>1</v>
      </c>
      <c r="Q192" s="25">
        <f t="shared" si="23"/>
        <v>495.89654984409486</v>
      </c>
      <c r="R192" s="25">
        <f t="shared" si="20"/>
        <v>7</v>
      </c>
      <c r="S192" s="26">
        <f t="shared" si="21"/>
        <v>14</v>
      </c>
    </row>
    <row r="193" spans="2:19" x14ac:dyDescent="0.3">
      <c r="B193" s="24">
        <v>62835</v>
      </c>
      <c r="C193" s="25">
        <v>27</v>
      </c>
      <c r="D193" s="25">
        <v>2</v>
      </c>
      <c r="E193" s="25">
        <v>6</v>
      </c>
      <c r="F193" s="25">
        <v>5</v>
      </c>
      <c r="G193" s="25">
        <v>42</v>
      </c>
      <c r="H193" s="25">
        <v>9.1</v>
      </c>
      <c r="I193" s="25">
        <v>2.19</v>
      </c>
      <c r="J193" s="25">
        <v>1.64</v>
      </c>
      <c r="K193" s="26">
        <v>1</v>
      </c>
      <c r="L193" s="25">
        <f t="shared" si="16"/>
        <v>-0.61723482878090574</v>
      </c>
      <c r="M193" s="25">
        <f t="shared" si="22"/>
        <v>0.35041060738709612</v>
      </c>
      <c r="N193" s="25">
        <f t="shared" si="17"/>
        <v>0.35041060738709612</v>
      </c>
      <c r="O193" s="25">
        <f t="shared" si="18"/>
        <v>-1.0486496481546475</v>
      </c>
      <c r="P193" s="25">
        <f t="shared" si="19"/>
        <v>0</v>
      </c>
      <c r="Q193" s="25">
        <f t="shared" si="23"/>
        <v>504.93263202616134</v>
      </c>
      <c r="R193" s="25">
        <f t="shared" si="20"/>
        <v>7</v>
      </c>
      <c r="S193" s="26">
        <f t="shared" si="21"/>
        <v>14</v>
      </c>
    </row>
    <row r="194" spans="2:19" x14ac:dyDescent="0.3">
      <c r="B194" s="24">
        <v>62837</v>
      </c>
      <c r="C194" s="25">
        <v>23</v>
      </c>
      <c r="D194" s="25">
        <v>3</v>
      </c>
      <c r="E194" s="25">
        <v>0</v>
      </c>
      <c r="F194" s="25">
        <v>2</v>
      </c>
      <c r="G194" s="25">
        <v>57</v>
      </c>
      <c r="H194" s="25">
        <v>17.8</v>
      </c>
      <c r="I194" s="25">
        <v>2.73</v>
      </c>
      <c r="J194" s="25">
        <v>7.42</v>
      </c>
      <c r="K194" s="26">
        <v>1</v>
      </c>
      <c r="L194" s="25">
        <f t="shared" si="16"/>
        <v>2.1421202048821955</v>
      </c>
      <c r="M194" s="25">
        <f t="shared" si="22"/>
        <v>0.89493014073104138</v>
      </c>
      <c r="N194" s="25">
        <f t="shared" si="17"/>
        <v>0.89493014073104138</v>
      </c>
      <c r="O194" s="25">
        <f t="shared" si="18"/>
        <v>-0.11100961880285133</v>
      </c>
      <c r="P194" s="25">
        <f t="shared" si="19"/>
        <v>1</v>
      </c>
      <c r="Q194" s="25">
        <f t="shared" si="23"/>
        <v>425.31447782034962</v>
      </c>
      <c r="R194" s="25">
        <f t="shared" si="20"/>
        <v>8</v>
      </c>
      <c r="S194" s="26">
        <f t="shared" si="21"/>
        <v>16</v>
      </c>
    </row>
    <row r="195" spans="2:19" x14ac:dyDescent="0.3">
      <c r="B195" s="24">
        <v>62863</v>
      </c>
      <c r="C195" s="25">
        <v>29</v>
      </c>
      <c r="D195" s="25">
        <v>4</v>
      </c>
      <c r="E195" s="25">
        <v>3</v>
      </c>
      <c r="F195" s="25">
        <v>3</v>
      </c>
      <c r="G195" s="25">
        <v>46</v>
      </c>
      <c r="H195" s="25">
        <v>8.1</v>
      </c>
      <c r="I195" s="25">
        <v>0.28999999999999998</v>
      </c>
      <c r="J195" s="25">
        <v>3.44</v>
      </c>
      <c r="K195" s="26">
        <v>0</v>
      </c>
      <c r="L195" s="25">
        <f t="shared" si="16"/>
        <v>-0.97695770041043528</v>
      </c>
      <c r="M195" s="25">
        <f t="shared" si="22"/>
        <v>0.27349585930504705</v>
      </c>
      <c r="N195" s="25">
        <f t="shared" si="17"/>
        <v>0.72650414069495295</v>
      </c>
      <c r="O195" s="25">
        <f t="shared" si="18"/>
        <v>-0.31951109647675058</v>
      </c>
      <c r="P195" s="25">
        <f t="shared" si="19"/>
        <v>0</v>
      </c>
      <c r="Q195" s="25">
        <f t="shared" si="23"/>
        <v>515.31203979187262</v>
      </c>
      <c r="R195" s="25">
        <f t="shared" si="20"/>
        <v>7</v>
      </c>
      <c r="S195" s="26">
        <f t="shared" si="21"/>
        <v>13</v>
      </c>
    </row>
    <row r="196" spans="2:19" x14ac:dyDescent="0.3">
      <c r="B196" s="24">
        <v>62867</v>
      </c>
      <c r="C196" s="25">
        <v>73</v>
      </c>
      <c r="D196" s="25">
        <v>2</v>
      </c>
      <c r="E196" s="25">
        <v>53</v>
      </c>
      <c r="F196" s="25">
        <v>25</v>
      </c>
      <c r="G196" s="25">
        <v>410</v>
      </c>
      <c r="H196" s="25">
        <v>4.0999999999999996</v>
      </c>
      <c r="I196" s="25">
        <v>3.11</v>
      </c>
      <c r="J196" s="25">
        <v>13.7</v>
      </c>
      <c r="K196" s="26">
        <v>0</v>
      </c>
      <c r="L196" s="25">
        <f t="shared" si="16"/>
        <v>-12.573557032080714</v>
      </c>
      <c r="M196" s="25">
        <f t="shared" si="22"/>
        <v>3.4623587052017087E-6</v>
      </c>
      <c r="N196" s="25">
        <f t="shared" si="17"/>
        <v>0.99999653764129481</v>
      </c>
      <c r="O196" s="25">
        <f t="shared" si="18"/>
        <v>-3.4623646991640343E-6</v>
      </c>
      <c r="P196" s="25">
        <f t="shared" si="19"/>
        <v>0</v>
      </c>
      <c r="Q196" s="25">
        <f t="shared" si="23"/>
        <v>849.91915724795376</v>
      </c>
      <c r="R196" s="25">
        <f t="shared" si="20"/>
        <v>1</v>
      </c>
      <c r="S196" s="26">
        <f t="shared" si="21"/>
        <v>1</v>
      </c>
    </row>
    <row r="197" spans="2:19" x14ac:dyDescent="0.3">
      <c r="B197" s="24">
        <v>62923</v>
      </c>
      <c r="C197" s="25">
        <v>31</v>
      </c>
      <c r="D197" s="25">
        <v>4</v>
      </c>
      <c r="E197" s="25">
        <v>3</v>
      </c>
      <c r="F197" s="25">
        <v>5</v>
      </c>
      <c r="G197" s="25">
        <v>22</v>
      </c>
      <c r="H197" s="25">
        <v>4.5999999999999996</v>
      </c>
      <c r="I197" s="25">
        <v>0.23</v>
      </c>
      <c r="J197" s="25">
        <v>0.79</v>
      </c>
      <c r="K197" s="26">
        <v>0</v>
      </c>
      <c r="L197" s="25">
        <f t="shared" ref="L197:L260" si="24">$Y$4+SUMPRODUCT($Z$4:$AG$4,C197:J197)</f>
        <v>-1.5343516521068246</v>
      </c>
      <c r="M197" s="25">
        <f t="shared" si="22"/>
        <v>0.17735787908561465</v>
      </c>
      <c r="N197" s="25">
        <f t="shared" ref="N197:N260" si="25">IF(K197=1,M197,(1-M197))</f>
        <v>0.82264212091438538</v>
      </c>
      <c r="O197" s="25">
        <f t="shared" ref="O197:O260" si="26">LN(N197)</f>
        <v>-0.19523401988405109</v>
      </c>
      <c r="P197" s="25">
        <f t="shared" ref="P197:P260" si="27">IF(M197&gt;0.4,1,0)</f>
        <v>0</v>
      </c>
      <c r="Q197" s="25">
        <f t="shared" si="23"/>
        <v>531.39502913472506</v>
      </c>
      <c r="R197" s="25">
        <f t="shared" ref="R197:R260" si="28">VLOOKUP(M197,$U$9:$W$16,3,TRUE)</f>
        <v>6</v>
      </c>
      <c r="S197" s="26">
        <f t="shared" ref="S197:S260" si="29">VLOOKUP(M197,$U$21:$W$37,3,TRUE)</f>
        <v>12</v>
      </c>
    </row>
    <row r="198" spans="2:19" x14ac:dyDescent="0.3">
      <c r="B198" s="24">
        <v>62975</v>
      </c>
      <c r="C198" s="25">
        <v>19</v>
      </c>
      <c r="D198" s="25">
        <v>2</v>
      </c>
      <c r="E198" s="25">
        <v>0</v>
      </c>
      <c r="F198" s="25">
        <v>0</v>
      </c>
      <c r="G198" s="25">
        <v>28</v>
      </c>
      <c r="H198" s="25">
        <v>9.1</v>
      </c>
      <c r="I198" s="25">
        <v>0.87</v>
      </c>
      <c r="J198" s="25">
        <v>1.68</v>
      </c>
      <c r="K198" s="26">
        <v>1</v>
      </c>
      <c r="L198" s="25">
        <f t="shared" si="24"/>
        <v>0.44849741415995142</v>
      </c>
      <c r="M198" s="25">
        <f t="shared" ref="M198:M261" si="30">EXP(L198)/(1+EXP(L198))</f>
        <v>0.61028192136853132</v>
      </c>
      <c r="N198" s="25">
        <f t="shared" si="25"/>
        <v>0.61028192136853132</v>
      </c>
      <c r="O198" s="25">
        <f t="shared" si="26"/>
        <v>-0.49383426240275347</v>
      </c>
      <c r="P198" s="25">
        <f t="shared" si="27"/>
        <v>1</v>
      </c>
      <c r="Q198" s="25">
        <f t="shared" si="23"/>
        <v>474.1821004615702</v>
      </c>
      <c r="R198" s="25">
        <f t="shared" si="28"/>
        <v>7</v>
      </c>
      <c r="S198" s="26">
        <f t="shared" si="29"/>
        <v>15</v>
      </c>
    </row>
    <row r="199" spans="2:19" x14ac:dyDescent="0.3">
      <c r="B199" s="24">
        <v>63023</v>
      </c>
      <c r="C199" s="25">
        <v>57</v>
      </c>
      <c r="D199" s="25">
        <v>2</v>
      </c>
      <c r="E199" s="25">
        <v>4</v>
      </c>
      <c r="F199" s="25">
        <v>9</v>
      </c>
      <c r="G199" s="25">
        <v>39</v>
      </c>
      <c r="H199" s="25">
        <v>4.3</v>
      </c>
      <c r="I199" s="25">
        <v>0.56000000000000005</v>
      </c>
      <c r="J199" s="25">
        <v>1.1200000000000001</v>
      </c>
      <c r="K199" s="26">
        <v>0</v>
      </c>
      <c r="L199" s="25">
        <f t="shared" si="24"/>
        <v>-2.2071513050780061</v>
      </c>
      <c r="M199" s="25">
        <f t="shared" si="30"/>
        <v>9.911013518877794E-2</v>
      </c>
      <c r="N199" s="25">
        <f t="shared" si="25"/>
        <v>0.90088986481122202</v>
      </c>
      <c r="O199" s="25">
        <f t="shared" si="26"/>
        <v>-0.10437226545881892</v>
      </c>
      <c r="P199" s="25">
        <f t="shared" si="27"/>
        <v>0</v>
      </c>
      <c r="Q199" s="25">
        <f t="shared" si="23"/>
        <v>550.80792304159024</v>
      </c>
      <c r="R199" s="25">
        <f t="shared" si="28"/>
        <v>6</v>
      </c>
      <c r="S199" s="26">
        <f t="shared" si="29"/>
        <v>11</v>
      </c>
    </row>
    <row r="200" spans="2:19" x14ac:dyDescent="0.3">
      <c r="B200" s="24">
        <v>63041</v>
      </c>
      <c r="C200" s="25">
        <v>18</v>
      </c>
      <c r="D200" s="25">
        <v>2</v>
      </c>
      <c r="E200" s="25">
        <v>0</v>
      </c>
      <c r="F200" s="25">
        <v>0</v>
      </c>
      <c r="G200" s="25">
        <v>19</v>
      </c>
      <c r="H200" s="25">
        <v>1.5</v>
      </c>
      <c r="I200" s="25">
        <v>0.06</v>
      </c>
      <c r="J200" s="25">
        <v>0.22</v>
      </c>
      <c r="K200" s="26">
        <v>0</v>
      </c>
      <c r="L200" s="25">
        <f t="shared" si="24"/>
        <v>-0.7094635488314569</v>
      </c>
      <c r="M200" s="25">
        <f t="shared" si="30"/>
        <v>0.32971738712302273</v>
      </c>
      <c r="N200" s="25">
        <f t="shared" si="25"/>
        <v>0.67028261287697721</v>
      </c>
      <c r="O200" s="25">
        <f t="shared" si="26"/>
        <v>-0.40005584526992088</v>
      </c>
      <c r="P200" s="25">
        <f t="shared" si="27"/>
        <v>0</v>
      </c>
      <c r="Q200" s="25">
        <f t="shared" si="23"/>
        <v>507.59379029162795</v>
      </c>
      <c r="R200" s="25">
        <f t="shared" si="28"/>
        <v>7</v>
      </c>
      <c r="S200" s="26">
        <f t="shared" si="29"/>
        <v>14</v>
      </c>
    </row>
    <row r="201" spans="2:19" x14ac:dyDescent="0.3">
      <c r="B201" s="24">
        <v>63054</v>
      </c>
      <c r="C201" s="25">
        <v>22</v>
      </c>
      <c r="D201" s="25">
        <v>1</v>
      </c>
      <c r="E201" s="25">
        <v>1</v>
      </c>
      <c r="F201" s="25">
        <v>1</v>
      </c>
      <c r="G201" s="25">
        <v>19</v>
      </c>
      <c r="H201" s="25">
        <v>8.9</v>
      </c>
      <c r="I201" s="25">
        <v>0.49</v>
      </c>
      <c r="J201" s="25">
        <v>1.2</v>
      </c>
      <c r="K201" s="26">
        <v>0</v>
      </c>
      <c r="L201" s="25">
        <f t="shared" si="24"/>
        <v>-3.5700022748463622E-2</v>
      </c>
      <c r="M201" s="25">
        <f t="shared" si="30"/>
        <v>0.49107594209583966</v>
      </c>
      <c r="N201" s="25">
        <f t="shared" si="25"/>
        <v>0.50892405790416029</v>
      </c>
      <c r="O201" s="25">
        <f t="shared" si="26"/>
        <v>-0.67545647217941607</v>
      </c>
      <c r="P201" s="25">
        <f t="shared" si="27"/>
        <v>1</v>
      </c>
      <c r="Q201" s="25">
        <f t="shared" ref="Q201:Q264" si="31">28.8539*LN((1-M201)/(M201))+487.123</f>
        <v>488.15308488638186</v>
      </c>
      <c r="R201" s="25">
        <f t="shared" si="28"/>
        <v>7</v>
      </c>
      <c r="S201" s="26">
        <f t="shared" si="29"/>
        <v>15</v>
      </c>
    </row>
    <row r="202" spans="2:19" x14ac:dyDescent="0.3">
      <c r="B202" s="24">
        <v>63055</v>
      </c>
      <c r="C202" s="25">
        <v>21</v>
      </c>
      <c r="D202" s="25">
        <v>2</v>
      </c>
      <c r="E202" s="25">
        <v>0</v>
      </c>
      <c r="F202" s="25">
        <v>1</v>
      </c>
      <c r="G202" s="25">
        <v>30</v>
      </c>
      <c r="H202" s="25">
        <v>4.3</v>
      </c>
      <c r="I202" s="25">
        <v>0.18</v>
      </c>
      <c r="J202" s="25">
        <v>1.1100000000000001</v>
      </c>
      <c r="K202" s="26">
        <v>0</v>
      </c>
      <c r="L202" s="25">
        <f t="shared" si="24"/>
        <v>-0.44623761947941809</v>
      </c>
      <c r="M202" s="25">
        <f t="shared" si="30"/>
        <v>0.39025567719636878</v>
      </c>
      <c r="N202" s="25">
        <f t="shared" si="25"/>
        <v>0.60974432280363122</v>
      </c>
      <c r="O202" s="25">
        <f t="shared" si="26"/>
        <v>-0.49471555262460393</v>
      </c>
      <c r="P202" s="25">
        <f t="shared" si="27"/>
        <v>0</v>
      </c>
      <c r="Q202" s="25">
        <f t="shared" si="31"/>
        <v>499.99869564869715</v>
      </c>
      <c r="R202" s="25">
        <f t="shared" si="28"/>
        <v>7</v>
      </c>
      <c r="S202" s="26">
        <f t="shared" si="29"/>
        <v>14</v>
      </c>
    </row>
    <row r="203" spans="2:19" x14ac:dyDescent="0.3">
      <c r="B203" s="24">
        <v>63071</v>
      </c>
      <c r="C203" s="25">
        <v>33</v>
      </c>
      <c r="D203" s="25">
        <v>3</v>
      </c>
      <c r="E203" s="25">
        <v>4</v>
      </c>
      <c r="F203" s="25">
        <v>4</v>
      </c>
      <c r="G203" s="25">
        <v>60</v>
      </c>
      <c r="H203" s="25">
        <v>9.5</v>
      </c>
      <c r="I203" s="25">
        <v>1.61</v>
      </c>
      <c r="J203" s="25">
        <v>4.09</v>
      </c>
      <c r="K203" s="26">
        <v>0</v>
      </c>
      <c r="L203" s="25">
        <f t="shared" si="24"/>
        <v>-0.48452270919364199</v>
      </c>
      <c r="M203" s="25">
        <f t="shared" si="30"/>
        <v>0.3811847235673233</v>
      </c>
      <c r="N203" s="25">
        <f t="shared" si="25"/>
        <v>0.61881527643267664</v>
      </c>
      <c r="O203" s="25">
        <f t="shared" si="26"/>
        <v>-0.47994847339875013</v>
      </c>
      <c r="P203" s="25">
        <f t="shared" si="27"/>
        <v>0</v>
      </c>
      <c r="Q203" s="25">
        <f t="shared" si="31"/>
        <v>501.10336979880242</v>
      </c>
      <c r="R203" s="25">
        <f t="shared" si="28"/>
        <v>7</v>
      </c>
      <c r="S203" s="26">
        <f t="shared" si="29"/>
        <v>14</v>
      </c>
    </row>
    <row r="204" spans="2:19" x14ac:dyDescent="0.3">
      <c r="B204" s="24">
        <v>70016</v>
      </c>
      <c r="C204" s="25">
        <v>21</v>
      </c>
      <c r="D204" s="25">
        <v>3</v>
      </c>
      <c r="E204" s="25">
        <v>0</v>
      </c>
      <c r="F204" s="25">
        <v>1</v>
      </c>
      <c r="G204" s="25">
        <v>41</v>
      </c>
      <c r="H204" s="25">
        <v>23.4</v>
      </c>
      <c r="I204" s="25">
        <v>1.97</v>
      </c>
      <c r="J204" s="25">
        <v>7.63</v>
      </c>
      <c r="K204" s="26">
        <v>1</v>
      </c>
      <c r="L204" s="25">
        <f t="shared" si="24"/>
        <v>2.4175017723972103</v>
      </c>
      <c r="M204" s="25">
        <f t="shared" si="30"/>
        <v>0.91815220190366809</v>
      </c>
      <c r="N204" s="25">
        <f t="shared" si="25"/>
        <v>0.91815220190366809</v>
      </c>
      <c r="O204" s="25">
        <f t="shared" si="26"/>
        <v>-8.5392104823812542E-2</v>
      </c>
      <c r="P204" s="25">
        <f t="shared" si="27"/>
        <v>1</v>
      </c>
      <c r="Q204" s="25">
        <f t="shared" si="31"/>
        <v>417.36864560942809</v>
      </c>
      <c r="R204" s="25">
        <f t="shared" si="28"/>
        <v>8</v>
      </c>
      <c r="S204" s="26">
        <f t="shared" si="29"/>
        <v>16</v>
      </c>
    </row>
    <row r="205" spans="2:19" x14ac:dyDescent="0.3">
      <c r="B205" s="24">
        <v>70065</v>
      </c>
      <c r="C205" s="25">
        <v>42</v>
      </c>
      <c r="D205" s="25">
        <v>3</v>
      </c>
      <c r="E205" s="25">
        <v>18</v>
      </c>
      <c r="F205" s="25">
        <v>15</v>
      </c>
      <c r="G205" s="25">
        <v>63</v>
      </c>
      <c r="H205" s="25">
        <v>11.3</v>
      </c>
      <c r="I205" s="25">
        <v>2.54</v>
      </c>
      <c r="J205" s="25">
        <v>4.58</v>
      </c>
      <c r="K205" s="26">
        <v>0</v>
      </c>
      <c r="L205" s="25">
        <f t="shared" si="24"/>
        <v>-3.5718012255106912</v>
      </c>
      <c r="M205" s="25">
        <f t="shared" si="30"/>
        <v>2.7336876338298476E-2</v>
      </c>
      <c r="N205" s="25">
        <f t="shared" si="25"/>
        <v>0.97266312366170149</v>
      </c>
      <c r="O205" s="25">
        <f t="shared" si="26"/>
        <v>-2.7717481142654252E-2</v>
      </c>
      <c r="P205" s="25">
        <f t="shared" si="27"/>
        <v>0</v>
      </c>
      <c r="Q205" s="25">
        <f t="shared" si="31"/>
        <v>590.18339538076293</v>
      </c>
      <c r="R205" s="25">
        <f t="shared" si="28"/>
        <v>4</v>
      </c>
      <c r="S205" s="26">
        <f t="shared" si="29"/>
        <v>8</v>
      </c>
    </row>
    <row r="206" spans="2:19" x14ac:dyDescent="0.3">
      <c r="B206" s="24">
        <v>70093</v>
      </c>
      <c r="C206" s="25">
        <v>32</v>
      </c>
      <c r="D206" s="25">
        <v>3</v>
      </c>
      <c r="E206" s="25">
        <v>10</v>
      </c>
      <c r="F206" s="25">
        <v>5</v>
      </c>
      <c r="G206" s="25">
        <v>38</v>
      </c>
      <c r="H206" s="25">
        <v>11.5</v>
      </c>
      <c r="I206" s="25">
        <v>1.05</v>
      </c>
      <c r="J206" s="25">
        <v>3.32</v>
      </c>
      <c r="K206" s="26">
        <v>0</v>
      </c>
      <c r="L206" s="25">
        <f t="shared" si="24"/>
        <v>-1.9432201313767454</v>
      </c>
      <c r="M206" s="25">
        <f t="shared" si="30"/>
        <v>0.12529451760257856</v>
      </c>
      <c r="N206" s="25">
        <f t="shared" si="25"/>
        <v>0.87470548239742141</v>
      </c>
      <c r="O206" s="25">
        <f t="shared" si="26"/>
        <v>-0.13386804082997555</v>
      </c>
      <c r="P206" s="25">
        <f t="shared" si="27"/>
        <v>0</v>
      </c>
      <c r="Q206" s="25">
        <f t="shared" si="31"/>
        <v>543.19247934873147</v>
      </c>
      <c r="R206" s="25">
        <f t="shared" si="28"/>
        <v>6</v>
      </c>
      <c r="S206" s="26">
        <f t="shared" si="29"/>
        <v>11</v>
      </c>
    </row>
    <row r="207" spans="2:19" x14ac:dyDescent="0.3">
      <c r="B207" s="24">
        <v>70178</v>
      </c>
      <c r="C207" s="25">
        <v>33</v>
      </c>
      <c r="D207" s="25">
        <v>4</v>
      </c>
      <c r="E207" s="25">
        <v>5</v>
      </c>
      <c r="F207" s="25">
        <v>4</v>
      </c>
      <c r="G207" s="25">
        <v>105</v>
      </c>
      <c r="H207" s="25">
        <v>13.4</v>
      </c>
      <c r="I207" s="25">
        <v>7.05</v>
      </c>
      <c r="J207" s="25">
        <v>7.02</v>
      </c>
      <c r="K207" s="26">
        <v>1</v>
      </c>
      <c r="L207" s="25">
        <f t="shared" si="24"/>
        <v>2.2850490689205265</v>
      </c>
      <c r="M207" s="25">
        <f t="shared" si="30"/>
        <v>0.90763121672692071</v>
      </c>
      <c r="N207" s="25">
        <f t="shared" si="25"/>
        <v>0.90763121672692071</v>
      </c>
      <c r="O207" s="25">
        <f t="shared" si="26"/>
        <v>-9.691713186084179E-2</v>
      </c>
      <c r="P207" s="25">
        <f t="shared" si="27"/>
        <v>1</v>
      </c>
      <c r="Q207" s="25">
        <f t="shared" si="31"/>
        <v>421.19042267027402</v>
      </c>
      <c r="R207" s="25">
        <f t="shared" si="28"/>
        <v>8</v>
      </c>
      <c r="S207" s="26">
        <f t="shared" si="29"/>
        <v>16</v>
      </c>
    </row>
    <row r="208" spans="2:19" x14ac:dyDescent="0.3">
      <c r="B208" s="24">
        <v>70186</v>
      </c>
      <c r="C208" s="25">
        <v>73</v>
      </c>
      <c r="D208" s="25">
        <v>1</v>
      </c>
      <c r="E208" s="25">
        <v>50</v>
      </c>
      <c r="F208" s="25">
        <v>34</v>
      </c>
      <c r="G208" s="25">
        <v>289</v>
      </c>
      <c r="H208" s="25">
        <v>8.4</v>
      </c>
      <c r="I208" s="25">
        <v>7.84</v>
      </c>
      <c r="J208" s="25">
        <v>16.43</v>
      </c>
      <c r="K208" s="26">
        <v>0</v>
      </c>
      <c r="L208" s="25">
        <f t="shared" si="24"/>
        <v>-9.4235650376149209</v>
      </c>
      <c r="M208" s="25">
        <f t="shared" si="30"/>
        <v>8.0790931567586503E-5</v>
      </c>
      <c r="N208" s="25">
        <f t="shared" si="25"/>
        <v>0.99991920906843246</v>
      </c>
      <c r="O208" s="25">
        <f t="shared" si="26"/>
        <v>-8.0794195330643844E-5</v>
      </c>
      <c r="P208" s="25">
        <f t="shared" si="27"/>
        <v>0</v>
      </c>
      <c r="Q208" s="25">
        <f t="shared" si="31"/>
        <v>759.02960323883713</v>
      </c>
      <c r="R208" s="25">
        <f t="shared" si="28"/>
        <v>1</v>
      </c>
      <c r="S208" s="26">
        <f t="shared" si="29"/>
        <v>1</v>
      </c>
    </row>
    <row r="209" spans="2:19" x14ac:dyDescent="0.3">
      <c r="B209" s="24">
        <v>70221</v>
      </c>
      <c r="C209" s="25">
        <v>61</v>
      </c>
      <c r="D209" s="25">
        <v>4</v>
      </c>
      <c r="E209" s="25">
        <v>23</v>
      </c>
      <c r="F209" s="25">
        <v>20</v>
      </c>
      <c r="G209" s="25">
        <v>81</v>
      </c>
      <c r="H209" s="25">
        <v>8.9</v>
      </c>
      <c r="I209" s="25">
        <v>1.7</v>
      </c>
      <c r="J209" s="25">
        <v>5.51</v>
      </c>
      <c r="K209" s="26">
        <v>0</v>
      </c>
      <c r="L209" s="25">
        <f t="shared" si="24"/>
        <v>-5.9393840886514626</v>
      </c>
      <c r="M209" s="25">
        <f t="shared" si="30"/>
        <v>2.6267333477159854E-3</v>
      </c>
      <c r="N209" s="25">
        <f t="shared" si="25"/>
        <v>0.99737326665228399</v>
      </c>
      <c r="O209" s="25">
        <f t="shared" si="26"/>
        <v>-2.6301892649312555E-3</v>
      </c>
      <c r="P209" s="25">
        <f t="shared" si="27"/>
        <v>0</v>
      </c>
      <c r="Q209" s="25">
        <f t="shared" si="31"/>
        <v>658.49739455554038</v>
      </c>
      <c r="R209" s="25">
        <f t="shared" si="28"/>
        <v>2</v>
      </c>
      <c r="S209" s="26">
        <f t="shared" si="29"/>
        <v>2</v>
      </c>
    </row>
    <row r="210" spans="2:19" x14ac:dyDescent="0.3">
      <c r="B210" s="24">
        <v>70248</v>
      </c>
      <c r="C210" s="25">
        <v>38</v>
      </c>
      <c r="D210" s="25">
        <v>5</v>
      </c>
      <c r="E210" s="25">
        <v>2</v>
      </c>
      <c r="F210" s="25">
        <v>8</v>
      </c>
      <c r="G210" s="25">
        <v>229</v>
      </c>
      <c r="H210" s="25">
        <v>6.7</v>
      </c>
      <c r="I210" s="25">
        <v>3.94</v>
      </c>
      <c r="J210" s="25">
        <v>11.4</v>
      </c>
      <c r="K210" s="26">
        <v>0</v>
      </c>
      <c r="L210" s="25">
        <f t="shared" si="24"/>
        <v>0.66878540844084267</v>
      </c>
      <c r="M210" s="25">
        <f t="shared" si="30"/>
        <v>0.66123113850702531</v>
      </c>
      <c r="N210" s="25">
        <f t="shared" si="25"/>
        <v>0.33876886149297469</v>
      </c>
      <c r="O210" s="25">
        <f t="shared" si="26"/>
        <v>-1.0824372286542243</v>
      </c>
      <c r="P210" s="25">
        <f t="shared" si="27"/>
        <v>1</v>
      </c>
      <c r="Q210" s="25">
        <f t="shared" si="31"/>
        <v>467.82593270338879</v>
      </c>
      <c r="R210" s="25">
        <f t="shared" si="28"/>
        <v>7</v>
      </c>
      <c r="S210" s="26">
        <f t="shared" si="29"/>
        <v>15</v>
      </c>
    </row>
    <row r="211" spans="2:19" x14ac:dyDescent="0.3">
      <c r="B211" s="24">
        <v>70269</v>
      </c>
      <c r="C211" s="25">
        <v>46</v>
      </c>
      <c r="D211" s="25">
        <v>3</v>
      </c>
      <c r="E211" s="25">
        <v>13</v>
      </c>
      <c r="F211" s="25">
        <v>11</v>
      </c>
      <c r="G211" s="25">
        <v>45</v>
      </c>
      <c r="H211" s="25">
        <v>22.2</v>
      </c>
      <c r="I211" s="25">
        <v>3.33</v>
      </c>
      <c r="J211" s="25">
        <v>6.66</v>
      </c>
      <c r="K211" s="26">
        <v>1</v>
      </c>
      <c r="L211" s="25">
        <f t="shared" si="24"/>
        <v>-0.88820094911766179</v>
      </c>
      <c r="M211" s="25">
        <f t="shared" si="30"/>
        <v>0.29148122785537212</v>
      </c>
      <c r="N211" s="25">
        <f t="shared" si="25"/>
        <v>0.29148122785537212</v>
      </c>
      <c r="O211" s="25">
        <f t="shared" si="26"/>
        <v>-1.2327796737030898</v>
      </c>
      <c r="P211" s="25">
        <f t="shared" si="27"/>
        <v>0</v>
      </c>
      <c r="Q211" s="25">
        <f t="shared" si="31"/>
        <v>512.75106136574607</v>
      </c>
      <c r="R211" s="25">
        <f t="shared" si="28"/>
        <v>7</v>
      </c>
      <c r="S211" s="26">
        <f t="shared" si="29"/>
        <v>13</v>
      </c>
    </row>
    <row r="212" spans="2:19" x14ac:dyDescent="0.3">
      <c r="B212" s="24">
        <v>70325</v>
      </c>
      <c r="C212" s="25">
        <v>20</v>
      </c>
      <c r="D212" s="25">
        <v>3</v>
      </c>
      <c r="E212" s="25">
        <v>0</v>
      </c>
      <c r="F212" s="25">
        <v>0</v>
      </c>
      <c r="G212" s="25">
        <v>20</v>
      </c>
      <c r="H212" s="25">
        <v>7.2</v>
      </c>
      <c r="I212" s="25">
        <v>0.34</v>
      </c>
      <c r="J212" s="25">
        <v>1.1000000000000001</v>
      </c>
      <c r="K212" s="26">
        <v>1</v>
      </c>
      <c r="L212" s="25">
        <f t="shared" si="24"/>
        <v>-8.3234853467877068E-2</v>
      </c>
      <c r="M212" s="25">
        <f t="shared" si="30"/>
        <v>0.47920329195042172</v>
      </c>
      <c r="N212" s="25">
        <f t="shared" si="25"/>
        <v>0.47920329195042172</v>
      </c>
      <c r="O212" s="25">
        <f t="shared" si="26"/>
        <v>-0.73563036252498248</v>
      </c>
      <c r="P212" s="25">
        <f t="shared" si="27"/>
        <v>1</v>
      </c>
      <c r="Q212" s="25">
        <f t="shared" si="31"/>
        <v>489.52465013847677</v>
      </c>
      <c r="R212" s="25">
        <f t="shared" si="28"/>
        <v>7</v>
      </c>
      <c r="S212" s="26">
        <f t="shared" si="29"/>
        <v>15</v>
      </c>
    </row>
    <row r="213" spans="2:19" x14ac:dyDescent="0.3">
      <c r="B213" s="24">
        <v>70403</v>
      </c>
      <c r="C213" s="25">
        <v>19</v>
      </c>
      <c r="D213" s="25">
        <v>2</v>
      </c>
      <c r="E213" s="25">
        <v>0</v>
      </c>
      <c r="F213" s="25">
        <v>0</v>
      </c>
      <c r="G213" s="25">
        <v>24</v>
      </c>
      <c r="H213" s="25">
        <v>15.6</v>
      </c>
      <c r="I213" s="25">
        <v>0.75</v>
      </c>
      <c r="J213" s="25">
        <v>3</v>
      </c>
      <c r="K213" s="26">
        <v>1</v>
      </c>
      <c r="L213" s="25">
        <f t="shared" si="24"/>
        <v>1.0715111651582931</v>
      </c>
      <c r="M213" s="25">
        <f t="shared" si="30"/>
        <v>0.74488419141571205</v>
      </c>
      <c r="N213" s="25">
        <f t="shared" si="25"/>
        <v>0.74488419141571205</v>
      </c>
      <c r="O213" s="25">
        <f t="shared" si="26"/>
        <v>-0.29452652044997835</v>
      </c>
      <c r="P213" s="25">
        <f t="shared" si="27"/>
        <v>1</v>
      </c>
      <c r="Q213" s="25">
        <f t="shared" si="31"/>
        <v>456.2057239916391</v>
      </c>
      <c r="R213" s="25">
        <f t="shared" si="28"/>
        <v>8</v>
      </c>
      <c r="S213" s="26">
        <f t="shared" si="29"/>
        <v>16</v>
      </c>
    </row>
    <row r="214" spans="2:19" x14ac:dyDescent="0.3">
      <c r="B214" s="24">
        <v>70412</v>
      </c>
      <c r="C214" s="25">
        <v>28</v>
      </c>
      <c r="D214" s="25">
        <v>4</v>
      </c>
      <c r="E214" s="25">
        <v>0</v>
      </c>
      <c r="F214" s="25">
        <v>4</v>
      </c>
      <c r="G214" s="25">
        <v>47</v>
      </c>
      <c r="H214" s="25">
        <v>18.600000000000001</v>
      </c>
      <c r="I214" s="25">
        <v>6.71</v>
      </c>
      <c r="J214" s="25">
        <v>2.04</v>
      </c>
      <c r="K214" s="26">
        <v>1</v>
      </c>
      <c r="L214" s="25">
        <f t="shared" si="24"/>
        <v>3.7432089309995558</v>
      </c>
      <c r="M214" s="25">
        <f t="shared" si="30"/>
        <v>0.97686967970106653</v>
      </c>
      <c r="N214" s="25">
        <f t="shared" si="25"/>
        <v>0.97686967970106653</v>
      </c>
      <c r="O214" s="25">
        <f t="shared" si="26"/>
        <v>-2.3402024064536849E-2</v>
      </c>
      <c r="P214" s="25">
        <f t="shared" si="27"/>
        <v>1</v>
      </c>
      <c r="Q214" s="25">
        <f t="shared" si="31"/>
        <v>379.11682382583194</v>
      </c>
      <c r="R214" s="25">
        <f t="shared" si="28"/>
        <v>8</v>
      </c>
      <c r="S214" s="26">
        <f t="shared" si="29"/>
        <v>17</v>
      </c>
    </row>
    <row r="215" spans="2:19" x14ac:dyDescent="0.3">
      <c r="B215" s="24">
        <v>70430</v>
      </c>
      <c r="C215" s="25">
        <v>24</v>
      </c>
      <c r="D215" s="25">
        <v>4</v>
      </c>
      <c r="E215" s="25">
        <v>0</v>
      </c>
      <c r="F215" s="25">
        <v>2</v>
      </c>
      <c r="G215" s="25">
        <v>21</v>
      </c>
      <c r="H215" s="25">
        <v>6.6</v>
      </c>
      <c r="I215" s="25">
        <v>0.57999999999999996</v>
      </c>
      <c r="J215" s="25">
        <v>0.81</v>
      </c>
      <c r="K215" s="26">
        <v>1</v>
      </c>
      <c r="L215" s="25">
        <f t="shared" si="24"/>
        <v>-0.24135849856380012</v>
      </c>
      <c r="M215" s="25">
        <f t="shared" si="30"/>
        <v>0.4399515973242149</v>
      </c>
      <c r="N215" s="25">
        <f t="shared" si="25"/>
        <v>0.4399515973242149</v>
      </c>
      <c r="O215" s="25">
        <f t="shared" si="26"/>
        <v>-0.82109056420227267</v>
      </c>
      <c r="P215" s="25">
        <f t="shared" si="27"/>
        <v>1</v>
      </c>
      <c r="Q215" s="25">
        <f t="shared" si="31"/>
        <v>494.08713398171</v>
      </c>
      <c r="R215" s="25">
        <f t="shared" si="28"/>
        <v>7</v>
      </c>
      <c r="S215" s="26">
        <f t="shared" si="29"/>
        <v>14</v>
      </c>
    </row>
    <row r="216" spans="2:19" x14ac:dyDescent="0.3">
      <c r="B216" s="24">
        <v>70522</v>
      </c>
      <c r="C216" s="25">
        <v>53</v>
      </c>
      <c r="D216" s="25">
        <v>1</v>
      </c>
      <c r="E216" s="25">
        <v>1</v>
      </c>
      <c r="F216" s="25">
        <v>12</v>
      </c>
      <c r="G216" s="25">
        <v>30</v>
      </c>
      <c r="H216" s="25">
        <v>8.8000000000000007</v>
      </c>
      <c r="I216" s="25">
        <v>0.41</v>
      </c>
      <c r="J216" s="25">
        <v>2.23</v>
      </c>
      <c r="K216" s="26">
        <v>0</v>
      </c>
      <c r="L216" s="25">
        <f t="shared" si="24"/>
        <v>-1.0831694575150936</v>
      </c>
      <c r="M216" s="25">
        <f t="shared" si="30"/>
        <v>0.25290669497538104</v>
      </c>
      <c r="N216" s="25">
        <f t="shared" si="25"/>
        <v>0.7470933050246189</v>
      </c>
      <c r="O216" s="25">
        <f t="shared" si="26"/>
        <v>-0.29156519532467418</v>
      </c>
      <c r="P216" s="25">
        <f t="shared" si="27"/>
        <v>0</v>
      </c>
      <c r="Q216" s="25">
        <f t="shared" si="31"/>
        <v>518.37666321019469</v>
      </c>
      <c r="R216" s="25">
        <f t="shared" si="28"/>
        <v>6</v>
      </c>
      <c r="S216" s="26">
        <f t="shared" si="29"/>
        <v>13</v>
      </c>
    </row>
    <row r="217" spans="2:19" x14ac:dyDescent="0.3">
      <c r="B217" s="24">
        <v>70525</v>
      </c>
      <c r="C217" s="25">
        <v>35</v>
      </c>
      <c r="D217" s="25">
        <v>2</v>
      </c>
      <c r="E217" s="25">
        <v>14</v>
      </c>
      <c r="F217" s="25">
        <v>7</v>
      </c>
      <c r="G217" s="25">
        <v>62</v>
      </c>
      <c r="H217" s="25">
        <v>8.1999999999999993</v>
      </c>
      <c r="I217" s="25">
        <v>0.6</v>
      </c>
      <c r="J217" s="25">
        <v>4.4800000000000004</v>
      </c>
      <c r="K217" s="26">
        <v>0</v>
      </c>
      <c r="L217" s="25">
        <f t="shared" si="24"/>
        <v>-3.4321949696433602</v>
      </c>
      <c r="M217" s="25">
        <f t="shared" si="30"/>
        <v>3.1304302715191142E-2</v>
      </c>
      <c r="N217" s="25">
        <f t="shared" si="25"/>
        <v>0.96869569728480887</v>
      </c>
      <c r="O217" s="25">
        <f t="shared" si="26"/>
        <v>-3.1804754301368941E-2</v>
      </c>
      <c r="P217" s="25">
        <f t="shared" si="27"/>
        <v>0</v>
      </c>
      <c r="Q217" s="25">
        <f t="shared" si="31"/>
        <v>586.1552104345925</v>
      </c>
      <c r="R217" s="25">
        <f t="shared" si="28"/>
        <v>5</v>
      </c>
      <c r="S217" s="26">
        <f t="shared" si="29"/>
        <v>8</v>
      </c>
    </row>
    <row r="218" spans="2:19" x14ac:dyDescent="0.3">
      <c r="B218" s="24">
        <v>70548</v>
      </c>
      <c r="C218" s="25">
        <v>43</v>
      </c>
      <c r="D218" s="25">
        <v>2</v>
      </c>
      <c r="E218" s="25">
        <v>7</v>
      </c>
      <c r="F218" s="25">
        <v>11</v>
      </c>
      <c r="G218" s="25">
        <v>53</v>
      </c>
      <c r="H218" s="25">
        <v>3.7</v>
      </c>
      <c r="I218" s="25">
        <v>0.85</v>
      </c>
      <c r="J218" s="25">
        <v>1.1100000000000001</v>
      </c>
      <c r="K218" s="26">
        <v>0</v>
      </c>
      <c r="L218" s="25">
        <f t="shared" si="24"/>
        <v>-2.568198444279286</v>
      </c>
      <c r="M218" s="25">
        <f t="shared" si="30"/>
        <v>7.1213370621366873E-2</v>
      </c>
      <c r="N218" s="25">
        <f t="shared" si="25"/>
        <v>0.9287866293786331</v>
      </c>
      <c r="O218" s="25">
        <f t="shared" si="26"/>
        <v>-7.387624428924644E-2</v>
      </c>
      <c r="P218" s="25">
        <f t="shared" si="27"/>
        <v>0</v>
      </c>
      <c r="Q218" s="25">
        <f t="shared" si="31"/>
        <v>561.22554109139014</v>
      </c>
      <c r="R218" s="25">
        <f t="shared" si="28"/>
        <v>5</v>
      </c>
      <c r="S218" s="26">
        <f t="shared" si="29"/>
        <v>10</v>
      </c>
    </row>
    <row r="219" spans="2:19" x14ac:dyDescent="0.3">
      <c r="B219" s="24">
        <v>70553</v>
      </c>
      <c r="C219" s="25">
        <v>32</v>
      </c>
      <c r="D219" s="25">
        <v>1</v>
      </c>
      <c r="E219" s="25">
        <v>9</v>
      </c>
      <c r="F219" s="25">
        <v>6</v>
      </c>
      <c r="G219" s="25">
        <v>33</v>
      </c>
      <c r="H219" s="25">
        <v>8.1</v>
      </c>
      <c r="I219" s="25">
        <v>1.1499999999999999</v>
      </c>
      <c r="J219" s="25">
        <v>1.52</v>
      </c>
      <c r="K219" s="26">
        <v>0</v>
      </c>
      <c r="L219" s="25">
        <f t="shared" si="24"/>
        <v>-1.9804257846599727</v>
      </c>
      <c r="M219" s="25">
        <f t="shared" si="30"/>
        <v>0.1212734563189658</v>
      </c>
      <c r="N219" s="25">
        <f t="shared" si="25"/>
        <v>0.8787265436810342</v>
      </c>
      <c r="O219" s="25">
        <f t="shared" si="26"/>
        <v>-0.12928152903738083</v>
      </c>
      <c r="P219" s="25">
        <f t="shared" si="27"/>
        <v>0</v>
      </c>
      <c r="Q219" s="25">
        <f t="shared" si="31"/>
        <v>544.2660075480004</v>
      </c>
      <c r="R219" s="25">
        <f t="shared" si="28"/>
        <v>6</v>
      </c>
      <c r="S219" s="26">
        <f t="shared" si="29"/>
        <v>11</v>
      </c>
    </row>
    <row r="220" spans="2:19" x14ac:dyDescent="0.3">
      <c r="B220" s="24">
        <v>70558</v>
      </c>
      <c r="C220" s="25">
        <v>27</v>
      </c>
      <c r="D220" s="25">
        <v>1</v>
      </c>
      <c r="E220" s="25">
        <v>9</v>
      </c>
      <c r="F220" s="25">
        <v>1</v>
      </c>
      <c r="G220" s="25">
        <v>28</v>
      </c>
      <c r="H220" s="25">
        <v>5.7</v>
      </c>
      <c r="I220" s="25">
        <v>0.11</v>
      </c>
      <c r="J220" s="25">
        <v>1.49</v>
      </c>
      <c r="K220" s="26">
        <v>0</v>
      </c>
      <c r="L220" s="25">
        <f t="shared" si="24"/>
        <v>-2.4431740776123365</v>
      </c>
      <c r="M220" s="25">
        <f t="shared" si="30"/>
        <v>7.9939150830803898E-2</v>
      </c>
      <c r="N220" s="25">
        <f t="shared" si="25"/>
        <v>0.92006084916919606</v>
      </c>
      <c r="O220" s="25">
        <f t="shared" si="26"/>
        <v>-8.3315470724930896E-2</v>
      </c>
      <c r="P220" s="25">
        <f t="shared" si="27"/>
        <v>0</v>
      </c>
      <c r="Q220" s="25">
        <f t="shared" si="31"/>
        <v>557.61810051801854</v>
      </c>
      <c r="R220" s="25">
        <f t="shared" si="28"/>
        <v>5</v>
      </c>
      <c r="S220" s="26">
        <f t="shared" si="29"/>
        <v>10</v>
      </c>
    </row>
    <row r="221" spans="2:19" x14ac:dyDescent="0.3">
      <c r="B221" s="24">
        <v>70567</v>
      </c>
      <c r="C221" s="25">
        <v>18</v>
      </c>
      <c r="D221" s="25">
        <v>2</v>
      </c>
      <c r="E221" s="25">
        <v>0</v>
      </c>
      <c r="F221" s="25">
        <v>0</v>
      </c>
      <c r="G221" s="25">
        <v>22</v>
      </c>
      <c r="H221" s="25">
        <v>1.5</v>
      </c>
      <c r="I221" s="25">
        <v>0.13</v>
      </c>
      <c r="J221" s="25">
        <v>0.2</v>
      </c>
      <c r="K221" s="26">
        <v>0</v>
      </c>
      <c r="L221" s="25">
        <f t="shared" si="24"/>
        <v>-0.6761427526496111</v>
      </c>
      <c r="M221" s="25">
        <f t="shared" si="30"/>
        <v>0.33712274324038749</v>
      </c>
      <c r="N221" s="25">
        <f t="shared" si="25"/>
        <v>0.66287725675961251</v>
      </c>
      <c r="O221" s="25">
        <f t="shared" si="26"/>
        <v>-0.41116543902811142</v>
      </c>
      <c r="P221" s="25">
        <f t="shared" si="27"/>
        <v>0</v>
      </c>
      <c r="Q221" s="25">
        <f t="shared" si="31"/>
        <v>506.63235537067658</v>
      </c>
      <c r="R221" s="25">
        <f t="shared" si="28"/>
        <v>7</v>
      </c>
      <c r="S221" s="26">
        <f t="shared" si="29"/>
        <v>14</v>
      </c>
    </row>
    <row r="222" spans="2:19" x14ac:dyDescent="0.3">
      <c r="B222" s="24">
        <v>70673</v>
      </c>
      <c r="C222" s="25">
        <v>19</v>
      </c>
      <c r="D222" s="25">
        <v>2</v>
      </c>
      <c r="E222" s="25">
        <v>0</v>
      </c>
      <c r="F222" s="25">
        <v>0</v>
      </c>
      <c r="G222" s="25">
        <v>31</v>
      </c>
      <c r="H222" s="25">
        <v>28.7</v>
      </c>
      <c r="I222" s="25">
        <v>5.36</v>
      </c>
      <c r="J222" s="25">
        <v>3.53</v>
      </c>
      <c r="K222" s="26">
        <v>1</v>
      </c>
      <c r="L222" s="25">
        <f t="shared" si="24"/>
        <v>4.5753511774251141</v>
      </c>
      <c r="M222" s="25">
        <f t="shared" si="30"/>
        <v>0.98980238232268991</v>
      </c>
      <c r="N222" s="25">
        <f t="shared" si="25"/>
        <v>0.98980238232268991</v>
      </c>
      <c r="O222" s="25">
        <f t="shared" si="26"/>
        <v>-1.0249969594455486E-2</v>
      </c>
      <c r="P222" s="25">
        <f t="shared" si="27"/>
        <v>1</v>
      </c>
      <c r="Q222" s="25">
        <f t="shared" si="31"/>
        <v>355.10627466169342</v>
      </c>
      <c r="R222" s="25">
        <f t="shared" si="28"/>
        <v>8</v>
      </c>
      <c r="S222" s="26">
        <f t="shared" si="29"/>
        <v>17</v>
      </c>
    </row>
    <row r="223" spans="2:19" x14ac:dyDescent="0.3">
      <c r="B223" s="24">
        <v>70687</v>
      </c>
      <c r="C223" s="25">
        <v>18</v>
      </c>
      <c r="D223" s="25">
        <v>2</v>
      </c>
      <c r="E223" s="25">
        <v>0</v>
      </c>
      <c r="F223" s="25">
        <v>0</v>
      </c>
      <c r="G223" s="25">
        <v>36</v>
      </c>
      <c r="H223" s="25">
        <v>6.2</v>
      </c>
      <c r="I223" s="25">
        <v>1.05</v>
      </c>
      <c r="J223" s="25">
        <v>1.18</v>
      </c>
      <c r="K223" s="26">
        <v>1</v>
      </c>
      <c r="L223" s="25">
        <f t="shared" si="24"/>
        <v>0.25565393328119829</v>
      </c>
      <c r="M223" s="25">
        <f t="shared" si="30"/>
        <v>0.56356763382061092</v>
      </c>
      <c r="N223" s="25">
        <f t="shared" si="25"/>
        <v>0.56356763382061092</v>
      </c>
      <c r="O223" s="25">
        <f t="shared" si="26"/>
        <v>-0.57346792817830072</v>
      </c>
      <c r="P223" s="25">
        <f t="shared" si="27"/>
        <v>1</v>
      </c>
      <c r="Q223" s="25">
        <f t="shared" si="31"/>
        <v>479.74638697449763</v>
      </c>
      <c r="R223" s="25">
        <f t="shared" si="28"/>
        <v>7</v>
      </c>
      <c r="S223" s="26">
        <f t="shared" si="29"/>
        <v>15</v>
      </c>
    </row>
    <row r="224" spans="2:19" x14ac:dyDescent="0.3">
      <c r="B224" s="24">
        <v>70710</v>
      </c>
      <c r="C224" s="25">
        <v>54</v>
      </c>
      <c r="D224" s="25">
        <v>2</v>
      </c>
      <c r="E224" s="25">
        <v>20</v>
      </c>
      <c r="F224" s="25">
        <v>15</v>
      </c>
      <c r="G224" s="25">
        <v>82</v>
      </c>
      <c r="H224" s="25">
        <v>20</v>
      </c>
      <c r="I224" s="25">
        <v>4.3499999999999996</v>
      </c>
      <c r="J224" s="25">
        <v>12.05</v>
      </c>
      <c r="K224" s="26">
        <v>0</v>
      </c>
      <c r="L224" s="25">
        <f t="shared" si="24"/>
        <v>-2.3138574303246084</v>
      </c>
      <c r="M224" s="25">
        <f t="shared" si="30"/>
        <v>8.9981778818619212E-2</v>
      </c>
      <c r="N224" s="25">
        <f t="shared" si="25"/>
        <v>0.91001822118138076</v>
      </c>
      <c r="O224" s="25">
        <f t="shared" si="26"/>
        <v>-9.4290656395461858E-2</v>
      </c>
      <c r="P224" s="25">
        <f t="shared" si="27"/>
        <v>0</v>
      </c>
      <c r="Q224" s="25">
        <f t="shared" si="31"/>
        <v>553.88681090884324</v>
      </c>
      <c r="R224" s="25">
        <f t="shared" si="28"/>
        <v>6</v>
      </c>
      <c r="S224" s="26">
        <f t="shared" si="29"/>
        <v>10</v>
      </c>
    </row>
    <row r="225" spans="2:19" x14ac:dyDescent="0.3">
      <c r="B225" s="24">
        <v>70770</v>
      </c>
      <c r="C225" s="25">
        <v>43</v>
      </c>
      <c r="D225" s="25">
        <v>3</v>
      </c>
      <c r="E225" s="25">
        <v>0</v>
      </c>
      <c r="F225" s="25">
        <v>4</v>
      </c>
      <c r="G225" s="25">
        <v>31</v>
      </c>
      <c r="H225" s="25">
        <v>2.4</v>
      </c>
      <c r="I225" s="25">
        <v>0.28000000000000003</v>
      </c>
      <c r="J225" s="25">
        <v>0.46</v>
      </c>
      <c r="K225" s="26">
        <v>0</v>
      </c>
      <c r="L225" s="25">
        <f t="shared" si="24"/>
        <v>-1.2306112854629321</v>
      </c>
      <c r="M225" s="25">
        <f t="shared" si="30"/>
        <v>0.2260744543858885</v>
      </c>
      <c r="N225" s="25">
        <f t="shared" si="25"/>
        <v>0.77392554561411153</v>
      </c>
      <c r="O225" s="25">
        <f t="shared" si="26"/>
        <v>-0.25627960431639157</v>
      </c>
      <c r="P225" s="25">
        <f t="shared" si="27"/>
        <v>0</v>
      </c>
      <c r="Q225" s="25">
        <f t="shared" si="31"/>
        <v>522.63093496961892</v>
      </c>
      <c r="R225" s="25">
        <f t="shared" si="28"/>
        <v>6</v>
      </c>
      <c r="S225" s="26">
        <f t="shared" si="29"/>
        <v>13</v>
      </c>
    </row>
    <row r="226" spans="2:19" x14ac:dyDescent="0.3">
      <c r="B226" s="24">
        <v>70849</v>
      </c>
      <c r="C226" s="25">
        <v>50</v>
      </c>
      <c r="D226" s="25">
        <v>2</v>
      </c>
      <c r="E226" s="25">
        <v>15</v>
      </c>
      <c r="F226" s="25">
        <v>14</v>
      </c>
      <c r="G226" s="25">
        <v>65</v>
      </c>
      <c r="H226" s="25">
        <v>12.6</v>
      </c>
      <c r="I226" s="25">
        <v>3.05</v>
      </c>
      <c r="J226" s="25">
        <v>5.14</v>
      </c>
      <c r="K226" s="26">
        <v>0</v>
      </c>
      <c r="L226" s="25">
        <f t="shared" si="24"/>
        <v>-2.5942324257070064</v>
      </c>
      <c r="M226" s="25">
        <f t="shared" si="30"/>
        <v>6.9510535299086906E-2</v>
      </c>
      <c r="N226" s="25">
        <f t="shared" si="25"/>
        <v>0.93048946470091309</v>
      </c>
      <c r="O226" s="25">
        <f t="shared" si="26"/>
        <v>-7.2044525155316494E-2</v>
      </c>
      <c r="P226" s="25">
        <f t="shared" si="27"/>
        <v>0</v>
      </c>
      <c r="Q226" s="25">
        <f t="shared" si="31"/>
        <v>561.97672298810744</v>
      </c>
      <c r="R226" s="25">
        <f t="shared" si="28"/>
        <v>5</v>
      </c>
      <c r="S226" s="26">
        <f t="shared" si="29"/>
        <v>10</v>
      </c>
    </row>
    <row r="227" spans="2:19" x14ac:dyDescent="0.3">
      <c r="B227" s="24">
        <v>70886</v>
      </c>
      <c r="C227" s="25">
        <v>26</v>
      </c>
      <c r="D227" s="25">
        <v>1</v>
      </c>
      <c r="E227" s="25">
        <v>10</v>
      </c>
      <c r="F227" s="25">
        <v>3</v>
      </c>
      <c r="G227" s="25">
        <v>31</v>
      </c>
      <c r="H227" s="25">
        <v>8.8000000000000007</v>
      </c>
      <c r="I227" s="25">
        <v>0.78</v>
      </c>
      <c r="J227" s="25">
        <v>1.95</v>
      </c>
      <c r="K227" s="26">
        <v>0</v>
      </c>
      <c r="L227" s="25">
        <f t="shared" si="24"/>
        <v>-2.0745121218075906</v>
      </c>
      <c r="M227" s="25">
        <f t="shared" si="30"/>
        <v>0.11159890149957233</v>
      </c>
      <c r="N227" s="25">
        <f t="shared" si="25"/>
        <v>0.8884010985004277</v>
      </c>
      <c r="O227" s="25">
        <f t="shared" si="26"/>
        <v>-0.11833195046957679</v>
      </c>
      <c r="P227" s="25">
        <f t="shared" si="27"/>
        <v>0</v>
      </c>
      <c r="Q227" s="25">
        <f t="shared" si="31"/>
        <v>546.98076531142408</v>
      </c>
      <c r="R227" s="25">
        <f t="shared" si="28"/>
        <v>6</v>
      </c>
      <c r="S227" s="26">
        <f t="shared" si="29"/>
        <v>11</v>
      </c>
    </row>
    <row r="228" spans="2:19" x14ac:dyDescent="0.3">
      <c r="B228" s="24">
        <v>70888</v>
      </c>
      <c r="C228" s="25">
        <v>35</v>
      </c>
      <c r="D228" s="25">
        <v>2</v>
      </c>
      <c r="E228" s="25">
        <v>4</v>
      </c>
      <c r="F228" s="25">
        <v>2</v>
      </c>
      <c r="G228" s="25">
        <v>57</v>
      </c>
      <c r="H228" s="25">
        <v>6</v>
      </c>
      <c r="I228" s="25">
        <v>1.29</v>
      </c>
      <c r="J228" s="25">
        <v>2.13</v>
      </c>
      <c r="K228" s="26">
        <v>0</v>
      </c>
      <c r="L228" s="25">
        <f t="shared" si="24"/>
        <v>-0.9593664167495104</v>
      </c>
      <c r="M228" s="25">
        <f t="shared" si="30"/>
        <v>0.27700506672905711</v>
      </c>
      <c r="N228" s="25">
        <f t="shared" si="25"/>
        <v>0.72299493327094289</v>
      </c>
      <c r="O228" s="25">
        <f t="shared" si="26"/>
        <v>-0.32435306477193504</v>
      </c>
      <c r="P228" s="25">
        <f t="shared" si="27"/>
        <v>0</v>
      </c>
      <c r="Q228" s="25">
        <f t="shared" si="31"/>
        <v>514.80446265224873</v>
      </c>
      <c r="R228" s="25">
        <f t="shared" si="28"/>
        <v>7</v>
      </c>
      <c r="S228" s="26">
        <f t="shared" si="29"/>
        <v>13</v>
      </c>
    </row>
    <row r="229" spans="2:19" x14ac:dyDescent="0.3">
      <c r="B229" s="24">
        <v>70907</v>
      </c>
      <c r="C229" s="25">
        <v>47</v>
      </c>
      <c r="D229" s="25">
        <v>2</v>
      </c>
      <c r="E229" s="25">
        <v>6</v>
      </c>
      <c r="F229" s="25">
        <v>12</v>
      </c>
      <c r="G229" s="25">
        <v>34</v>
      </c>
      <c r="H229" s="25">
        <v>4.4000000000000004</v>
      </c>
      <c r="I229" s="25">
        <v>0.53</v>
      </c>
      <c r="J229" s="25">
        <v>0.97</v>
      </c>
      <c r="K229" s="26">
        <v>0</v>
      </c>
      <c r="L229" s="25">
        <f t="shared" si="24"/>
        <v>-2.550504078166894</v>
      </c>
      <c r="M229" s="25">
        <f t="shared" si="30"/>
        <v>7.2392628239806467E-2</v>
      </c>
      <c r="N229" s="25">
        <f t="shared" si="25"/>
        <v>0.92760737176019359</v>
      </c>
      <c r="O229" s="25">
        <f t="shared" si="26"/>
        <v>-7.5146726499745409E-2</v>
      </c>
      <c r="P229" s="25">
        <f t="shared" si="27"/>
        <v>0</v>
      </c>
      <c r="Q229" s="25">
        <f t="shared" si="31"/>
        <v>560.71498962101975</v>
      </c>
      <c r="R229" s="25">
        <f t="shared" si="28"/>
        <v>5</v>
      </c>
      <c r="S229" s="26">
        <f t="shared" si="29"/>
        <v>10</v>
      </c>
    </row>
    <row r="230" spans="2:19" x14ac:dyDescent="0.3">
      <c r="B230" s="24">
        <v>70938</v>
      </c>
      <c r="C230" s="25">
        <v>31</v>
      </c>
      <c r="D230" s="25">
        <v>5</v>
      </c>
      <c r="E230" s="25">
        <v>2</v>
      </c>
      <c r="F230" s="25">
        <v>5</v>
      </c>
      <c r="G230" s="25">
        <v>19</v>
      </c>
      <c r="H230" s="25">
        <v>15.9</v>
      </c>
      <c r="I230" s="25">
        <v>0.94</v>
      </c>
      <c r="J230" s="25">
        <v>2.08</v>
      </c>
      <c r="K230" s="26">
        <v>0</v>
      </c>
      <c r="L230" s="25">
        <f t="shared" si="24"/>
        <v>0.1323413959185607</v>
      </c>
      <c r="M230" s="25">
        <f t="shared" si="30"/>
        <v>0.53303714466157281</v>
      </c>
      <c r="N230" s="25">
        <f t="shared" si="25"/>
        <v>0.46696285533842719</v>
      </c>
      <c r="O230" s="25">
        <f t="shared" si="26"/>
        <v>-0.76150556336650255</v>
      </c>
      <c r="P230" s="25">
        <f t="shared" si="27"/>
        <v>1</v>
      </c>
      <c r="Q230" s="25">
        <f t="shared" si="31"/>
        <v>483.30443459630544</v>
      </c>
      <c r="R230" s="25">
        <f t="shared" si="28"/>
        <v>7</v>
      </c>
      <c r="S230" s="26">
        <f t="shared" si="29"/>
        <v>15</v>
      </c>
    </row>
    <row r="231" spans="2:19" x14ac:dyDescent="0.3">
      <c r="B231" s="24">
        <v>71122</v>
      </c>
      <c r="C231" s="25">
        <v>40</v>
      </c>
      <c r="D231" s="25">
        <v>3</v>
      </c>
      <c r="E231" s="25">
        <v>7</v>
      </c>
      <c r="F231" s="25">
        <v>11</v>
      </c>
      <c r="G231" s="25">
        <v>53</v>
      </c>
      <c r="H231" s="25">
        <v>12.4</v>
      </c>
      <c r="I231" s="25">
        <v>1.48</v>
      </c>
      <c r="J231" s="25">
        <v>5.09</v>
      </c>
      <c r="K231" s="26">
        <v>0</v>
      </c>
      <c r="L231" s="25">
        <f t="shared" si="24"/>
        <v>-1.2915708862372257</v>
      </c>
      <c r="M231" s="25">
        <f t="shared" si="30"/>
        <v>0.21558704071367585</v>
      </c>
      <c r="N231" s="25">
        <f t="shared" si="25"/>
        <v>0.78441295928632415</v>
      </c>
      <c r="O231" s="25">
        <f t="shared" si="26"/>
        <v>-0.24281966352369727</v>
      </c>
      <c r="P231" s="25">
        <f t="shared" si="27"/>
        <v>0</v>
      </c>
      <c r="Q231" s="25">
        <f t="shared" si="31"/>
        <v>524.38985719440029</v>
      </c>
      <c r="R231" s="25">
        <f t="shared" si="28"/>
        <v>6</v>
      </c>
      <c r="S231" s="26">
        <f t="shared" si="29"/>
        <v>13</v>
      </c>
    </row>
    <row r="232" spans="2:19" x14ac:dyDescent="0.3">
      <c r="B232" s="24">
        <v>71175</v>
      </c>
      <c r="C232" s="25">
        <v>56</v>
      </c>
      <c r="D232" s="25">
        <v>4</v>
      </c>
      <c r="E232" s="25">
        <v>14</v>
      </c>
      <c r="F232" s="25">
        <v>25</v>
      </c>
      <c r="G232" s="25">
        <v>206</v>
      </c>
      <c r="H232" s="25">
        <v>27.9</v>
      </c>
      <c r="I232" s="25">
        <v>15.29</v>
      </c>
      <c r="J232" s="25">
        <v>42.19</v>
      </c>
      <c r="K232" s="26">
        <v>1</v>
      </c>
      <c r="L232" s="25">
        <f t="shared" si="24"/>
        <v>5.3226418777555873</v>
      </c>
      <c r="M232" s="25">
        <f t="shared" si="30"/>
        <v>0.99514385251817083</v>
      </c>
      <c r="N232" s="25">
        <f t="shared" si="25"/>
        <v>0.99514385251817083</v>
      </c>
      <c r="O232" s="25">
        <f t="shared" si="26"/>
        <v>-4.8679768784129574E-3</v>
      </c>
      <c r="P232" s="25">
        <f t="shared" si="27"/>
        <v>1</v>
      </c>
      <c r="Q232" s="25">
        <f t="shared" si="31"/>
        <v>333.54402352342817</v>
      </c>
      <c r="R232" s="25">
        <f t="shared" si="28"/>
        <v>8</v>
      </c>
      <c r="S232" s="26">
        <f t="shared" si="29"/>
        <v>17</v>
      </c>
    </row>
    <row r="233" spans="2:19" x14ac:dyDescent="0.3">
      <c r="B233" s="24">
        <v>71264</v>
      </c>
      <c r="C233" s="25">
        <v>34</v>
      </c>
      <c r="D233" s="25">
        <v>4</v>
      </c>
      <c r="E233" s="25">
        <v>3</v>
      </c>
      <c r="F233" s="25">
        <v>8</v>
      </c>
      <c r="G233" s="25">
        <v>72</v>
      </c>
      <c r="H233" s="25">
        <v>7.6</v>
      </c>
      <c r="I233" s="25">
        <v>0.38</v>
      </c>
      <c r="J233" s="25">
        <v>5.09</v>
      </c>
      <c r="K233" s="26">
        <v>0</v>
      </c>
      <c r="L233" s="25">
        <f t="shared" si="24"/>
        <v>-1.2077908099176933</v>
      </c>
      <c r="M233" s="25">
        <f t="shared" si="30"/>
        <v>0.23009217508196836</v>
      </c>
      <c r="N233" s="25">
        <f t="shared" si="25"/>
        <v>0.76990782491803167</v>
      </c>
      <c r="O233" s="25">
        <f t="shared" si="26"/>
        <v>-0.26148447919863005</v>
      </c>
      <c r="P233" s="25">
        <f t="shared" si="27"/>
        <v>0</v>
      </c>
      <c r="Q233" s="25">
        <f t="shared" si="31"/>
        <v>521.97247525028411</v>
      </c>
      <c r="R233" s="25">
        <f t="shared" si="28"/>
        <v>6</v>
      </c>
      <c r="S233" s="26">
        <f t="shared" si="29"/>
        <v>13</v>
      </c>
    </row>
    <row r="234" spans="2:19" x14ac:dyDescent="0.3">
      <c r="B234" s="24">
        <v>71270</v>
      </c>
      <c r="C234" s="25">
        <v>18</v>
      </c>
      <c r="D234" s="25">
        <v>2</v>
      </c>
      <c r="E234" s="25">
        <v>0</v>
      </c>
      <c r="F234" s="25">
        <v>0</v>
      </c>
      <c r="G234" s="25">
        <v>18</v>
      </c>
      <c r="H234" s="25">
        <v>12.7</v>
      </c>
      <c r="I234" s="25">
        <v>0.65</v>
      </c>
      <c r="J234" s="25">
        <v>1.64</v>
      </c>
      <c r="K234" s="26">
        <v>1</v>
      </c>
      <c r="L234" s="25">
        <f t="shared" si="24"/>
        <v>0.72130742986503482</v>
      </c>
      <c r="M234" s="25">
        <f t="shared" si="30"/>
        <v>0.67289485703935192</v>
      </c>
      <c r="N234" s="25">
        <f t="shared" si="25"/>
        <v>0.67289485703935192</v>
      </c>
      <c r="O234" s="25">
        <f t="shared" si="26"/>
        <v>-0.39616619179618978</v>
      </c>
      <c r="P234" s="25">
        <f t="shared" si="27"/>
        <v>1</v>
      </c>
      <c r="Q234" s="25">
        <f t="shared" si="31"/>
        <v>466.31046754941724</v>
      </c>
      <c r="R234" s="25">
        <f t="shared" si="28"/>
        <v>8</v>
      </c>
      <c r="S234" s="26">
        <f t="shared" si="29"/>
        <v>15</v>
      </c>
    </row>
    <row r="235" spans="2:19" x14ac:dyDescent="0.3">
      <c r="B235" s="24">
        <v>71417</v>
      </c>
      <c r="C235" s="25">
        <v>46</v>
      </c>
      <c r="D235" s="25">
        <v>2</v>
      </c>
      <c r="E235" s="25">
        <v>24</v>
      </c>
      <c r="F235" s="25">
        <v>10</v>
      </c>
      <c r="G235" s="25">
        <v>78</v>
      </c>
      <c r="H235" s="25">
        <v>6.9</v>
      </c>
      <c r="I235" s="25">
        <v>2.74</v>
      </c>
      <c r="J235" s="25">
        <v>2.64</v>
      </c>
      <c r="K235" s="26">
        <v>0</v>
      </c>
      <c r="L235" s="25">
        <f t="shared" si="24"/>
        <v>-5.1884103642299495</v>
      </c>
      <c r="M235" s="25">
        <f t="shared" si="30"/>
        <v>5.5498980531901825E-3</v>
      </c>
      <c r="N235" s="25">
        <f t="shared" si="25"/>
        <v>0.99445010194680983</v>
      </c>
      <c r="O235" s="25">
        <f t="shared" si="26"/>
        <v>-5.5653559571144469E-3</v>
      </c>
      <c r="P235" s="25">
        <f t="shared" si="27"/>
        <v>0</v>
      </c>
      <c r="Q235" s="25">
        <f t="shared" si="31"/>
        <v>636.82887380845455</v>
      </c>
      <c r="R235" s="25">
        <f t="shared" si="28"/>
        <v>3</v>
      </c>
      <c r="S235" s="26">
        <f t="shared" si="29"/>
        <v>4</v>
      </c>
    </row>
    <row r="236" spans="2:19" x14ac:dyDescent="0.3">
      <c r="B236" s="24">
        <v>71424</v>
      </c>
      <c r="C236" s="25">
        <v>31</v>
      </c>
      <c r="D236" s="25">
        <v>2</v>
      </c>
      <c r="E236" s="25">
        <v>2</v>
      </c>
      <c r="F236" s="25">
        <v>6</v>
      </c>
      <c r="G236" s="25">
        <v>45</v>
      </c>
      <c r="H236" s="25">
        <v>3.1</v>
      </c>
      <c r="I236" s="25">
        <v>0.43</v>
      </c>
      <c r="J236" s="25">
        <v>0.96</v>
      </c>
      <c r="K236" s="26">
        <v>0</v>
      </c>
      <c r="L236" s="25">
        <f t="shared" si="24"/>
        <v>-1.2791814334544753</v>
      </c>
      <c r="M236" s="25">
        <f t="shared" si="30"/>
        <v>0.217689593927929</v>
      </c>
      <c r="N236" s="25">
        <f t="shared" si="25"/>
        <v>0.78231040607207103</v>
      </c>
      <c r="O236" s="25">
        <f t="shared" si="26"/>
        <v>-0.24550367848506682</v>
      </c>
      <c r="P236" s="25">
        <f t="shared" si="27"/>
        <v>0</v>
      </c>
      <c r="Q236" s="25">
        <f t="shared" si="31"/>
        <v>524.03237316275204</v>
      </c>
      <c r="R236" s="25">
        <f t="shared" si="28"/>
        <v>6</v>
      </c>
      <c r="S236" s="26">
        <f t="shared" si="29"/>
        <v>13</v>
      </c>
    </row>
    <row r="237" spans="2:19" x14ac:dyDescent="0.3">
      <c r="B237" s="24">
        <v>71431</v>
      </c>
      <c r="C237" s="25">
        <v>25</v>
      </c>
      <c r="D237" s="25">
        <v>2</v>
      </c>
      <c r="E237" s="25">
        <v>1</v>
      </c>
      <c r="F237" s="25">
        <v>1</v>
      </c>
      <c r="G237" s="25">
        <v>16</v>
      </c>
      <c r="H237" s="25">
        <v>2.1</v>
      </c>
      <c r="I237" s="25">
        <v>0.15</v>
      </c>
      <c r="J237" s="25">
        <v>0.19</v>
      </c>
      <c r="K237" s="26">
        <v>0</v>
      </c>
      <c r="L237" s="25">
        <f t="shared" si="24"/>
        <v>-1.0184863844662493</v>
      </c>
      <c r="M237" s="25">
        <f t="shared" si="30"/>
        <v>0.2653223393317371</v>
      </c>
      <c r="N237" s="25">
        <f t="shared" si="25"/>
        <v>0.7346776606682629</v>
      </c>
      <c r="O237" s="25">
        <f t="shared" si="26"/>
        <v>-0.30832343287743724</v>
      </c>
      <c r="P237" s="25">
        <f t="shared" si="27"/>
        <v>0</v>
      </c>
      <c r="Q237" s="25">
        <f t="shared" si="31"/>
        <v>516.51030428875072</v>
      </c>
      <c r="R237" s="25">
        <f t="shared" si="28"/>
        <v>7</v>
      </c>
      <c r="S237" s="26">
        <f t="shared" si="29"/>
        <v>13</v>
      </c>
    </row>
    <row r="238" spans="2:19" x14ac:dyDescent="0.3">
      <c r="B238" s="24">
        <v>71439</v>
      </c>
      <c r="C238" s="25">
        <v>79</v>
      </c>
      <c r="D238" s="25">
        <v>1</v>
      </c>
      <c r="E238" s="25">
        <v>63</v>
      </c>
      <c r="F238" s="25">
        <v>18</v>
      </c>
      <c r="G238" s="25">
        <v>497</v>
      </c>
      <c r="H238" s="25">
        <v>8.1999999999999993</v>
      </c>
      <c r="I238" s="25">
        <v>15.08</v>
      </c>
      <c r="J238" s="25">
        <v>25.68</v>
      </c>
      <c r="K238" s="26">
        <v>0</v>
      </c>
      <c r="L238" s="25">
        <f t="shared" si="24"/>
        <v>-8.2846683156886591</v>
      </c>
      <c r="M238" s="25">
        <f t="shared" si="30"/>
        <v>2.5229269907305676E-4</v>
      </c>
      <c r="N238" s="25">
        <f t="shared" si="25"/>
        <v>0.99974770730092699</v>
      </c>
      <c r="O238" s="25">
        <f t="shared" si="26"/>
        <v>-2.5232453022997002E-4</v>
      </c>
      <c r="P238" s="25">
        <f t="shared" si="27"/>
        <v>0</v>
      </c>
      <c r="Q238" s="25">
        <f t="shared" si="31"/>
        <v>726.16799111404896</v>
      </c>
      <c r="R238" s="25">
        <f t="shared" si="28"/>
        <v>1</v>
      </c>
      <c r="S238" s="26">
        <f t="shared" si="29"/>
        <v>1</v>
      </c>
    </row>
    <row r="239" spans="2:19" x14ac:dyDescent="0.3">
      <c r="B239" s="24">
        <v>71522</v>
      </c>
      <c r="C239" s="25">
        <v>43</v>
      </c>
      <c r="D239" s="25">
        <v>3</v>
      </c>
      <c r="E239" s="25">
        <v>21</v>
      </c>
      <c r="F239" s="25">
        <v>14</v>
      </c>
      <c r="G239" s="25">
        <v>125</v>
      </c>
      <c r="H239" s="25">
        <v>11.5</v>
      </c>
      <c r="I239" s="25">
        <v>6.33</v>
      </c>
      <c r="J239" s="25">
        <v>8.0500000000000007</v>
      </c>
      <c r="K239" s="26">
        <v>0</v>
      </c>
      <c r="L239" s="25">
        <f t="shared" si="24"/>
        <v>-2.3232465649241263</v>
      </c>
      <c r="M239" s="25">
        <f t="shared" si="30"/>
        <v>8.9215903015457024E-2</v>
      </c>
      <c r="N239" s="25">
        <f t="shared" si="25"/>
        <v>0.91078409698454299</v>
      </c>
      <c r="O239" s="25">
        <f t="shared" si="26"/>
        <v>-9.3449405436267757E-2</v>
      </c>
      <c r="P239" s="25">
        <f t="shared" si="27"/>
        <v>0</v>
      </c>
      <c r="Q239" s="25">
        <f t="shared" si="31"/>
        <v>554.15772405966425</v>
      </c>
      <c r="R239" s="25">
        <f t="shared" si="28"/>
        <v>6</v>
      </c>
      <c r="S239" s="26">
        <f t="shared" si="29"/>
        <v>10</v>
      </c>
    </row>
    <row r="240" spans="2:19" x14ac:dyDescent="0.3">
      <c r="B240" s="24">
        <v>71585</v>
      </c>
      <c r="C240" s="25">
        <v>26</v>
      </c>
      <c r="D240" s="25">
        <v>1</v>
      </c>
      <c r="E240" s="25">
        <v>9</v>
      </c>
      <c r="F240" s="25">
        <v>3</v>
      </c>
      <c r="G240" s="25">
        <v>41</v>
      </c>
      <c r="H240" s="25">
        <v>22.1</v>
      </c>
      <c r="I240" s="25">
        <v>0.62</v>
      </c>
      <c r="J240" s="25">
        <v>8.44</v>
      </c>
      <c r="K240" s="26">
        <v>0</v>
      </c>
      <c r="L240" s="25">
        <f t="shared" si="24"/>
        <v>-0.43367633256719607</v>
      </c>
      <c r="M240" s="25">
        <f t="shared" si="30"/>
        <v>0.39324879984445327</v>
      </c>
      <c r="N240" s="25">
        <f t="shared" si="25"/>
        <v>0.60675120015554673</v>
      </c>
      <c r="O240" s="25">
        <f t="shared" si="26"/>
        <v>-0.49963645637071302</v>
      </c>
      <c r="P240" s="25">
        <f t="shared" si="27"/>
        <v>0</v>
      </c>
      <c r="Q240" s="25">
        <f t="shared" si="31"/>
        <v>499.63625353226058</v>
      </c>
      <c r="R240" s="25">
        <f t="shared" si="28"/>
        <v>7</v>
      </c>
      <c r="S240" s="26">
        <f t="shared" si="29"/>
        <v>14</v>
      </c>
    </row>
    <row r="241" spans="2:19" x14ac:dyDescent="0.3">
      <c r="B241" s="24">
        <v>71630</v>
      </c>
      <c r="C241" s="25">
        <v>26</v>
      </c>
      <c r="D241" s="25">
        <v>3</v>
      </c>
      <c r="E241" s="25">
        <v>1</v>
      </c>
      <c r="F241" s="25">
        <v>4</v>
      </c>
      <c r="G241" s="25">
        <v>36</v>
      </c>
      <c r="H241" s="25">
        <v>12.5</v>
      </c>
      <c r="I241" s="25">
        <v>1.59</v>
      </c>
      <c r="J241" s="25">
        <v>2.91</v>
      </c>
      <c r="K241" s="26">
        <v>0</v>
      </c>
      <c r="L241" s="25">
        <f t="shared" si="24"/>
        <v>0.59982738424683513</v>
      </c>
      <c r="M241" s="25">
        <f t="shared" si="30"/>
        <v>0.64561681346896527</v>
      </c>
      <c r="N241" s="25">
        <f t="shared" si="25"/>
        <v>0.35438318653103473</v>
      </c>
      <c r="O241" s="25">
        <f t="shared" si="26"/>
        <v>-1.0373765034448081</v>
      </c>
      <c r="P241" s="25">
        <f t="shared" si="27"/>
        <v>1</v>
      </c>
      <c r="Q241" s="25">
        <f t="shared" si="31"/>
        <v>469.81564063768025</v>
      </c>
      <c r="R241" s="25">
        <f t="shared" si="28"/>
        <v>7</v>
      </c>
      <c r="S241" s="26">
        <f t="shared" si="29"/>
        <v>15</v>
      </c>
    </row>
    <row r="242" spans="2:19" x14ac:dyDescent="0.3">
      <c r="B242" s="24">
        <v>71699</v>
      </c>
      <c r="C242" s="25">
        <v>18</v>
      </c>
      <c r="D242" s="25">
        <v>1</v>
      </c>
      <c r="E242" s="25">
        <v>0</v>
      </c>
      <c r="F242" s="25">
        <v>0</v>
      </c>
      <c r="G242" s="25">
        <v>28</v>
      </c>
      <c r="H242" s="25">
        <v>17</v>
      </c>
      <c r="I242" s="25">
        <v>1.75</v>
      </c>
      <c r="J242" s="25">
        <v>3.01</v>
      </c>
      <c r="K242" s="26">
        <v>1</v>
      </c>
      <c r="L242" s="25">
        <f t="shared" si="24"/>
        <v>1.7608691913488512</v>
      </c>
      <c r="M242" s="25">
        <f t="shared" si="30"/>
        <v>0.85331848685766964</v>
      </c>
      <c r="N242" s="25">
        <f t="shared" si="25"/>
        <v>0.85331848685766964</v>
      </c>
      <c r="O242" s="25">
        <f t="shared" si="26"/>
        <v>-0.15862242854165765</v>
      </c>
      <c r="P242" s="25">
        <f t="shared" si="27"/>
        <v>1</v>
      </c>
      <c r="Q242" s="25">
        <f t="shared" si="31"/>
        <v>436.31505643973941</v>
      </c>
      <c r="R242" s="25">
        <f t="shared" si="28"/>
        <v>8</v>
      </c>
      <c r="S242" s="26">
        <f t="shared" si="29"/>
        <v>16</v>
      </c>
    </row>
    <row r="243" spans="2:19" x14ac:dyDescent="0.3">
      <c r="B243" s="24">
        <v>71730</v>
      </c>
      <c r="C243" s="25">
        <v>30</v>
      </c>
      <c r="D243" s="25">
        <v>2</v>
      </c>
      <c r="E243" s="25">
        <v>0</v>
      </c>
      <c r="F243" s="25">
        <v>4</v>
      </c>
      <c r="G243" s="25">
        <v>25</v>
      </c>
      <c r="H243" s="25">
        <v>7.4</v>
      </c>
      <c r="I243" s="25">
        <v>0.26</v>
      </c>
      <c r="J243" s="25">
        <v>1.59</v>
      </c>
      <c r="K243" s="26">
        <v>0</v>
      </c>
      <c r="L243" s="25">
        <f t="shared" si="24"/>
        <v>-0.38066828928934648</v>
      </c>
      <c r="M243" s="25">
        <f t="shared" si="30"/>
        <v>0.40596572393239672</v>
      </c>
      <c r="N243" s="25">
        <f t="shared" si="25"/>
        <v>0.59403427606760328</v>
      </c>
      <c r="O243" s="25">
        <f t="shared" si="26"/>
        <v>-0.52081825746677946</v>
      </c>
      <c r="P243" s="25">
        <f t="shared" si="27"/>
        <v>1</v>
      </c>
      <c r="Q243" s="25">
        <f t="shared" si="31"/>
        <v>498.10676475232589</v>
      </c>
      <c r="R243" s="25">
        <f t="shared" si="28"/>
        <v>7</v>
      </c>
      <c r="S243" s="26">
        <f t="shared" si="29"/>
        <v>14</v>
      </c>
    </row>
    <row r="244" spans="2:19" x14ac:dyDescent="0.3">
      <c r="B244" s="24">
        <v>71732</v>
      </c>
      <c r="C244" s="25">
        <v>47</v>
      </c>
      <c r="D244" s="25">
        <v>3</v>
      </c>
      <c r="E244" s="25">
        <v>3</v>
      </c>
      <c r="F244" s="25">
        <v>8</v>
      </c>
      <c r="G244" s="25">
        <v>69</v>
      </c>
      <c r="H244" s="25">
        <v>5.2</v>
      </c>
      <c r="I244" s="25">
        <v>0.9</v>
      </c>
      <c r="J244" s="25">
        <v>2.69</v>
      </c>
      <c r="K244" s="26">
        <v>0</v>
      </c>
      <c r="L244" s="25">
        <f t="shared" si="24"/>
        <v>-1.4889265626938615</v>
      </c>
      <c r="M244" s="25">
        <f t="shared" si="30"/>
        <v>0.18408289915124773</v>
      </c>
      <c r="N244" s="25">
        <f t="shared" si="25"/>
        <v>0.81591710084875224</v>
      </c>
      <c r="O244" s="25">
        <f t="shared" si="26"/>
        <v>-0.20344252127597404</v>
      </c>
      <c r="P244" s="25">
        <f t="shared" si="27"/>
        <v>0</v>
      </c>
      <c r="Q244" s="25">
        <f t="shared" si="31"/>
        <v>530.08433814731234</v>
      </c>
      <c r="R244" s="25">
        <f t="shared" si="28"/>
        <v>6</v>
      </c>
      <c r="S244" s="26">
        <f t="shared" si="29"/>
        <v>12</v>
      </c>
    </row>
    <row r="245" spans="2:19" x14ac:dyDescent="0.3">
      <c r="B245" s="24">
        <v>71758</v>
      </c>
      <c r="C245" s="25">
        <v>18</v>
      </c>
      <c r="D245" s="25">
        <v>2</v>
      </c>
      <c r="E245" s="25">
        <v>0</v>
      </c>
      <c r="F245" s="25">
        <v>0</v>
      </c>
      <c r="G245" s="25">
        <v>35</v>
      </c>
      <c r="H245" s="25">
        <v>12.4</v>
      </c>
      <c r="I245" s="25">
        <v>1.1299999999999999</v>
      </c>
      <c r="J245" s="25">
        <v>3.21</v>
      </c>
      <c r="K245" s="26">
        <v>0</v>
      </c>
      <c r="L245" s="25">
        <f t="shared" si="24"/>
        <v>0.9620413755425441</v>
      </c>
      <c r="M245" s="25">
        <f t="shared" si="30"/>
        <v>0.72353033629971442</v>
      </c>
      <c r="N245" s="25">
        <f t="shared" si="25"/>
        <v>0.27646966370028558</v>
      </c>
      <c r="O245" s="25">
        <f t="shared" si="26"/>
        <v>-1.2856541794085914</v>
      </c>
      <c r="P245" s="25">
        <f t="shared" si="27"/>
        <v>1</v>
      </c>
      <c r="Q245" s="25">
        <f t="shared" si="31"/>
        <v>459.364354354233</v>
      </c>
      <c r="R245" s="25">
        <f t="shared" si="28"/>
        <v>8</v>
      </c>
      <c r="S245" s="26">
        <f t="shared" si="29"/>
        <v>16</v>
      </c>
    </row>
    <row r="246" spans="2:19" x14ac:dyDescent="0.3">
      <c r="B246" s="24">
        <v>71761</v>
      </c>
      <c r="C246" s="25">
        <v>30</v>
      </c>
      <c r="D246" s="25">
        <v>1</v>
      </c>
      <c r="E246" s="25">
        <v>13</v>
      </c>
      <c r="F246" s="25">
        <v>3</v>
      </c>
      <c r="G246" s="25">
        <v>38</v>
      </c>
      <c r="H246" s="25">
        <v>4.5999999999999996</v>
      </c>
      <c r="I246" s="25">
        <v>0.34</v>
      </c>
      <c r="J246" s="25">
        <v>1.41</v>
      </c>
      <c r="K246" s="26">
        <v>0</v>
      </c>
      <c r="L246" s="25">
        <f t="shared" si="24"/>
        <v>-3.4785310369923117</v>
      </c>
      <c r="M246" s="25">
        <f t="shared" si="30"/>
        <v>2.9929299557556816E-2</v>
      </c>
      <c r="N246" s="25">
        <f t="shared" si="25"/>
        <v>0.97007070044244315</v>
      </c>
      <c r="O246" s="25">
        <f t="shared" si="26"/>
        <v>-3.0386323086775708E-2</v>
      </c>
      <c r="P246" s="25">
        <f t="shared" si="27"/>
        <v>0</v>
      </c>
      <c r="Q246" s="25">
        <f t="shared" si="31"/>
        <v>587.49218668827245</v>
      </c>
      <c r="R246" s="25">
        <f t="shared" si="28"/>
        <v>5</v>
      </c>
      <c r="S246" s="26">
        <f t="shared" si="29"/>
        <v>8</v>
      </c>
    </row>
    <row r="247" spans="2:19" x14ac:dyDescent="0.3">
      <c r="B247" s="24">
        <v>71782</v>
      </c>
      <c r="C247" s="25">
        <v>21</v>
      </c>
      <c r="D247" s="25">
        <v>3</v>
      </c>
      <c r="E247" s="25">
        <v>0</v>
      </c>
      <c r="F247" s="25">
        <v>1</v>
      </c>
      <c r="G247" s="25">
        <v>25</v>
      </c>
      <c r="H247" s="25">
        <v>6.7</v>
      </c>
      <c r="I247" s="25">
        <v>1.29</v>
      </c>
      <c r="J247" s="25">
        <v>0.38</v>
      </c>
      <c r="K247" s="26">
        <v>1</v>
      </c>
      <c r="L247" s="25">
        <f t="shared" si="24"/>
        <v>0.24582011592867065</v>
      </c>
      <c r="M247" s="25">
        <f t="shared" si="30"/>
        <v>0.56114742300460752</v>
      </c>
      <c r="N247" s="25">
        <f t="shared" si="25"/>
        <v>0.56114742300460752</v>
      </c>
      <c r="O247" s="25">
        <f t="shared" si="26"/>
        <v>-0.57777162187719155</v>
      </c>
      <c r="P247" s="25">
        <f t="shared" si="27"/>
        <v>1</v>
      </c>
      <c r="Q247" s="25">
        <f t="shared" si="31"/>
        <v>480.03013095700572</v>
      </c>
      <c r="R247" s="25">
        <f t="shared" si="28"/>
        <v>7</v>
      </c>
      <c r="S247" s="26">
        <f t="shared" si="29"/>
        <v>15</v>
      </c>
    </row>
    <row r="248" spans="2:19" x14ac:dyDescent="0.3">
      <c r="B248" s="24">
        <v>71784</v>
      </c>
      <c r="C248" s="25">
        <v>33</v>
      </c>
      <c r="D248" s="25">
        <v>4</v>
      </c>
      <c r="E248" s="25">
        <v>4</v>
      </c>
      <c r="F248" s="25">
        <v>9</v>
      </c>
      <c r="G248" s="25">
        <v>119</v>
      </c>
      <c r="H248" s="25">
        <v>15.3</v>
      </c>
      <c r="I248" s="25">
        <v>6.57</v>
      </c>
      <c r="J248" s="25">
        <v>11.63</v>
      </c>
      <c r="K248" s="26">
        <v>1</v>
      </c>
      <c r="L248" s="25">
        <f t="shared" si="24"/>
        <v>2.4293021899859624</v>
      </c>
      <c r="M248" s="25">
        <f t="shared" si="30"/>
        <v>0.91903462393318824</v>
      </c>
      <c r="N248" s="25">
        <f t="shared" si="25"/>
        <v>0.91903462393318824</v>
      </c>
      <c r="O248" s="25">
        <f t="shared" si="26"/>
        <v>-8.4431481674366399E-2</v>
      </c>
      <c r="P248" s="25">
        <f t="shared" si="27"/>
        <v>1</v>
      </c>
      <c r="Q248" s="25">
        <f t="shared" si="31"/>
        <v>417.02815754036402</v>
      </c>
      <c r="R248" s="25">
        <f t="shared" si="28"/>
        <v>8</v>
      </c>
      <c r="S248" s="26">
        <f t="shared" si="29"/>
        <v>16</v>
      </c>
    </row>
    <row r="249" spans="2:19" x14ac:dyDescent="0.3">
      <c r="B249" s="24">
        <v>71812</v>
      </c>
      <c r="C249" s="25">
        <v>36</v>
      </c>
      <c r="D249" s="25">
        <v>2</v>
      </c>
      <c r="E249" s="25">
        <v>3</v>
      </c>
      <c r="F249" s="25">
        <v>6</v>
      </c>
      <c r="G249" s="25">
        <v>28</v>
      </c>
      <c r="H249" s="25">
        <v>4.9000000000000004</v>
      </c>
      <c r="I249" s="25">
        <v>0.26</v>
      </c>
      <c r="J249" s="25">
        <v>1.1200000000000001</v>
      </c>
      <c r="K249" s="26">
        <v>0</v>
      </c>
      <c r="L249" s="25">
        <f t="shared" si="24"/>
        <v>-1.5143635330172966</v>
      </c>
      <c r="M249" s="25">
        <f t="shared" si="30"/>
        <v>0.18029301788836916</v>
      </c>
      <c r="N249" s="25">
        <f t="shared" si="25"/>
        <v>0.81970698211163084</v>
      </c>
      <c r="O249" s="25">
        <f t="shared" si="26"/>
        <v>-0.19880834147284759</v>
      </c>
      <c r="P249" s="25">
        <f t="shared" si="27"/>
        <v>0</v>
      </c>
      <c r="Q249" s="25">
        <f t="shared" si="31"/>
        <v>530.81829394532781</v>
      </c>
      <c r="R249" s="25">
        <f t="shared" si="28"/>
        <v>6</v>
      </c>
      <c r="S249" s="26">
        <f t="shared" si="29"/>
        <v>12</v>
      </c>
    </row>
    <row r="250" spans="2:19" x14ac:dyDescent="0.3">
      <c r="B250" s="24">
        <v>71817</v>
      </c>
      <c r="C250" s="25">
        <v>26</v>
      </c>
      <c r="D250" s="25">
        <v>2</v>
      </c>
      <c r="E250" s="25">
        <v>7</v>
      </c>
      <c r="F250" s="25">
        <v>3</v>
      </c>
      <c r="G250" s="25">
        <v>49</v>
      </c>
      <c r="H250" s="25">
        <v>17.7</v>
      </c>
      <c r="I250" s="25">
        <v>5.38</v>
      </c>
      <c r="J250" s="25">
        <v>3.3</v>
      </c>
      <c r="K250" s="26">
        <v>1</v>
      </c>
      <c r="L250" s="25">
        <f t="shared" si="24"/>
        <v>1.6545264991158353</v>
      </c>
      <c r="M250" s="25">
        <f t="shared" si="30"/>
        <v>0.83950188165436557</v>
      </c>
      <c r="N250" s="25">
        <f t="shared" si="25"/>
        <v>0.83950188165436557</v>
      </c>
      <c r="O250" s="25">
        <f t="shared" si="26"/>
        <v>-0.17494656106816656</v>
      </c>
      <c r="P250" s="25">
        <f t="shared" si="27"/>
        <v>1</v>
      </c>
      <c r="Q250" s="25">
        <f t="shared" si="31"/>
        <v>439.38345784716159</v>
      </c>
      <c r="R250" s="25">
        <f t="shared" si="28"/>
        <v>8</v>
      </c>
      <c r="S250" s="26">
        <f t="shared" si="29"/>
        <v>16</v>
      </c>
    </row>
    <row r="251" spans="2:19" x14ac:dyDescent="0.3">
      <c r="B251" s="24">
        <v>71896</v>
      </c>
      <c r="C251" s="25">
        <v>20</v>
      </c>
      <c r="D251" s="25">
        <v>3</v>
      </c>
      <c r="E251" s="25">
        <v>0</v>
      </c>
      <c r="F251" s="25">
        <v>0</v>
      </c>
      <c r="G251" s="25">
        <v>21</v>
      </c>
      <c r="H251" s="25">
        <v>1.3</v>
      </c>
      <c r="I251" s="25">
        <v>0.18</v>
      </c>
      <c r="J251" s="25">
        <v>0.09</v>
      </c>
      <c r="K251" s="26">
        <v>1</v>
      </c>
      <c r="L251" s="25">
        <f t="shared" si="24"/>
        <v>-0.77198668741408516</v>
      </c>
      <c r="M251" s="25">
        <f t="shared" si="30"/>
        <v>0.31604950265442788</v>
      </c>
      <c r="N251" s="25">
        <f t="shared" si="25"/>
        <v>0.31604950265442788</v>
      </c>
      <c r="O251" s="25">
        <f t="shared" si="26"/>
        <v>-1.1518564236944682</v>
      </c>
      <c r="P251" s="25">
        <f t="shared" si="27"/>
        <v>0</v>
      </c>
      <c r="Q251" s="25">
        <f t="shared" si="31"/>
        <v>509.39782667997724</v>
      </c>
      <c r="R251" s="25">
        <f t="shared" si="28"/>
        <v>7</v>
      </c>
      <c r="S251" s="26">
        <f t="shared" si="29"/>
        <v>14</v>
      </c>
    </row>
    <row r="252" spans="2:19" x14ac:dyDescent="0.3">
      <c r="B252" s="24">
        <v>72021</v>
      </c>
      <c r="C252" s="25">
        <v>56</v>
      </c>
      <c r="D252" s="25">
        <v>2</v>
      </c>
      <c r="E252" s="25">
        <v>19</v>
      </c>
      <c r="F252" s="25">
        <v>8</v>
      </c>
      <c r="G252" s="25">
        <v>76</v>
      </c>
      <c r="H252" s="25">
        <v>1.2</v>
      </c>
      <c r="I252" s="25">
        <v>0.18</v>
      </c>
      <c r="J252" s="25">
        <v>0.73</v>
      </c>
      <c r="K252" s="26">
        <v>0</v>
      </c>
      <c r="L252" s="25">
        <f t="shared" si="24"/>
        <v>-6.037103800016264</v>
      </c>
      <c r="M252" s="25">
        <f t="shared" si="30"/>
        <v>2.3827752039096007E-3</v>
      </c>
      <c r="N252" s="25">
        <f t="shared" si="25"/>
        <v>0.99761722479609038</v>
      </c>
      <c r="O252" s="25">
        <f t="shared" si="26"/>
        <v>-2.3856185303155622E-3</v>
      </c>
      <c r="P252" s="25">
        <f t="shared" si="27"/>
        <v>0</v>
      </c>
      <c r="Q252" s="25">
        <f t="shared" si="31"/>
        <v>661.31698933528924</v>
      </c>
      <c r="R252" s="25">
        <f t="shared" si="28"/>
        <v>2</v>
      </c>
      <c r="S252" s="26">
        <f t="shared" si="29"/>
        <v>1</v>
      </c>
    </row>
    <row r="253" spans="2:19" x14ac:dyDescent="0.3">
      <c r="B253" s="24">
        <v>72023</v>
      </c>
      <c r="C253" s="25">
        <v>42</v>
      </c>
      <c r="D253" s="25">
        <v>4</v>
      </c>
      <c r="E253" s="25">
        <v>7</v>
      </c>
      <c r="F253" s="25">
        <v>12</v>
      </c>
      <c r="G253" s="25">
        <v>130</v>
      </c>
      <c r="H253" s="25">
        <v>11.6</v>
      </c>
      <c r="I253" s="25">
        <v>3.33</v>
      </c>
      <c r="J253" s="25">
        <v>11.75</v>
      </c>
      <c r="K253" s="26">
        <v>1</v>
      </c>
      <c r="L253" s="25">
        <f t="shared" si="24"/>
        <v>-0.43960133533358886</v>
      </c>
      <c r="M253" s="25">
        <f t="shared" si="30"/>
        <v>0.39183596716188779</v>
      </c>
      <c r="N253" s="25">
        <f t="shared" si="25"/>
        <v>0.39183596716188779</v>
      </c>
      <c r="O253" s="25">
        <f t="shared" si="26"/>
        <v>-0.93691197788440805</v>
      </c>
      <c r="P253" s="25">
        <f t="shared" si="27"/>
        <v>0</v>
      </c>
      <c r="Q253" s="25">
        <f t="shared" si="31"/>
        <v>499.80721296958183</v>
      </c>
      <c r="R253" s="25">
        <f t="shared" si="28"/>
        <v>7</v>
      </c>
      <c r="S253" s="26">
        <f t="shared" si="29"/>
        <v>14</v>
      </c>
    </row>
    <row r="254" spans="2:19" x14ac:dyDescent="0.3">
      <c r="B254" s="24">
        <v>72147</v>
      </c>
      <c r="C254" s="25">
        <v>23</v>
      </c>
      <c r="D254" s="25">
        <v>4</v>
      </c>
      <c r="E254" s="25">
        <v>0</v>
      </c>
      <c r="F254" s="25">
        <v>3</v>
      </c>
      <c r="G254" s="25">
        <v>47</v>
      </c>
      <c r="H254" s="25">
        <v>8.9</v>
      </c>
      <c r="I254" s="25">
        <v>0.62</v>
      </c>
      <c r="J254" s="25">
        <v>3.56</v>
      </c>
      <c r="K254" s="26">
        <v>0</v>
      </c>
      <c r="L254" s="25">
        <f t="shared" si="24"/>
        <v>7.0634889702097248E-2</v>
      </c>
      <c r="M254" s="25">
        <f t="shared" si="30"/>
        <v>0.51765138404969657</v>
      </c>
      <c r="N254" s="25">
        <f t="shared" si="25"/>
        <v>0.48234861595030343</v>
      </c>
      <c r="O254" s="25">
        <f t="shared" si="26"/>
        <v>-0.72908815675850958</v>
      </c>
      <c r="P254" s="25">
        <f t="shared" si="27"/>
        <v>1</v>
      </c>
      <c r="Q254" s="25">
        <f t="shared" si="31"/>
        <v>485.08490795602467</v>
      </c>
      <c r="R254" s="25">
        <f t="shared" si="28"/>
        <v>7</v>
      </c>
      <c r="S254" s="26">
        <f t="shared" si="29"/>
        <v>15</v>
      </c>
    </row>
    <row r="255" spans="2:19" x14ac:dyDescent="0.3">
      <c r="B255" s="24">
        <v>72213</v>
      </c>
      <c r="C255" s="25">
        <v>32</v>
      </c>
      <c r="D255" s="25">
        <v>3</v>
      </c>
      <c r="E255" s="25">
        <v>3</v>
      </c>
      <c r="F255" s="25">
        <v>8</v>
      </c>
      <c r="G255" s="25">
        <v>86</v>
      </c>
      <c r="H255" s="25">
        <v>7.9</v>
      </c>
      <c r="I255" s="25">
        <v>2.2000000000000002</v>
      </c>
      <c r="J255" s="25">
        <v>4.59</v>
      </c>
      <c r="K255" s="26">
        <v>0</v>
      </c>
      <c r="L255" s="25">
        <f t="shared" si="24"/>
        <v>-0.2285758667101612</v>
      </c>
      <c r="M255" s="25">
        <f t="shared" si="30"/>
        <v>0.44310353997717694</v>
      </c>
      <c r="N255" s="25">
        <f t="shared" si="25"/>
        <v>0.556896460022823</v>
      </c>
      <c r="O255" s="25">
        <f t="shared" si="26"/>
        <v>-0.58537594498272194</v>
      </c>
      <c r="P255" s="25">
        <f t="shared" si="27"/>
        <v>1</v>
      </c>
      <c r="Q255" s="25">
        <f t="shared" si="31"/>
        <v>493.71830520046831</v>
      </c>
      <c r="R255" s="25">
        <f t="shared" si="28"/>
        <v>7</v>
      </c>
      <c r="S255" s="26">
        <f t="shared" si="29"/>
        <v>14</v>
      </c>
    </row>
    <row r="256" spans="2:19" x14ac:dyDescent="0.3">
      <c r="B256" s="24">
        <v>72221</v>
      </c>
      <c r="C256" s="25">
        <v>20</v>
      </c>
      <c r="D256" s="25">
        <v>3</v>
      </c>
      <c r="E256" s="25">
        <v>0</v>
      </c>
      <c r="F256" s="25">
        <v>0</v>
      </c>
      <c r="G256" s="25">
        <v>30</v>
      </c>
      <c r="H256" s="25">
        <v>10.6</v>
      </c>
      <c r="I256" s="25">
        <v>2.5299999999999998</v>
      </c>
      <c r="J256" s="25">
        <v>0.65</v>
      </c>
      <c r="K256" s="26">
        <v>1</v>
      </c>
      <c r="L256" s="25">
        <f t="shared" si="24"/>
        <v>1.2838488152253318</v>
      </c>
      <c r="M256" s="25">
        <f t="shared" si="30"/>
        <v>0.78310421767588045</v>
      </c>
      <c r="N256" s="25">
        <f t="shared" si="25"/>
        <v>0.78310421767588045</v>
      </c>
      <c r="O256" s="25">
        <f t="shared" si="26"/>
        <v>-0.24448949136836526</v>
      </c>
      <c r="P256" s="25">
        <f t="shared" si="27"/>
        <v>1</v>
      </c>
      <c r="Q256" s="25">
        <f t="shared" si="31"/>
        <v>450.0789546703698</v>
      </c>
      <c r="R256" s="25">
        <f t="shared" si="28"/>
        <v>8</v>
      </c>
      <c r="S256" s="26">
        <f t="shared" si="29"/>
        <v>16</v>
      </c>
    </row>
    <row r="257" spans="2:19" x14ac:dyDescent="0.3">
      <c r="B257" s="24">
        <v>72302</v>
      </c>
      <c r="C257" s="25">
        <v>19</v>
      </c>
      <c r="D257" s="25">
        <v>2</v>
      </c>
      <c r="E257" s="25">
        <v>0</v>
      </c>
      <c r="F257" s="25">
        <v>0</v>
      </c>
      <c r="G257" s="25">
        <v>21</v>
      </c>
      <c r="H257" s="25">
        <v>12</v>
      </c>
      <c r="I257" s="25">
        <v>0.35</v>
      </c>
      <c r="J257" s="25">
        <v>2.17</v>
      </c>
      <c r="K257" s="26">
        <v>0</v>
      </c>
      <c r="L257" s="25">
        <f t="shared" si="24"/>
        <v>0.50184134107561018</v>
      </c>
      <c r="M257" s="25">
        <f t="shared" si="30"/>
        <v>0.62289195551562093</v>
      </c>
      <c r="N257" s="25">
        <f t="shared" si="25"/>
        <v>0.37710804448437907</v>
      </c>
      <c r="O257" s="25">
        <f t="shared" si="26"/>
        <v>-0.97522354244899556</v>
      </c>
      <c r="P257" s="25">
        <f t="shared" si="27"/>
        <v>1</v>
      </c>
      <c r="Q257" s="25">
        <f t="shared" si="31"/>
        <v>472.64292012873847</v>
      </c>
      <c r="R257" s="25">
        <f t="shared" si="28"/>
        <v>7</v>
      </c>
      <c r="S257" s="26">
        <f t="shared" si="29"/>
        <v>15</v>
      </c>
    </row>
    <row r="258" spans="2:19" x14ac:dyDescent="0.3">
      <c r="B258" s="24">
        <v>72307</v>
      </c>
      <c r="C258" s="25">
        <v>26</v>
      </c>
      <c r="D258" s="25">
        <v>2</v>
      </c>
      <c r="E258" s="25">
        <v>1</v>
      </c>
      <c r="F258" s="25">
        <v>0</v>
      </c>
      <c r="G258" s="25">
        <v>26</v>
      </c>
      <c r="H258" s="25">
        <v>11.1</v>
      </c>
      <c r="I258" s="25">
        <v>1.69</v>
      </c>
      <c r="J258" s="25">
        <v>1.19</v>
      </c>
      <c r="K258" s="26">
        <v>1</v>
      </c>
      <c r="L258" s="25">
        <f t="shared" si="24"/>
        <v>0.64600359095742488</v>
      </c>
      <c r="M258" s="25">
        <f t="shared" si="30"/>
        <v>0.6561093167792218</v>
      </c>
      <c r="N258" s="25">
        <f t="shared" si="25"/>
        <v>0.6561093167792218</v>
      </c>
      <c r="O258" s="25">
        <f t="shared" si="26"/>
        <v>-0.42142786248944852</v>
      </c>
      <c r="P258" s="25">
        <f t="shared" si="27"/>
        <v>1</v>
      </c>
      <c r="Q258" s="25">
        <f t="shared" si="31"/>
        <v>468.48327698687353</v>
      </c>
      <c r="R258" s="25">
        <f t="shared" si="28"/>
        <v>7</v>
      </c>
      <c r="S258" s="26">
        <f t="shared" si="29"/>
        <v>15</v>
      </c>
    </row>
    <row r="259" spans="2:19" x14ac:dyDescent="0.3">
      <c r="B259" s="24">
        <v>72327</v>
      </c>
      <c r="C259" s="25">
        <v>19</v>
      </c>
      <c r="D259" s="25">
        <v>2</v>
      </c>
      <c r="E259" s="25">
        <v>0</v>
      </c>
      <c r="F259" s="25">
        <v>0</v>
      </c>
      <c r="G259" s="25">
        <v>20</v>
      </c>
      <c r="H259" s="25">
        <v>0.1</v>
      </c>
      <c r="I259" s="25">
        <v>0.01</v>
      </c>
      <c r="J259" s="25">
        <v>0.01</v>
      </c>
      <c r="K259" s="26">
        <v>1</v>
      </c>
      <c r="L259" s="25">
        <f t="shared" si="24"/>
        <v>-0.89928203638714199</v>
      </c>
      <c r="M259" s="25">
        <f t="shared" si="30"/>
        <v>0.28919806146094112</v>
      </c>
      <c r="N259" s="25">
        <f t="shared" si="25"/>
        <v>0.28919806146094112</v>
      </c>
      <c r="O259" s="25">
        <f t="shared" si="26"/>
        <v>-1.2406434918287723</v>
      </c>
      <c r="P259" s="25">
        <f t="shared" si="27"/>
        <v>0</v>
      </c>
      <c r="Q259" s="25">
        <f t="shared" si="31"/>
        <v>513.07079394971095</v>
      </c>
      <c r="R259" s="25">
        <f t="shared" si="28"/>
        <v>7</v>
      </c>
      <c r="S259" s="26">
        <f t="shared" si="29"/>
        <v>13</v>
      </c>
    </row>
    <row r="260" spans="2:19" x14ac:dyDescent="0.3">
      <c r="B260" s="24">
        <v>72385</v>
      </c>
      <c r="C260" s="25">
        <v>59</v>
      </c>
      <c r="D260" s="25">
        <v>3</v>
      </c>
      <c r="E260" s="25">
        <v>31</v>
      </c>
      <c r="F260" s="25">
        <v>21</v>
      </c>
      <c r="G260" s="25">
        <v>102</v>
      </c>
      <c r="H260" s="25">
        <v>0.3</v>
      </c>
      <c r="I260" s="25">
        <v>0.1</v>
      </c>
      <c r="J260" s="25">
        <v>0.2</v>
      </c>
      <c r="K260" s="26">
        <v>0</v>
      </c>
      <c r="L260" s="25">
        <f t="shared" si="24"/>
        <v>-9.4288962739426552</v>
      </c>
      <c r="M260" s="25">
        <f t="shared" si="30"/>
        <v>8.036139662466677E-5</v>
      </c>
      <c r="N260" s="25">
        <f t="shared" si="25"/>
        <v>0.99991963860337529</v>
      </c>
      <c r="O260" s="25">
        <f t="shared" si="26"/>
        <v>-8.0364625774740543E-5</v>
      </c>
      <c r="P260" s="25">
        <f t="shared" si="27"/>
        <v>0</v>
      </c>
      <c r="Q260" s="25">
        <f t="shared" si="31"/>
        <v>759.18343019871395</v>
      </c>
      <c r="R260" s="25">
        <f t="shared" si="28"/>
        <v>1</v>
      </c>
      <c r="S260" s="26">
        <f t="shared" si="29"/>
        <v>1</v>
      </c>
    </row>
    <row r="261" spans="2:19" x14ac:dyDescent="0.3">
      <c r="B261" s="24">
        <v>72447</v>
      </c>
      <c r="C261" s="25">
        <v>21</v>
      </c>
      <c r="D261" s="25">
        <v>3</v>
      </c>
      <c r="E261" s="25">
        <v>0</v>
      </c>
      <c r="F261" s="25">
        <v>1</v>
      </c>
      <c r="G261" s="25">
        <v>13</v>
      </c>
      <c r="H261" s="25">
        <v>8.3000000000000007</v>
      </c>
      <c r="I261" s="25">
        <v>0.45</v>
      </c>
      <c r="J261" s="25">
        <v>0.63</v>
      </c>
      <c r="K261" s="26">
        <v>1</v>
      </c>
      <c r="L261" s="25">
        <f t="shared" ref="L261:L324" si="32">$Y$4+SUMPRODUCT($Z$4:$AG$4,C261:J261)</f>
        <v>1.0920620897603095E-2</v>
      </c>
      <c r="M261" s="25">
        <f t="shared" si="30"/>
        <v>0.50273012809154072</v>
      </c>
      <c r="N261" s="25">
        <f t="shared" ref="N261:N324" si="33">IF(K261=1,M261,(1-M261))</f>
        <v>0.50273012809154072</v>
      </c>
      <c r="O261" s="25">
        <f t="shared" ref="O261:O324" si="34">LN(N261)</f>
        <v>-0.68770177753216499</v>
      </c>
      <c r="P261" s="25">
        <f t="shared" ref="P261:P324" si="35">IF(M261&gt;0.4,1,0)</f>
        <v>1</v>
      </c>
      <c r="Q261" s="25">
        <f t="shared" si="31"/>
        <v>486.80789749668264</v>
      </c>
      <c r="R261" s="25">
        <f t="shared" ref="R261:R324" si="36">VLOOKUP(M261,$U$9:$W$16,3,TRUE)</f>
        <v>7</v>
      </c>
      <c r="S261" s="26">
        <f t="shared" ref="S261:S324" si="37">VLOOKUP(M261,$U$21:$W$37,3,TRUE)</f>
        <v>15</v>
      </c>
    </row>
    <row r="262" spans="2:19" x14ac:dyDescent="0.3">
      <c r="B262" s="24">
        <v>72506</v>
      </c>
      <c r="C262" s="25">
        <v>39</v>
      </c>
      <c r="D262" s="25">
        <v>4</v>
      </c>
      <c r="E262" s="25">
        <v>14</v>
      </c>
      <c r="F262" s="25">
        <v>6</v>
      </c>
      <c r="G262" s="25">
        <v>152</v>
      </c>
      <c r="H262" s="25">
        <v>27.4</v>
      </c>
      <c r="I262" s="25">
        <v>13.41</v>
      </c>
      <c r="J262" s="25">
        <v>28.24</v>
      </c>
      <c r="K262" s="26">
        <v>1</v>
      </c>
      <c r="L262" s="25">
        <f t="shared" si="32"/>
        <v>5.0057035083186037</v>
      </c>
      <c r="M262" s="25">
        <f t="shared" ref="M262:M325" si="38">EXP(L262)/(1+EXP(L262))</f>
        <v>0.99334495983608773</v>
      </c>
      <c r="N262" s="25">
        <f t="shared" si="33"/>
        <v>0.99334495983608773</v>
      </c>
      <c r="O262" s="25">
        <f t="shared" si="34"/>
        <v>-6.6772836863198994E-3</v>
      </c>
      <c r="P262" s="25">
        <f t="shared" si="35"/>
        <v>1</v>
      </c>
      <c r="Q262" s="25">
        <f t="shared" si="31"/>
        <v>342.68893154132587</v>
      </c>
      <c r="R262" s="25">
        <f t="shared" si="36"/>
        <v>8</v>
      </c>
      <c r="S262" s="26">
        <f t="shared" si="37"/>
        <v>17</v>
      </c>
    </row>
    <row r="263" spans="2:19" x14ac:dyDescent="0.3">
      <c r="B263" s="24">
        <v>72584</v>
      </c>
      <c r="C263" s="25">
        <v>18</v>
      </c>
      <c r="D263" s="25">
        <v>2</v>
      </c>
      <c r="E263" s="25">
        <v>0</v>
      </c>
      <c r="F263" s="25">
        <v>0</v>
      </c>
      <c r="G263" s="25">
        <v>12</v>
      </c>
      <c r="H263" s="25">
        <v>3.3</v>
      </c>
      <c r="I263" s="25">
        <v>0.11</v>
      </c>
      <c r="J263" s="25">
        <v>0.28999999999999998</v>
      </c>
      <c r="K263" s="26">
        <v>1</v>
      </c>
      <c r="L263" s="25">
        <f t="shared" si="32"/>
        <v>-0.50624010896821492</v>
      </c>
      <c r="M263" s="25">
        <f t="shared" si="38"/>
        <v>0.37607534452248936</v>
      </c>
      <c r="N263" s="25">
        <f t="shared" si="33"/>
        <v>0.37607534452248936</v>
      </c>
      <c r="O263" s="25">
        <f t="shared" si="34"/>
        <v>-0.97796577129818563</v>
      </c>
      <c r="P263" s="25">
        <f t="shared" si="35"/>
        <v>0</v>
      </c>
      <c r="Q263" s="25">
        <f t="shared" si="31"/>
        <v>501.73000148015797</v>
      </c>
      <c r="R263" s="25">
        <f t="shared" si="36"/>
        <v>7</v>
      </c>
      <c r="S263" s="26">
        <f t="shared" si="37"/>
        <v>14</v>
      </c>
    </row>
    <row r="264" spans="2:19" x14ac:dyDescent="0.3">
      <c r="B264" s="24">
        <v>72633</v>
      </c>
      <c r="C264" s="25">
        <v>20</v>
      </c>
      <c r="D264" s="25">
        <v>2</v>
      </c>
      <c r="E264" s="25">
        <v>0</v>
      </c>
      <c r="F264" s="25">
        <v>0</v>
      </c>
      <c r="G264" s="25">
        <v>38</v>
      </c>
      <c r="H264" s="25">
        <v>7.5</v>
      </c>
      <c r="I264" s="25">
        <v>0.36</v>
      </c>
      <c r="J264" s="25">
        <v>2.4900000000000002</v>
      </c>
      <c r="K264" s="26">
        <v>0</v>
      </c>
      <c r="L264" s="25">
        <f t="shared" si="32"/>
        <v>4.8472885680299227E-2</v>
      </c>
      <c r="M264" s="25">
        <f t="shared" si="38"/>
        <v>0.51211584920884923</v>
      </c>
      <c r="N264" s="25">
        <f t="shared" si="33"/>
        <v>0.48788415079115077</v>
      </c>
      <c r="O264" s="25">
        <f t="shared" si="34"/>
        <v>-0.71767729723163465</v>
      </c>
      <c r="P264" s="25">
        <f t="shared" si="35"/>
        <v>1</v>
      </c>
      <c r="Q264" s="25">
        <f t="shared" si="31"/>
        <v>485.72436820386923</v>
      </c>
      <c r="R264" s="25">
        <f t="shared" si="36"/>
        <v>7</v>
      </c>
      <c r="S264" s="26">
        <f t="shared" si="37"/>
        <v>15</v>
      </c>
    </row>
    <row r="265" spans="2:19" x14ac:dyDescent="0.3">
      <c r="B265" s="24">
        <v>72635</v>
      </c>
      <c r="C265" s="25">
        <v>33</v>
      </c>
      <c r="D265" s="25">
        <v>4</v>
      </c>
      <c r="E265" s="25">
        <v>1</v>
      </c>
      <c r="F265" s="25">
        <v>6</v>
      </c>
      <c r="G265" s="25">
        <v>23</v>
      </c>
      <c r="H265" s="25">
        <v>4.2</v>
      </c>
      <c r="I265" s="25">
        <v>0.19</v>
      </c>
      <c r="J265" s="25">
        <v>0.77</v>
      </c>
      <c r="K265" s="26">
        <v>1</v>
      </c>
      <c r="L265" s="25">
        <f t="shared" si="32"/>
        <v>-1.2167231480786365</v>
      </c>
      <c r="M265" s="25">
        <f t="shared" si="38"/>
        <v>0.22851362968971273</v>
      </c>
      <c r="N265" s="25">
        <f t="shared" si="33"/>
        <v>0.22851362968971273</v>
      </c>
      <c r="O265" s="25">
        <f t="shared" si="34"/>
        <v>-1.476159421894121</v>
      </c>
      <c r="P265" s="25">
        <f t="shared" si="35"/>
        <v>0</v>
      </c>
      <c r="Q265" s="25">
        <f t="shared" ref="Q265:Q328" si="39">28.8539*LN((1-M265)/(M265))+487.123</f>
        <v>522.23020804234613</v>
      </c>
      <c r="R265" s="25">
        <f t="shared" si="36"/>
        <v>6</v>
      </c>
      <c r="S265" s="26">
        <f t="shared" si="37"/>
        <v>13</v>
      </c>
    </row>
    <row r="266" spans="2:19" x14ac:dyDescent="0.3">
      <c r="B266" s="24">
        <v>72704</v>
      </c>
      <c r="C266" s="25">
        <v>19</v>
      </c>
      <c r="D266" s="25">
        <v>1</v>
      </c>
      <c r="E266" s="25">
        <v>1</v>
      </c>
      <c r="F266" s="25">
        <v>0</v>
      </c>
      <c r="G266" s="25">
        <v>16</v>
      </c>
      <c r="H266" s="25">
        <v>3.4</v>
      </c>
      <c r="I266" s="25">
        <v>0.31</v>
      </c>
      <c r="J266" s="25">
        <v>0.24</v>
      </c>
      <c r="K266" s="26">
        <v>1</v>
      </c>
      <c r="L266" s="25">
        <f t="shared" si="32"/>
        <v>-0.59632725920290386</v>
      </c>
      <c r="M266" s="25">
        <f t="shared" si="38"/>
        <v>0.35518440778939714</v>
      </c>
      <c r="N266" s="25">
        <f t="shared" si="33"/>
        <v>0.35518440778939714</v>
      </c>
      <c r="O266" s="25">
        <f t="shared" si="34"/>
        <v>-1.0351181658169328</v>
      </c>
      <c r="P266" s="25">
        <f t="shared" si="35"/>
        <v>0</v>
      </c>
      <c r="Q266" s="25">
        <f t="shared" si="39"/>
        <v>504.32936710431466</v>
      </c>
      <c r="R266" s="25">
        <f t="shared" si="36"/>
        <v>7</v>
      </c>
      <c r="S266" s="26">
        <f t="shared" si="37"/>
        <v>14</v>
      </c>
    </row>
    <row r="267" spans="2:19" x14ac:dyDescent="0.3">
      <c r="B267" s="24">
        <v>72756</v>
      </c>
      <c r="C267" s="25">
        <v>29</v>
      </c>
      <c r="D267" s="25">
        <v>3</v>
      </c>
      <c r="E267" s="25">
        <v>5</v>
      </c>
      <c r="F267" s="25">
        <v>5</v>
      </c>
      <c r="G267" s="25">
        <v>52</v>
      </c>
      <c r="H267" s="25">
        <v>16.8</v>
      </c>
      <c r="I267" s="25">
        <v>5.63</v>
      </c>
      <c r="J267" s="25">
        <v>3.1</v>
      </c>
      <c r="K267" s="26">
        <v>0</v>
      </c>
      <c r="L267" s="25">
        <f t="shared" si="32"/>
        <v>1.9480428423984912</v>
      </c>
      <c r="M267" s="25">
        <f t="shared" si="38"/>
        <v>0.87523307684053187</v>
      </c>
      <c r="N267" s="25">
        <f t="shared" si="33"/>
        <v>0.12476692315946813</v>
      </c>
      <c r="O267" s="25">
        <f t="shared" si="34"/>
        <v>-2.0813078969621093</v>
      </c>
      <c r="P267" s="25">
        <f t="shared" si="35"/>
        <v>1</v>
      </c>
      <c r="Q267" s="25">
        <f t="shared" si="39"/>
        <v>430.91436662971813</v>
      </c>
      <c r="R267" s="25">
        <f t="shared" si="36"/>
        <v>8</v>
      </c>
      <c r="S267" s="26">
        <f t="shared" si="37"/>
        <v>16</v>
      </c>
    </row>
    <row r="268" spans="2:19" x14ac:dyDescent="0.3">
      <c r="B268" s="24">
        <v>72803</v>
      </c>
      <c r="C268" s="25">
        <v>70</v>
      </c>
      <c r="D268" s="25">
        <v>3</v>
      </c>
      <c r="E268" s="25">
        <v>48</v>
      </c>
      <c r="F268" s="25">
        <v>25</v>
      </c>
      <c r="G268" s="25">
        <v>165</v>
      </c>
      <c r="H268" s="25">
        <v>14.8</v>
      </c>
      <c r="I268" s="25">
        <v>0.56000000000000005</v>
      </c>
      <c r="J268" s="25">
        <v>23.86</v>
      </c>
      <c r="K268" s="26">
        <v>0</v>
      </c>
      <c r="L268" s="25">
        <f t="shared" si="32"/>
        <v>-11.371648712021344</v>
      </c>
      <c r="M268" s="25">
        <f t="shared" si="38"/>
        <v>1.1517300872759149E-5</v>
      </c>
      <c r="N268" s="25">
        <f t="shared" si="33"/>
        <v>0.99998848269912721</v>
      </c>
      <c r="O268" s="25">
        <f t="shared" si="34"/>
        <v>-1.1517367197406525E-5</v>
      </c>
      <c r="P268" s="25">
        <f t="shared" si="35"/>
        <v>0</v>
      </c>
      <c r="Q268" s="25">
        <f t="shared" si="39"/>
        <v>815.23941477179255</v>
      </c>
      <c r="R268" s="25">
        <f t="shared" si="36"/>
        <v>1</v>
      </c>
      <c r="S268" s="26">
        <f t="shared" si="37"/>
        <v>1</v>
      </c>
    </row>
    <row r="269" spans="2:19" x14ac:dyDescent="0.3">
      <c r="B269" s="24">
        <v>72806</v>
      </c>
      <c r="C269" s="25">
        <v>44</v>
      </c>
      <c r="D269" s="25">
        <v>1</v>
      </c>
      <c r="E269" s="25">
        <v>22</v>
      </c>
      <c r="F269" s="25">
        <v>8</v>
      </c>
      <c r="G269" s="25">
        <v>93</v>
      </c>
      <c r="H269" s="25">
        <v>9</v>
      </c>
      <c r="I269" s="25">
        <v>4.38</v>
      </c>
      <c r="J269" s="25">
        <v>3.99</v>
      </c>
      <c r="K269" s="26">
        <v>0</v>
      </c>
      <c r="L269" s="25">
        <f t="shared" si="32"/>
        <v>-3.550764710146423</v>
      </c>
      <c r="M269" s="25">
        <f t="shared" si="38"/>
        <v>2.7901824821679168E-2</v>
      </c>
      <c r="N269" s="25">
        <f t="shared" si="33"/>
        <v>0.97209817517832087</v>
      </c>
      <c r="O269" s="25">
        <f t="shared" si="34"/>
        <v>-2.8298476352307363E-2</v>
      </c>
      <c r="P269" s="25">
        <f t="shared" si="35"/>
        <v>0</v>
      </c>
      <c r="Q269" s="25">
        <f t="shared" si="39"/>
        <v>589.57640987009381</v>
      </c>
      <c r="R269" s="25">
        <f t="shared" si="36"/>
        <v>4</v>
      </c>
      <c r="S269" s="26">
        <f t="shared" si="37"/>
        <v>8</v>
      </c>
    </row>
    <row r="270" spans="2:19" x14ac:dyDescent="0.3">
      <c r="B270" s="24">
        <v>72846</v>
      </c>
      <c r="C270" s="25">
        <v>40</v>
      </c>
      <c r="D270" s="25">
        <v>2</v>
      </c>
      <c r="E270" s="25">
        <v>20</v>
      </c>
      <c r="F270" s="25">
        <v>10</v>
      </c>
      <c r="G270" s="25">
        <v>117</v>
      </c>
      <c r="H270" s="25">
        <v>11.9</v>
      </c>
      <c r="I270" s="25">
        <v>4.9400000000000004</v>
      </c>
      <c r="J270" s="25">
        <v>8.98</v>
      </c>
      <c r="K270" s="26">
        <v>0</v>
      </c>
      <c r="L270" s="25">
        <f t="shared" si="32"/>
        <v>-2.4454913375592695</v>
      </c>
      <c r="M270" s="25">
        <f t="shared" si="38"/>
        <v>7.9768884761606956E-2</v>
      </c>
      <c r="N270" s="25">
        <f t="shared" si="33"/>
        <v>0.92023111523839307</v>
      </c>
      <c r="O270" s="25">
        <f t="shared" si="34"/>
        <v>-8.3130428271911597E-2</v>
      </c>
      <c r="P270" s="25">
        <f t="shared" si="35"/>
        <v>0</v>
      </c>
      <c r="Q270" s="25">
        <f t="shared" si="39"/>
        <v>557.68496250480143</v>
      </c>
      <c r="R270" s="25">
        <f t="shared" si="36"/>
        <v>5</v>
      </c>
      <c r="S270" s="26">
        <f t="shared" si="37"/>
        <v>10</v>
      </c>
    </row>
    <row r="271" spans="2:19" x14ac:dyDescent="0.3">
      <c r="B271" s="24">
        <v>72860</v>
      </c>
      <c r="C271" s="25">
        <v>21</v>
      </c>
      <c r="D271" s="25">
        <v>2</v>
      </c>
      <c r="E271" s="25">
        <v>1</v>
      </c>
      <c r="F271" s="25">
        <v>1</v>
      </c>
      <c r="G271" s="25">
        <v>23</v>
      </c>
      <c r="H271" s="25">
        <v>7.4</v>
      </c>
      <c r="I271" s="25">
        <v>0.26</v>
      </c>
      <c r="J271" s="25">
        <v>1.44</v>
      </c>
      <c r="K271" s="26">
        <v>1</v>
      </c>
      <c r="L271" s="25">
        <f t="shared" si="32"/>
        <v>-0.31899683475496249</v>
      </c>
      <c r="M271" s="25">
        <f t="shared" si="38"/>
        <v>0.42092024634428749</v>
      </c>
      <c r="N271" s="25">
        <f t="shared" si="33"/>
        <v>0.42092024634428749</v>
      </c>
      <c r="O271" s="25">
        <f t="shared" si="34"/>
        <v>-0.86531190185765972</v>
      </c>
      <c r="P271" s="25">
        <f t="shared" si="35"/>
        <v>1</v>
      </c>
      <c r="Q271" s="25">
        <f t="shared" si="39"/>
        <v>496.32730277033619</v>
      </c>
      <c r="R271" s="25">
        <f t="shared" si="36"/>
        <v>7</v>
      </c>
      <c r="S271" s="26">
        <f t="shared" si="37"/>
        <v>14</v>
      </c>
    </row>
    <row r="272" spans="2:19" x14ac:dyDescent="0.3">
      <c r="B272" s="24">
        <v>72954</v>
      </c>
      <c r="C272" s="25">
        <v>43</v>
      </c>
      <c r="D272" s="25">
        <v>2</v>
      </c>
      <c r="E272" s="25">
        <v>8</v>
      </c>
      <c r="F272" s="25">
        <v>11</v>
      </c>
      <c r="G272" s="25">
        <v>48</v>
      </c>
      <c r="H272" s="25">
        <v>9.6999999999999993</v>
      </c>
      <c r="I272" s="25">
        <v>1.32</v>
      </c>
      <c r="J272" s="25">
        <v>3.34</v>
      </c>
      <c r="K272" s="26">
        <v>0</v>
      </c>
      <c r="L272" s="25">
        <f t="shared" si="32"/>
        <v>-1.9190785756117426</v>
      </c>
      <c r="M272" s="25">
        <f t="shared" si="38"/>
        <v>0.12796435234194334</v>
      </c>
      <c r="N272" s="25">
        <f t="shared" si="33"/>
        <v>0.87203564765805663</v>
      </c>
      <c r="O272" s="25">
        <f t="shared" si="34"/>
        <v>-0.13692497556692776</v>
      </c>
      <c r="P272" s="25">
        <f t="shared" si="35"/>
        <v>0</v>
      </c>
      <c r="Q272" s="25">
        <f t="shared" si="39"/>
        <v>542.49590131284367</v>
      </c>
      <c r="R272" s="25">
        <f t="shared" si="36"/>
        <v>6</v>
      </c>
      <c r="S272" s="26">
        <f t="shared" si="37"/>
        <v>11</v>
      </c>
    </row>
    <row r="273" spans="2:19" x14ac:dyDescent="0.3">
      <c r="B273" s="24">
        <v>73016</v>
      </c>
      <c r="C273" s="25">
        <v>27</v>
      </c>
      <c r="D273" s="25">
        <v>2</v>
      </c>
      <c r="E273" s="25">
        <v>3</v>
      </c>
      <c r="F273" s="25">
        <v>4</v>
      </c>
      <c r="G273" s="25">
        <v>28</v>
      </c>
      <c r="H273" s="25">
        <v>4.2</v>
      </c>
      <c r="I273" s="25">
        <v>0.54</v>
      </c>
      <c r="J273" s="25">
        <v>0.64</v>
      </c>
      <c r="K273" s="26">
        <v>0</v>
      </c>
      <c r="L273" s="25">
        <f t="shared" si="32"/>
        <v>-1.2039752488640867</v>
      </c>
      <c r="M273" s="25">
        <f t="shared" si="38"/>
        <v>0.2307687968278328</v>
      </c>
      <c r="N273" s="25">
        <f t="shared" si="33"/>
        <v>0.7692312031721672</v>
      </c>
      <c r="O273" s="25">
        <f t="shared" si="34"/>
        <v>-0.26236370034383283</v>
      </c>
      <c r="P273" s="25">
        <f t="shared" si="35"/>
        <v>0</v>
      </c>
      <c r="Q273" s="25">
        <f t="shared" si="39"/>
        <v>521.86238143319952</v>
      </c>
      <c r="R273" s="25">
        <f t="shared" si="36"/>
        <v>6</v>
      </c>
      <c r="S273" s="26">
        <f t="shared" si="37"/>
        <v>13</v>
      </c>
    </row>
    <row r="274" spans="2:19" x14ac:dyDescent="0.3">
      <c r="B274" s="24">
        <v>73083</v>
      </c>
      <c r="C274" s="25">
        <v>21</v>
      </c>
      <c r="D274" s="25">
        <v>3</v>
      </c>
      <c r="E274" s="25">
        <v>0</v>
      </c>
      <c r="F274" s="25">
        <v>1</v>
      </c>
      <c r="G274" s="25">
        <v>21</v>
      </c>
      <c r="H274" s="25">
        <v>10.4</v>
      </c>
      <c r="I274" s="25">
        <v>1.54</v>
      </c>
      <c r="J274" s="25">
        <v>0.65</v>
      </c>
      <c r="K274" s="26">
        <v>0</v>
      </c>
      <c r="L274" s="25">
        <f t="shared" si="32"/>
        <v>0.73876617191345084</v>
      </c>
      <c r="M274" s="25">
        <f t="shared" si="38"/>
        <v>0.67672599310799952</v>
      </c>
      <c r="N274" s="25">
        <f t="shared" si="33"/>
        <v>0.32327400689200048</v>
      </c>
      <c r="O274" s="25">
        <f t="shared" si="34"/>
        <v>-1.129254996827211</v>
      </c>
      <c r="P274" s="25">
        <f t="shared" si="35"/>
        <v>1</v>
      </c>
      <c r="Q274" s="25">
        <f t="shared" si="39"/>
        <v>465.80671475222647</v>
      </c>
      <c r="R274" s="25">
        <f t="shared" si="36"/>
        <v>8</v>
      </c>
      <c r="S274" s="26">
        <f t="shared" si="37"/>
        <v>15</v>
      </c>
    </row>
    <row r="275" spans="2:19" x14ac:dyDescent="0.3">
      <c r="B275" s="24">
        <v>73188</v>
      </c>
      <c r="C275" s="25">
        <v>29</v>
      </c>
      <c r="D275" s="25">
        <v>2</v>
      </c>
      <c r="E275" s="25">
        <v>3</v>
      </c>
      <c r="F275" s="25">
        <v>5</v>
      </c>
      <c r="G275" s="25">
        <v>45</v>
      </c>
      <c r="H275" s="25">
        <v>14.1</v>
      </c>
      <c r="I275" s="25">
        <v>1.68</v>
      </c>
      <c r="J275" s="25">
        <v>4.66</v>
      </c>
      <c r="K275" s="26">
        <v>1</v>
      </c>
      <c r="L275" s="25">
        <f t="shared" si="32"/>
        <v>0.35140952907682205</v>
      </c>
      <c r="M275" s="25">
        <f t="shared" si="38"/>
        <v>0.58695934426395391</v>
      </c>
      <c r="N275" s="25">
        <f t="shared" si="33"/>
        <v>0.58695934426395391</v>
      </c>
      <c r="O275" s="25">
        <f t="shared" si="34"/>
        <v>-0.53279972175033241</v>
      </c>
      <c r="P275" s="25">
        <f t="shared" si="35"/>
        <v>1</v>
      </c>
      <c r="Q275" s="25">
        <f t="shared" si="39"/>
        <v>476.98346458897026</v>
      </c>
      <c r="R275" s="25">
        <f t="shared" si="36"/>
        <v>7</v>
      </c>
      <c r="S275" s="26">
        <f t="shared" si="37"/>
        <v>15</v>
      </c>
    </row>
    <row r="276" spans="2:19" x14ac:dyDescent="0.3">
      <c r="B276" s="24">
        <v>73525</v>
      </c>
      <c r="C276" s="25">
        <v>41</v>
      </c>
      <c r="D276" s="25">
        <v>2</v>
      </c>
      <c r="E276" s="25">
        <v>2</v>
      </c>
      <c r="F276" s="25">
        <v>10</v>
      </c>
      <c r="G276" s="25">
        <v>40</v>
      </c>
      <c r="H276" s="25">
        <v>7.9</v>
      </c>
      <c r="I276" s="25">
        <v>0.31</v>
      </c>
      <c r="J276" s="25">
        <v>2.85</v>
      </c>
      <c r="K276" s="26">
        <v>0</v>
      </c>
      <c r="L276" s="25">
        <f t="shared" si="32"/>
        <v>-1.1577219817519491</v>
      </c>
      <c r="M276" s="25">
        <f t="shared" si="38"/>
        <v>0.23908145933348904</v>
      </c>
      <c r="N276" s="25">
        <f t="shared" si="33"/>
        <v>0.76091854066651099</v>
      </c>
      <c r="O276" s="25">
        <f t="shared" si="34"/>
        <v>-0.27322896933806623</v>
      </c>
      <c r="P276" s="25">
        <f t="shared" si="35"/>
        <v>0</v>
      </c>
      <c r="Q276" s="25">
        <f t="shared" si="39"/>
        <v>520.52779428927261</v>
      </c>
      <c r="R276" s="25">
        <f t="shared" si="36"/>
        <v>6</v>
      </c>
      <c r="S276" s="26">
        <f t="shared" si="37"/>
        <v>13</v>
      </c>
    </row>
    <row r="277" spans="2:19" x14ac:dyDescent="0.3">
      <c r="B277" s="24">
        <v>73537</v>
      </c>
      <c r="C277" s="25">
        <v>28</v>
      </c>
      <c r="D277" s="25">
        <v>4</v>
      </c>
      <c r="E277" s="25">
        <v>5</v>
      </c>
      <c r="F277" s="25">
        <v>3</v>
      </c>
      <c r="G277" s="25">
        <v>30</v>
      </c>
      <c r="H277" s="25">
        <v>7</v>
      </c>
      <c r="I277" s="25">
        <v>0.46</v>
      </c>
      <c r="J277" s="25">
        <v>1.64</v>
      </c>
      <c r="K277" s="26">
        <v>0</v>
      </c>
      <c r="L277" s="25">
        <f t="shared" si="32"/>
        <v>-1.4856892551730909</v>
      </c>
      <c r="M277" s="25">
        <f t="shared" si="38"/>
        <v>0.1845696284023165</v>
      </c>
      <c r="N277" s="25">
        <f t="shared" si="33"/>
        <v>0.8154303715976835</v>
      </c>
      <c r="O277" s="25">
        <f t="shared" si="34"/>
        <v>-0.20403924180759875</v>
      </c>
      <c r="P277" s="25">
        <f t="shared" si="35"/>
        <v>0</v>
      </c>
      <c r="Q277" s="25">
        <f t="shared" si="39"/>
        <v>529.99092919983889</v>
      </c>
      <c r="R277" s="25">
        <f t="shared" si="36"/>
        <v>6</v>
      </c>
      <c r="S277" s="26">
        <f t="shared" si="37"/>
        <v>12</v>
      </c>
    </row>
    <row r="278" spans="2:19" x14ac:dyDescent="0.3">
      <c r="B278" s="24">
        <v>73591</v>
      </c>
      <c r="C278" s="25">
        <v>48</v>
      </c>
      <c r="D278" s="25">
        <v>2</v>
      </c>
      <c r="E278" s="25">
        <v>5</v>
      </c>
      <c r="F278" s="25">
        <v>10</v>
      </c>
      <c r="G278" s="25">
        <v>43</v>
      </c>
      <c r="H278" s="25">
        <v>6.9</v>
      </c>
      <c r="I278" s="25">
        <v>2.2599999999999998</v>
      </c>
      <c r="J278" s="25">
        <v>0.7</v>
      </c>
      <c r="K278" s="26">
        <v>1</v>
      </c>
      <c r="L278" s="25">
        <f t="shared" si="32"/>
        <v>-1.216892803777627</v>
      </c>
      <c r="M278" s="25">
        <f t="shared" si="38"/>
        <v>0.22848372159030114</v>
      </c>
      <c r="N278" s="25">
        <f t="shared" si="33"/>
        <v>0.22848372159030114</v>
      </c>
      <c r="O278" s="25">
        <f t="shared" si="34"/>
        <v>-1.4762903114906165</v>
      </c>
      <c r="P278" s="25">
        <f t="shared" si="35"/>
        <v>0</v>
      </c>
      <c r="Q278" s="25">
        <f t="shared" si="39"/>
        <v>522.23510327091924</v>
      </c>
      <c r="R278" s="25">
        <f t="shared" si="36"/>
        <v>6</v>
      </c>
      <c r="S278" s="26">
        <f t="shared" si="37"/>
        <v>13</v>
      </c>
    </row>
    <row r="279" spans="2:19" x14ac:dyDescent="0.3">
      <c r="B279" s="24">
        <v>73650</v>
      </c>
      <c r="C279" s="25">
        <v>25</v>
      </c>
      <c r="D279" s="25">
        <v>5</v>
      </c>
      <c r="E279" s="25">
        <v>0</v>
      </c>
      <c r="F279" s="25">
        <v>3</v>
      </c>
      <c r="G279" s="25">
        <v>66</v>
      </c>
      <c r="H279" s="25">
        <v>2.8</v>
      </c>
      <c r="I279" s="25">
        <v>0.9</v>
      </c>
      <c r="J279" s="25">
        <v>0.94</v>
      </c>
      <c r="K279" s="26">
        <v>0</v>
      </c>
      <c r="L279" s="25">
        <f t="shared" si="32"/>
        <v>-0.56272586768979982</v>
      </c>
      <c r="M279" s="25">
        <f t="shared" si="38"/>
        <v>0.36291698143045276</v>
      </c>
      <c r="N279" s="25">
        <f t="shared" si="33"/>
        <v>0.6370830185695473</v>
      </c>
      <c r="O279" s="25">
        <f t="shared" si="34"/>
        <v>-0.45085530447713368</v>
      </c>
      <c r="P279" s="25">
        <f t="shared" si="35"/>
        <v>0</v>
      </c>
      <c r="Q279" s="25">
        <f t="shared" si="39"/>
        <v>503.35983591373474</v>
      </c>
      <c r="R279" s="25">
        <f t="shared" si="36"/>
        <v>7</v>
      </c>
      <c r="S279" s="26">
        <f t="shared" si="37"/>
        <v>14</v>
      </c>
    </row>
    <row r="280" spans="2:19" x14ac:dyDescent="0.3">
      <c r="B280" s="24">
        <v>73703</v>
      </c>
      <c r="C280" s="25">
        <v>41</v>
      </c>
      <c r="D280" s="25">
        <v>2</v>
      </c>
      <c r="E280" s="25">
        <v>3</v>
      </c>
      <c r="F280" s="25">
        <v>7</v>
      </c>
      <c r="G280" s="25">
        <v>62</v>
      </c>
      <c r="H280" s="25">
        <v>7</v>
      </c>
      <c r="I280" s="25">
        <v>2.89</v>
      </c>
      <c r="J280" s="25">
        <v>1.45</v>
      </c>
      <c r="K280" s="26">
        <v>1</v>
      </c>
      <c r="L280" s="25">
        <f t="shared" si="32"/>
        <v>-0.18401114584453715</v>
      </c>
      <c r="M280" s="25">
        <f t="shared" si="38"/>
        <v>0.45412658043824705</v>
      </c>
      <c r="N280" s="25">
        <f t="shared" si="33"/>
        <v>0.45412658043824705</v>
      </c>
      <c r="O280" s="25">
        <f t="shared" si="34"/>
        <v>-0.78937930826351377</v>
      </c>
      <c r="P280" s="25">
        <f t="shared" si="35"/>
        <v>1</v>
      </c>
      <c r="Q280" s="25">
        <f t="shared" si="39"/>
        <v>492.4324392010837</v>
      </c>
      <c r="R280" s="25">
        <f t="shared" si="36"/>
        <v>7</v>
      </c>
      <c r="S280" s="26">
        <f t="shared" si="37"/>
        <v>14</v>
      </c>
    </row>
    <row r="281" spans="2:19" x14ac:dyDescent="0.3">
      <c r="B281" s="24">
        <v>73741</v>
      </c>
      <c r="C281" s="25">
        <v>22</v>
      </c>
      <c r="D281" s="25">
        <v>2</v>
      </c>
      <c r="E281" s="25">
        <v>1</v>
      </c>
      <c r="F281" s="25">
        <v>2</v>
      </c>
      <c r="G281" s="25">
        <v>24</v>
      </c>
      <c r="H281" s="25">
        <v>16.100000000000001</v>
      </c>
      <c r="I281" s="25">
        <v>0.8</v>
      </c>
      <c r="J281" s="25">
        <v>3.07</v>
      </c>
      <c r="K281" s="26">
        <v>0</v>
      </c>
      <c r="L281" s="25">
        <f t="shared" si="32"/>
        <v>0.79057273092021862</v>
      </c>
      <c r="M281" s="25">
        <f t="shared" si="38"/>
        <v>0.68795429378603024</v>
      </c>
      <c r="N281" s="25">
        <f t="shared" si="33"/>
        <v>0.31204570621396976</v>
      </c>
      <c r="O281" s="25">
        <f t="shared" si="34"/>
        <v>-1.1646056076263491</v>
      </c>
      <c r="P281" s="25">
        <f t="shared" si="35"/>
        <v>1</v>
      </c>
      <c r="Q281" s="25">
        <f t="shared" si="39"/>
        <v>464.31189347930109</v>
      </c>
      <c r="R281" s="25">
        <f t="shared" si="36"/>
        <v>8</v>
      </c>
      <c r="S281" s="26">
        <f t="shared" si="37"/>
        <v>15</v>
      </c>
    </row>
    <row r="282" spans="2:19" x14ac:dyDescent="0.3">
      <c r="B282" s="24">
        <v>73764</v>
      </c>
      <c r="C282" s="25">
        <v>47</v>
      </c>
      <c r="D282" s="25">
        <v>3</v>
      </c>
      <c r="E282" s="25">
        <v>8</v>
      </c>
      <c r="F282" s="25">
        <v>11</v>
      </c>
      <c r="G282" s="25">
        <v>43</v>
      </c>
      <c r="H282" s="25">
        <v>11.8</v>
      </c>
      <c r="I282" s="25">
        <v>2.27</v>
      </c>
      <c r="J282" s="25">
        <v>2.8</v>
      </c>
      <c r="K282" s="26">
        <v>0</v>
      </c>
      <c r="L282" s="25">
        <f t="shared" si="32"/>
        <v>-1.414324540246628</v>
      </c>
      <c r="M282" s="25">
        <f t="shared" si="38"/>
        <v>0.19555285875880288</v>
      </c>
      <c r="N282" s="25">
        <f t="shared" si="33"/>
        <v>0.80444714124119709</v>
      </c>
      <c r="O282" s="25">
        <f t="shared" si="34"/>
        <v>-0.21760001857255973</v>
      </c>
      <c r="P282" s="25">
        <f t="shared" si="35"/>
        <v>0</v>
      </c>
      <c r="Q282" s="25">
        <f t="shared" si="39"/>
        <v>527.93177885182217</v>
      </c>
      <c r="R282" s="25">
        <f t="shared" si="36"/>
        <v>6</v>
      </c>
      <c r="S282" s="26">
        <f t="shared" si="37"/>
        <v>12</v>
      </c>
    </row>
    <row r="283" spans="2:19" x14ac:dyDescent="0.3">
      <c r="B283" s="24">
        <v>73864</v>
      </c>
      <c r="C283" s="25">
        <v>18</v>
      </c>
      <c r="D283" s="25">
        <v>2</v>
      </c>
      <c r="E283" s="25">
        <v>0</v>
      </c>
      <c r="F283" s="25">
        <v>0</v>
      </c>
      <c r="G283" s="25">
        <v>24</v>
      </c>
      <c r="H283" s="25">
        <v>5.3</v>
      </c>
      <c r="I283" s="25">
        <v>0.59</v>
      </c>
      <c r="J283" s="25">
        <v>0.68</v>
      </c>
      <c r="K283" s="26">
        <v>0</v>
      </c>
      <c r="L283" s="25">
        <f t="shared" si="32"/>
        <v>-6.7145615456384533E-2</v>
      </c>
      <c r="M283" s="25">
        <f t="shared" si="38"/>
        <v>0.48321990013266625</v>
      </c>
      <c r="N283" s="25">
        <f t="shared" si="33"/>
        <v>0.51678009986733375</v>
      </c>
      <c r="O283" s="25">
        <f t="shared" si="34"/>
        <v>-0.66013783370379486</v>
      </c>
      <c r="P283" s="25">
        <f t="shared" si="35"/>
        <v>1</v>
      </c>
      <c r="Q283" s="25">
        <f t="shared" si="39"/>
        <v>489.06041287381697</v>
      </c>
      <c r="R283" s="25">
        <f t="shared" si="36"/>
        <v>7</v>
      </c>
      <c r="S283" s="26">
        <f t="shared" si="37"/>
        <v>15</v>
      </c>
    </row>
    <row r="284" spans="2:19" x14ac:dyDescent="0.3">
      <c r="B284" s="24">
        <v>73907</v>
      </c>
      <c r="C284" s="25">
        <v>28</v>
      </c>
      <c r="D284" s="25">
        <v>5</v>
      </c>
      <c r="E284" s="25">
        <v>0</v>
      </c>
      <c r="F284" s="25">
        <v>4</v>
      </c>
      <c r="G284" s="25">
        <v>50</v>
      </c>
      <c r="H284" s="25">
        <v>8.6</v>
      </c>
      <c r="I284" s="25">
        <v>0.28000000000000003</v>
      </c>
      <c r="J284" s="25">
        <v>4.0199999999999996</v>
      </c>
      <c r="K284" s="26">
        <v>0</v>
      </c>
      <c r="L284" s="25">
        <f t="shared" si="32"/>
        <v>-0.30208657647267895</v>
      </c>
      <c r="M284" s="25">
        <f t="shared" si="38"/>
        <v>0.42504748163019751</v>
      </c>
      <c r="N284" s="25">
        <f t="shared" si="33"/>
        <v>0.57495251836980255</v>
      </c>
      <c r="O284" s="25">
        <f t="shared" si="34"/>
        <v>-0.5534678183426035</v>
      </c>
      <c r="P284" s="25">
        <f t="shared" si="35"/>
        <v>1</v>
      </c>
      <c r="Q284" s="25">
        <f t="shared" si="39"/>
        <v>495.83937586888504</v>
      </c>
      <c r="R284" s="25">
        <f t="shared" si="36"/>
        <v>7</v>
      </c>
      <c r="S284" s="26">
        <f t="shared" si="37"/>
        <v>14</v>
      </c>
    </row>
    <row r="285" spans="2:19" x14ac:dyDescent="0.3">
      <c r="B285" s="24">
        <v>73999</v>
      </c>
      <c r="C285" s="25">
        <v>41</v>
      </c>
      <c r="D285" s="25">
        <v>2</v>
      </c>
      <c r="E285" s="25">
        <v>5</v>
      </c>
      <c r="F285" s="25">
        <v>8</v>
      </c>
      <c r="G285" s="25">
        <v>37</v>
      </c>
      <c r="H285" s="25">
        <v>5.8</v>
      </c>
      <c r="I285" s="25">
        <v>0.35</v>
      </c>
      <c r="J285" s="25">
        <v>1.8</v>
      </c>
      <c r="K285" s="26">
        <v>0</v>
      </c>
      <c r="L285" s="25">
        <f t="shared" si="32"/>
        <v>-1.9886191913935141</v>
      </c>
      <c r="M285" s="25">
        <f t="shared" si="38"/>
        <v>0.12040302193657466</v>
      </c>
      <c r="N285" s="25">
        <f t="shared" si="33"/>
        <v>0.87959697806342529</v>
      </c>
      <c r="O285" s="25">
        <f t="shared" si="34"/>
        <v>-0.12829145588789492</v>
      </c>
      <c r="P285" s="25">
        <f t="shared" si="35"/>
        <v>0</v>
      </c>
      <c r="Q285" s="25">
        <f t="shared" si="39"/>
        <v>544.5024192865493</v>
      </c>
      <c r="R285" s="25">
        <f t="shared" si="36"/>
        <v>6</v>
      </c>
      <c r="S285" s="26">
        <f t="shared" si="37"/>
        <v>11</v>
      </c>
    </row>
    <row r="286" spans="2:19" x14ac:dyDescent="0.3">
      <c r="B286" s="24">
        <v>74006</v>
      </c>
      <c r="C286" s="25">
        <v>31</v>
      </c>
      <c r="D286" s="25">
        <v>2</v>
      </c>
      <c r="E286" s="25">
        <v>2</v>
      </c>
      <c r="F286" s="25">
        <v>7</v>
      </c>
      <c r="G286" s="25">
        <v>42</v>
      </c>
      <c r="H286" s="25">
        <v>10.3</v>
      </c>
      <c r="I286" s="25">
        <v>0.86</v>
      </c>
      <c r="J286" s="25">
        <v>3.47</v>
      </c>
      <c r="K286" s="26">
        <v>1</v>
      </c>
      <c r="L286" s="25">
        <f t="shared" si="32"/>
        <v>-0.32831531448247098</v>
      </c>
      <c r="M286" s="25">
        <f t="shared" si="38"/>
        <v>0.4186505894672975</v>
      </c>
      <c r="N286" s="25">
        <f t="shared" si="33"/>
        <v>0.4186505894672975</v>
      </c>
      <c r="O286" s="25">
        <f t="shared" si="34"/>
        <v>-0.87071862231334551</v>
      </c>
      <c r="P286" s="25">
        <f t="shared" si="35"/>
        <v>1</v>
      </c>
      <c r="Q286" s="25">
        <f t="shared" si="39"/>
        <v>496.59617725254577</v>
      </c>
      <c r="R286" s="25">
        <f t="shared" si="36"/>
        <v>7</v>
      </c>
      <c r="S286" s="26">
        <f t="shared" si="37"/>
        <v>14</v>
      </c>
    </row>
    <row r="287" spans="2:19" x14ac:dyDescent="0.3">
      <c r="B287" s="24">
        <v>74096</v>
      </c>
      <c r="C287" s="25">
        <v>19</v>
      </c>
      <c r="D287" s="25">
        <v>2</v>
      </c>
      <c r="E287" s="25">
        <v>0</v>
      </c>
      <c r="F287" s="25">
        <v>0</v>
      </c>
      <c r="G287" s="25">
        <v>21</v>
      </c>
      <c r="H287" s="25">
        <v>14.3</v>
      </c>
      <c r="I287" s="25">
        <v>1.22</v>
      </c>
      <c r="J287" s="25">
        <v>1.78</v>
      </c>
      <c r="K287" s="26">
        <v>0</v>
      </c>
      <c r="L287" s="25">
        <f t="shared" si="32"/>
        <v>1.1333151391181706</v>
      </c>
      <c r="M287" s="25">
        <f t="shared" si="38"/>
        <v>0.75645017726562425</v>
      </c>
      <c r="N287" s="25">
        <f t="shared" si="33"/>
        <v>0.24354982273437575</v>
      </c>
      <c r="O287" s="25">
        <f t="shared" si="34"/>
        <v>-1.4124337465706396</v>
      </c>
      <c r="P287" s="25">
        <f t="shared" si="35"/>
        <v>1</v>
      </c>
      <c r="Q287" s="25">
        <f t="shared" si="39"/>
        <v>454.42243830739824</v>
      </c>
      <c r="R287" s="25">
        <f t="shared" si="36"/>
        <v>8</v>
      </c>
      <c r="S287" s="26">
        <f t="shared" si="37"/>
        <v>16</v>
      </c>
    </row>
    <row r="288" spans="2:19" x14ac:dyDescent="0.3">
      <c r="B288" s="24">
        <v>74136</v>
      </c>
      <c r="C288" s="25">
        <v>31</v>
      </c>
      <c r="D288" s="25">
        <v>3</v>
      </c>
      <c r="E288" s="25">
        <v>1</v>
      </c>
      <c r="F288" s="25">
        <v>7</v>
      </c>
      <c r="G288" s="25">
        <v>28</v>
      </c>
      <c r="H288" s="25">
        <v>2</v>
      </c>
      <c r="I288" s="25">
        <v>0.17</v>
      </c>
      <c r="J288" s="25">
        <v>0.39</v>
      </c>
      <c r="K288" s="26">
        <v>0</v>
      </c>
      <c r="L288" s="25">
        <f t="shared" si="32"/>
        <v>-1.3897796485567637</v>
      </c>
      <c r="M288" s="25">
        <f t="shared" si="38"/>
        <v>0.19944293703136765</v>
      </c>
      <c r="N288" s="25">
        <f t="shared" si="33"/>
        <v>0.80055706296863238</v>
      </c>
      <c r="O288" s="25">
        <f t="shared" si="34"/>
        <v>-0.22244746492777093</v>
      </c>
      <c r="P288" s="25">
        <f t="shared" si="35"/>
        <v>0</v>
      </c>
      <c r="Q288" s="25">
        <f t="shared" si="39"/>
        <v>527.22356300149204</v>
      </c>
      <c r="R288" s="25">
        <f t="shared" si="36"/>
        <v>6</v>
      </c>
      <c r="S288" s="26">
        <f t="shared" si="37"/>
        <v>12</v>
      </c>
    </row>
    <row r="289" spans="2:19" x14ac:dyDescent="0.3">
      <c r="B289" s="24">
        <v>74169</v>
      </c>
      <c r="C289" s="25">
        <v>18</v>
      </c>
      <c r="D289" s="25">
        <v>2</v>
      </c>
      <c r="E289" s="25">
        <v>0</v>
      </c>
      <c r="F289" s="25">
        <v>0</v>
      </c>
      <c r="G289" s="25">
        <v>21</v>
      </c>
      <c r="H289" s="25">
        <v>21.8</v>
      </c>
      <c r="I289" s="25">
        <v>1.44</v>
      </c>
      <c r="J289" s="25">
        <v>3.14</v>
      </c>
      <c r="K289" s="26">
        <v>1</v>
      </c>
      <c r="L289" s="25">
        <f t="shared" si="32"/>
        <v>2.0405093933897436</v>
      </c>
      <c r="M289" s="25">
        <f t="shared" si="38"/>
        <v>0.88498512746906466</v>
      </c>
      <c r="N289" s="25">
        <f t="shared" si="33"/>
        <v>0.88498512746906466</v>
      </c>
      <c r="O289" s="25">
        <f t="shared" si="34"/>
        <v>-0.1221844392351161</v>
      </c>
      <c r="P289" s="25">
        <f t="shared" si="35"/>
        <v>1</v>
      </c>
      <c r="Q289" s="25">
        <f t="shared" si="39"/>
        <v>428.24634601407166</v>
      </c>
      <c r="R289" s="25">
        <f t="shared" si="36"/>
        <v>8</v>
      </c>
      <c r="S289" s="26">
        <f t="shared" si="37"/>
        <v>16</v>
      </c>
    </row>
    <row r="290" spans="2:19" x14ac:dyDescent="0.3">
      <c r="B290" s="24">
        <v>74209</v>
      </c>
      <c r="C290" s="25">
        <v>39</v>
      </c>
      <c r="D290" s="25">
        <v>2</v>
      </c>
      <c r="E290" s="25">
        <v>5</v>
      </c>
      <c r="F290" s="25">
        <v>5</v>
      </c>
      <c r="G290" s="25">
        <v>39</v>
      </c>
      <c r="H290" s="25">
        <v>4.2</v>
      </c>
      <c r="I290" s="25">
        <v>0.72</v>
      </c>
      <c r="J290" s="25">
        <v>0.92</v>
      </c>
      <c r="K290" s="26">
        <v>0</v>
      </c>
      <c r="L290" s="25">
        <f t="shared" si="32"/>
        <v>-1.8534893487572397</v>
      </c>
      <c r="M290" s="25">
        <f t="shared" si="38"/>
        <v>0.13546372779377971</v>
      </c>
      <c r="N290" s="25">
        <f t="shared" si="33"/>
        <v>0.86453627220622031</v>
      </c>
      <c r="O290" s="25">
        <f t="shared" si="34"/>
        <v>-0.14556201729974369</v>
      </c>
      <c r="P290" s="25">
        <f t="shared" si="35"/>
        <v>0</v>
      </c>
      <c r="Q290" s="25">
        <f t="shared" si="39"/>
        <v>540.60339632010653</v>
      </c>
      <c r="R290" s="25">
        <f t="shared" si="36"/>
        <v>6</v>
      </c>
      <c r="S290" s="26">
        <f t="shared" si="37"/>
        <v>11</v>
      </c>
    </row>
    <row r="291" spans="2:19" x14ac:dyDescent="0.3">
      <c r="B291" s="24">
        <v>74221</v>
      </c>
      <c r="C291" s="25">
        <v>20</v>
      </c>
      <c r="D291" s="25">
        <v>2</v>
      </c>
      <c r="E291" s="25">
        <v>0</v>
      </c>
      <c r="F291" s="25">
        <v>0</v>
      </c>
      <c r="G291" s="25">
        <v>17</v>
      </c>
      <c r="H291" s="25">
        <v>7.3</v>
      </c>
      <c r="I291" s="25">
        <v>0.56999999999999995</v>
      </c>
      <c r="J291" s="25">
        <v>0.67</v>
      </c>
      <c r="K291" s="26">
        <v>1</v>
      </c>
      <c r="L291" s="25">
        <f t="shared" si="32"/>
        <v>7.7631406626505639E-2</v>
      </c>
      <c r="M291" s="25">
        <f t="shared" si="38"/>
        <v>0.51939811052356077</v>
      </c>
      <c r="N291" s="25">
        <f t="shared" si="33"/>
        <v>0.51939811052356077</v>
      </c>
      <c r="O291" s="25">
        <f t="shared" si="34"/>
        <v>-0.65508461756611125</v>
      </c>
      <c r="P291" s="25">
        <f t="shared" si="35"/>
        <v>1</v>
      </c>
      <c r="Q291" s="25">
        <f t="shared" si="39"/>
        <v>484.88303115633943</v>
      </c>
      <c r="R291" s="25">
        <f t="shared" si="36"/>
        <v>7</v>
      </c>
      <c r="S291" s="26">
        <f t="shared" si="37"/>
        <v>15</v>
      </c>
    </row>
    <row r="292" spans="2:19" x14ac:dyDescent="0.3">
      <c r="B292" s="24">
        <v>74272</v>
      </c>
      <c r="C292" s="25">
        <v>31</v>
      </c>
      <c r="D292" s="25">
        <v>4</v>
      </c>
      <c r="E292" s="25">
        <v>8</v>
      </c>
      <c r="F292" s="25">
        <v>4</v>
      </c>
      <c r="G292" s="25">
        <v>29</v>
      </c>
      <c r="H292" s="25">
        <v>6.8</v>
      </c>
      <c r="I292" s="25">
        <v>1.1200000000000001</v>
      </c>
      <c r="J292" s="25">
        <v>0.85</v>
      </c>
      <c r="K292" s="26">
        <v>0</v>
      </c>
      <c r="L292" s="25">
        <f t="shared" si="32"/>
        <v>-1.989141468846515</v>
      </c>
      <c r="M292" s="25">
        <f t="shared" si="38"/>
        <v>0.1203477205155611</v>
      </c>
      <c r="N292" s="25">
        <f t="shared" si="33"/>
        <v>0.87965227948443891</v>
      </c>
      <c r="O292" s="25">
        <f t="shared" si="34"/>
        <v>-0.12822858654656133</v>
      </c>
      <c r="P292" s="25">
        <f t="shared" si="35"/>
        <v>0</v>
      </c>
      <c r="Q292" s="25">
        <f t="shared" si="39"/>
        <v>544.51748902795043</v>
      </c>
      <c r="R292" s="25">
        <f t="shared" si="36"/>
        <v>6</v>
      </c>
      <c r="S292" s="26">
        <f t="shared" si="37"/>
        <v>11</v>
      </c>
    </row>
    <row r="293" spans="2:19" x14ac:dyDescent="0.3">
      <c r="B293" s="24">
        <v>74287</v>
      </c>
      <c r="C293" s="25">
        <v>23</v>
      </c>
      <c r="D293" s="25">
        <v>1</v>
      </c>
      <c r="E293" s="25">
        <v>3</v>
      </c>
      <c r="F293" s="25">
        <v>1</v>
      </c>
      <c r="G293" s="25">
        <v>41</v>
      </c>
      <c r="H293" s="25">
        <v>5.5</v>
      </c>
      <c r="I293" s="25">
        <v>0.67</v>
      </c>
      <c r="J293" s="25">
        <v>1.58</v>
      </c>
      <c r="K293" s="26">
        <v>0</v>
      </c>
      <c r="L293" s="25">
        <f t="shared" si="32"/>
        <v>-0.7488211375887277</v>
      </c>
      <c r="M293" s="25">
        <f t="shared" si="38"/>
        <v>0.32107822328157148</v>
      </c>
      <c r="N293" s="25">
        <f t="shared" si="33"/>
        <v>0.67892177671842857</v>
      </c>
      <c r="O293" s="25">
        <f t="shared" si="34"/>
        <v>-0.38724936171463603</v>
      </c>
      <c r="P293" s="25">
        <f t="shared" si="35"/>
        <v>0</v>
      </c>
      <c r="Q293" s="25">
        <f t="shared" si="39"/>
        <v>508.72941022187138</v>
      </c>
      <c r="R293" s="25">
        <f t="shared" si="36"/>
        <v>7</v>
      </c>
      <c r="S293" s="26">
        <f t="shared" si="37"/>
        <v>14</v>
      </c>
    </row>
    <row r="294" spans="2:19" x14ac:dyDescent="0.3">
      <c r="B294" s="24">
        <v>74372</v>
      </c>
      <c r="C294" s="25">
        <v>25</v>
      </c>
      <c r="D294" s="25">
        <v>3</v>
      </c>
      <c r="E294" s="25">
        <v>3</v>
      </c>
      <c r="F294" s="25">
        <v>3</v>
      </c>
      <c r="G294" s="25">
        <v>58</v>
      </c>
      <c r="H294" s="25">
        <v>20.6</v>
      </c>
      <c r="I294" s="25">
        <v>3.5</v>
      </c>
      <c r="J294" s="25">
        <v>8.4499999999999993</v>
      </c>
      <c r="K294" s="26">
        <v>0</v>
      </c>
      <c r="L294" s="25">
        <f t="shared" si="32"/>
        <v>2.0574527736219941</v>
      </c>
      <c r="M294" s="25">
        <f t="shared" si="38"/>
        <v>0.88669851668083632</v>
      </c>
      <c r="N294" s="25">
        <f t="shared" si="33"/>
        <v>0.11330148331916368</v>
      </c>
      <c r="O294" s="25">
        <f t="shared" si="34"/>
        <v>-2.1777030190730309</v>
      </c>
      <c r="P294" s="25">
        <f t="shared" si="35"/>
        <v>1</v>
      </c>
      <c r="Q294" s="25">
        <f t="shared" si="39"/>
        <v>427.75746341518828</v>
      </c>
      <c r="R294" s="25">
        <f t="shared" si="36"/>
        <v>8</v>
      </c>
      <c r="S294" s="26">
        <f t="shared" si="37"/>
        <v>16</v>
      </c>
    </row>
    <row r="295" spans="2:19" x14ac:dyDescent="0.3">
      <c r="B295" s="24">
        <v>74378</v>
      </c>
      <c r="C295" s="25">
        <v>29</v>
      </c>
      <c r="D295" s="25">
        <v>4</v>
      </c>
      <c r="E295" s="25">
        <v>3</v>
      </c>
      <c r="F295" s="25">
        <v>1</v>
      </c>
      <c r="G295" s="25">
        <v>47</v>
      </c>
      <c r="H295" s="25">
        <v>2.9</v>
      </c>
      <c r="I295" s="25">
        <v>0.53</v>
      </c>
      <c r="J295" s="25">
        <v>0.83</v>
      </c>
      <c r="K295" s="26">
        <v>0</v>
      </c>
      <c r="L295" s="25">
        <f t="shared" si="32"/>
        <v>-1.3815550613571526</v>
      </c>
      <c r="M295" s="25">
        <f t="shared" si="38"/>
        <v>0.20075936619991266</v>
      </c>
      <c r="N295" s="25">
        <f t="shared" si="33"/>
        <v>0.79924063380008736</v>
      </c>
      <c r="O295" s="25">
        <f t="shared" si="34"/>
        <v>-0.22409320984705713</v>
      </c>
      <c r="P295" s="25">
        <f t="shared" si="35"/>
        <v>0</v>
      </c>
      <c r="Q295" s="25">
        <f t="shared" si="39"/>
        <v>526.98625158489313</v>
      </c>
      <c r="R295" s="25">
        <f t="shared" si="36"/>
        <v>6</v>
      </c>
      <c r="S295" s="26">
        <f t="shared" si="37"/>
        <v>12</v>
      </c>
    </row>
    <row r="296" spans="2:19" x14ac:dyDescent="0.3">
      <c r="B296" s="24">
        <v>74394</v>
      </c>
      <c r="C296" s="25">
        <v>38</v>
      </c>
      <c r="D296" s="25">
        <v>3</v>
      </c>
      <c r="E296" s="25">
        <v>15</v>
      </c>
      <c r="F296" s="25">
        <v>4</v>
      </c>
      <c r="G296" s="25">
        <v>136</v>
      </c>
      <c r="H296" s="25">
        <v>20.2</v>
      </c>
      <c r="I296" s="25">
        <v>6.76</v>
      </c>
      <c r="J296" s="25">
        <v>20.71</v>
      </c>
      <c r="K296" s="26">
        <v>1</v>
      </c>
      <c r="L296" s="25">
        <f t="shared" si="32"/>
        <v>0.85917169927630899</v>
      </c>
      <c r="M296" s="25">
        <f t="shared" si="38"/>
        <v>0.70248756954032643</v>
      </c>
      <c r="N296" s="25">
        <f t="shared" si="33"/>
        <v>0.70248756954032643</v>
      </c>
      <c r="O296" s="25">
        <f t="shared" si="34"/>
        <v>-0.35312757253530513</v>
      </c>
      <c r="P296" s="25">
        <f t="shared" si="35"/>
        <v>1</v>
      </c>
      <c r="Q296" s="25">
        <f t="shared" si="39"/>
        <v>462.33254570625132</v>
      </c>
      <c r="R296" s="25">
        <f t="shared" si="36"/>
        <v>8</v>
      </c>
      <c r="S296" s="26">
        <f t="shared" si="37"/>
        <v>16</v>
      </c>
    </row>
    <row r="297" spans="2:19" x14ac:dyDescent="0.3">
      <c r="B297" s="24">
        <v>74471</v>
      </c>
      <c r="C297" s="25">
        <v>39</v>
      </c>
      <c r="D297" s="25">
        <v>1</v>
      </c>
      <c r="E297" s="25">
        <v>8</v>
      </c>
      <c r="F297" s="25">
        <v>9</v>
      </c>
      <c r="G297" s="25">
        <v>41</v>
      </c>
      <c r="H297" s="25">
        <v>0.1</v>
      </c>
      <c r="I297" s="25">
        <v>0.03</v>
      </c>
      <c r="J297" s="25">
        <v>0.01</v>
      </c>
      <c r="K297" s="26">
        <v>0</v>
      </c>
      <c r="L297" s="25">
        <f t="shared" si="32"/>
        <v>-3.3668807531204452</v>
      </c>
      <c r="M297" s="25">
        <f t="shared" si="38"/>
        <v>3.3346710623372779E-2</v>
      </c>
      <c r="N297" s="25">
        <f t="shared" si="33"/>
        <v>0.9666532893766272</v>
      </c>
      <c r="O297" s="25">
        <f t="shared" si="34"/>
        <v>-3.3915390347338217E-2</v>
      </c>
      <c r="P297" s="25">
        <f t="shared" si="35"/>
        <v>0</v>
      </c>
      <c r="Q297" s="25">
        <f t="shared" si="39"/>
        <v>584.27064056246195</v>
      </c>
      <c r="R297" s="25">
        <f t="shared" si="36"/>
        <v>5</v>
      </c>
      <c r="S297" s="26">
        <f t="shared" si="37"/>
        <v>8</v>
      </c>
    </row>
    <row r="298" spans="2:19" x14ac:dyDescent="0.3">
      <c r="B298" s="24">
        <v>74498</v>
      </c>
      <c r="C298" s="25">
        <v>28</v>
      </c>
      <c r="D298" s="25">
        <v>4</v>
      </c>
      <c r="E298" s="25">
        <v>4</v>
      </c>
      <c r="F298" s="25">
        <v>4</v>
      </c>
      <c r="G298" s="25">
        <v>20</v>
      </c>
      <c r="H298" s="25">
        <v>15.5</v>
      </c>
      <c r="I298" s="25">
        <v>0.3</v>
      </c>
      <c r="J298" s="25">
        <v>2.8</v>
      </c>
      <c r="K298" s="26">
        <v>1</v>
      </c>
      <c r="L298" s="25">
        <f t="shared" si="32"/>
        <v>-0.49406041708266191</v>
      </c>
      <c r="M298" s="25">
        <f t="shared" si="38"/>
        <v>0.37893750472499205</v>
      </c>
      <c r="N298" s="25">
        <f t="shared" si="33"/>
        <v>0.37893750472499205</v>
      </c>
      <c r="O298" s="25">
        <f t="shared" si="34"/>
        <v>-0.97038398268113391</v>
      </c>
      <c r="P298" s="25">
        <f t="shared" si="35"/>
        <v>0</v>
      </c>
      <c r="Q298" s="25">
        <f t="shared" si="39"/>
        <v>501.3785698684614</v>
      </c>
      <c r="R298" s="25">
        <f t="shared" si="36"/>
        <v>7</v>
      </c>
      <c r="S298" s="26">
        <f t="shared" si="37"/>
        <v>14</v>
      </c>
    </row>
    <row r="299" spans="2:19" x14ac:dyDescent="0.3">
      <c r="B299" s="24">
        <v>74528</v>
      </c>
      <c r="C299" s="25">
        <v>40</v>
      </c>
      <c r="D299" s="25">
        <v>3</v>
      </c>
      <c r="E299" s="25">
        <v>10</v>
      </c>
      <c r="F299" s="25">
        <v>12</v>
      </c>
      <c r="G299" s="25">
        <v>38</v>
      </c>
      <c r="H299" s="25">
        <v>6.1</v>
      </c>
      <c r="I299" s="25">
        <v>0.92</v>
      </c>
      <c r="J299" s="25">
        <v>1.4</v>
      </c>
      <c r="K299" s="26">
        <v>0</v>
      </c>
      <c r="L299" s="25">
        <f t="shared" si="32"/>
        <v>-2.9918908002258253</v>
      </c>
      <c r="M299" s="25">
        <f t="shared" si="38"/>
        <v>4.7793567163599802E-2</v>
      </c>
      <c r="N299" s="25">
        <f t="shared" si="33"/>
        <v>0.95220643283640016</v>
      </c>
      <c r="O299" s="25">
        <f t="shared" si="34"/>
        <v>-4.8973426482723806E-2</v>
      </c>
      <c r="P299" s="25">
        <f t="shared" si="35"/>
        <v>0</v>
      </c>
      <c r="Q299" s="25">
        <f t="shared" si="39"/>
        <v>573.45071796063598</v>
      </c>
      <c r="R299" s="25">
        <f t="shared" si="36"/>
        <v>5</v>
      </c>
      <c r="S299" s="26">
        <f t="shared" si="37"/>
        <v>9</v>
      </c>
    </row>
    <row r="300" spans="2:19" x14ac:dyDescent="0.3">
      <c r="B300" s="24">
        <v>74547</v>
      </c>
      <c r="C300" s="25">
        <v>46</v>
      </c>
      <c r="D300" s="25">
        <v>3</v>
      </c>
      <c r="E300" s="25">
        <v>2</v>
      </c>
      <c r="F300" s="25">
        <v>13</v>
      </c>
      <c r="G300" s="25">
        <v>56</v>
      </c>
      <c r="H300" s="25">
        <v>2.2999999999999998</v>
      </c>
      <c r="I300" s="25">
        <v>0.41</v>
      </c>
      <c r="J300" s="25">
        <v>0.87</v>
      </c>
      <c r="K300" s="26">
        <v>0</v>
      </c>
      <c r="L300" s="25">
        <f t="shared" si="32"/>
        <v>-1.9736447288689898</v>
      </c>
      <c r="M300" s="25">
        <f t="shared" si="38"/>
        <v>0.12199794553353595</v>
      </c>
      <c r="N300" s="25">
        <f t="shared" si="33"/>
        <v>0.87800205446646407</v>
      </c>
      <c r="O300" s="25">
        <f t="shared" si="34"/>
        <v>-0.1301063454107329</v>
      </c>
      <c r="P300" s="25">
        <f t="shared" si="35"/>
        <v>0</v>
      </c>
      <c r="Q300" s="25">
        <f t="shared" si="39"/>
        <v>544.07034764231298</v>
      </c>
      <c r="R300" s="25">
        <f t="shared" si="36"/>
        <v>6</v>
      </c>
      <c r="S300" s="26">
        <f t="shared" si="37"/>
        <v>11</v>
      </c>
    </row>
    <row r="301" spans="2:19" x14ac:dyDescent="0.3">
      <c r="B301" s="24">
        <v>74589</v>
      </c>
      <c r="C301" s="25">
        <v>61</v>
      </c>
      <c r="D301" s="25">
        <v>1</v>
      </c>
      <c r="E301" s="25">
        <v>45</v>
      </c>
      <c r="F301" s="25">
        <v>22</v>
      </c>
      <c r="G301" s="25">
        <v>209</v>
      </c>
      <c r="H301" s="25">
        <v>10.9</v>
      </c>
      <c r="I301" s="25">
        <v>4.12</v>
      </c>
      <c r="J301" s="25">
        <v>18.66</v>
      </c>
      <c r="K301" s="26">
        <v>0</v>
      </c>
      <c r="L301" s="25">
        <f t="shared" si="32"/>
        <v>-9.1170360148275993</v>
      </c>
      <c r="M301" s="25">
        <f t="shared" si="38"/>
        <v>1.0976753040938363E-4</v>
      </c>
      <c r="N301" s="25">
        <f t="shared" si="33"/>
        <v>0.99989023246959063</v>
      </c>
      <c r="O301" s="25">
        <f t="shared" si="34"/>
        <v>-1.0977355530562804E-4</v>
      </c>
      <c r="P301" s="25">
        <f t="shared" si="35"/>
        <v>0</v>
      </c>
      <c r="Q301" s="25">
        <f t="shared" si="39"/>
        <v>750.18504546823408</v>
      </c>
      <c r="R301" s="25">
        <f t="shared" si="36"/>
        <v>1</v>
      </c>
      <c r="S301" s="26">
        <f t="shared" si="37"/>
        <v>1</v>
      </c>
    </row>
    <row r="302" spans="2:19" x14ac:dyDescent="0.3">
      <c r="B302" s="24">
        <v>74658</v>
      </c>
      <c r="C302" s="25">
        <v>49</v>
      </c>
      <c r="D302" s="25">
        <v>4</v>
      </c>
      <c r="E302" s="25">
        <v>18</v>
      </c>
      <c r="F302" s="25">
        <v>13</v>
      </c>
      <c r="G302" s="25">
        <v>182</v>
      </c>
      <c r="H302" s="25">
        <v>4.8</v>
      </c>
      <c r="I302" s="25">
        <v>0.94</v>
      </c>
      <c r="J302" s="25">
        <v>7.79</v>
      </c>
      <c r="K302" s="26">
        <v>0</v>
      </c>
      <c r="L302" s="25">
        <f t="shared" si="32"/>
        <v>-5.0097892868302454</v>
      </c>
      <c r="M302" s="25">
        <f t="shared" si="38"/>
        <v>6.6280844731844406E-3</v>
      </c>
      <c r="N302" s="25">
        <f t="shared" si="33"/>
        <v>0.99337191552681559</v>
      </c>
      <c r="O302" s="25">
        <f t="shared" si="34"/>
        <v>-6.6501477707158309E-3</v>
      </c>
      <c r="P302" s="25">
        <f t="shared" si="35"/>
        <v>0</v>
      </c>
      <c r="Q302" s="25">
        <f t="shared" si="39"/>
        <v>631.67495910327125</v>
      </c>
      <c r="R302" s="25">
        <f t="shared" si="36"/>
        <v>3</v>
      </c>
      <c r="S302" s="26">
        <f t="shared" si="37"/>
        <v>4</v>
      </c>
    </row>
    <row r="303" spans="2:19" x14ac:dyDescent="0.3">
      <c r="B303" s="24">
        <v>74677</v>
      </c>
      <c r="C303" s="25">
        <v>71</v>
      </c>
      <c r="D303" s="25">
        <v>2</v>
      </c>
      <c r="E303" s="25">
        <v>35</v>
      </c>
      <c r="F303" s="25">
        <v>19</v>
      </c>
      <c r="G303" s="25">
        <v>131</v>
      </c>
      <c r="H303" s="25">
        <v>11.6</v>
      </c>
      <c r="I303" s="25">
        <v>6.03</v>
      </c>
      <c r="J303" s="25">
        <v>9.16</v>
      </c>
      <c r="K303" s="26">
        <v>0</v>
      </c>
      <c r="L303" s="25">
        <f t="shared" si="32"/>
        <v>-6.3078190687755802</v>
      </c>
      <c r="M303" s="25">
        <f t="shared" si="38"/>
        <v>1.8186889156346772E-3</v>
      </c>
      <c r="N303" s="25">
        <f t="shared" si="33"/>
        <v>0.99818131108436536</v>
      </c>
      <c r="O303" s="25">
        <f t="shared" si="34"/>
        <v>-1.8203447382426096E-3</v>
      </c>
      <c r="P303" s="25">
        <f t="shared" si="35"/>
        <v>0</v>
      </c>
      <c r="Q303" s="25">
        <f t="shared" si="39"/>
        <v>669.12818062854376</v>
      </c>
      <c r="R303" s="25">
        <f t="shared" si="36"/>
        <v>2</v>
      </c>
      <c r="S303" s="26">
        <f t="shared" si="37"/>
        <v>1</v>
      </c>
    </row>
    <row r="304" spans="2:19" x14ac:dyDescent="0.3">
      <c r="B304" s="24">
        <v>95009</v>
      </c>
      <c r="C304" s="25">
        <v>20</v>
      </c>
      <c r="D304" s="25">
        <v>1</v>
      </c>
      <c r="E304" s="25">
        <v>2</v>
      </c>
      <c r="F304" s="25">
        <v>0</v>
      </c>
      <c r="G304" s="25">
        <v>20</v>
      </c>
      <c r="H304" s="25">
        <v>2.7</v>
      </c>
      <c r="I304" s="25">
        <v>0.2</v>
      </c>
      <c r="J304" s="25">
        <v>0.34</v>
      </c>
      <c r="K304" s="26">
        <v>1</v>
      </c>
      <c r="L304" s="25">
        <f t="shared" si="32"/>
        <v>-0.96261862773942286</v>
      </c>
      <c r="M304" s="25">
        <f t="shared" si="38"/>
        <v>0.27635420842616665</v>
      </c>
      <c r="N304" s="25">
        <f t="shared" si="33"/>
        <v>0.27635420842616665</v>
      </c>
      <c r="O304" s="25">
        <f t="shared" si="34"/>
        <v>-1.2860718722095676</v>
      </c>
      <c r="P304" s="25">
        <f t="shared" si="35"/>
        <v>0</v>
      </c>
      <c r="Q304" s="25">
        <f t="shared" si="39"/>
        <v>514.89830162293049</v>
      </c>
      <c r="R304" s="25">
        <f t="shared" si="36"/>
        <v>7</v>
      </c>
      <c r="S304" s="26">
        <f t="shared" si="37"/>
        <v>13</v>
      </c>
    </row>
    <row r="305" spans="2:19" x14ac:dyDescent="0.3">
      <c r="B305" s="24">
        <v>95034</v>
      </c>
      <c r="C305" s="25">
        <v>20</v>
      </c>
      <c r="D305" s="25">
        <v>3</v>
      </c>
      <c r="E305" s="25">
        <v>0</v>
      </c>
      <c r="F305" s="25">
        <v>0</v>
      </c>
      <c r="G305" s="25">
        <v>20</v>
      </c>
      <c r="H305" s="25">
        <v>11.3</v>
      </c>
      <c r="I305" s="25">
        <v>1.96</v>
      </c>
      <c r="J305" s="25">
        <v>0.3</v>
      </c>
      <c r="K305" s="26">
        <v>1</v>
      </c>
      <c r="L305" s="25">
        <f t="shared" si="32"/>
        <v>1.072550346138367</v>
      </c>
      <c r="M305" s="25">
        <f t="shared" si="38"/>
        <v>0.74508161851922527</v>
      </c>
      <c r="N305" s="25">
        <f t="shared" si="33"/>
        <v>0.74508161851922527</v>
      </c>
      <c r="O305" s="25">
        <f t="shared" si="34"/>
        <v>-0.29426151154393199</v>
      </c>
      <c r="P305" s="25">
        <f t="shared" si="35"/>
        <v>1</v>
      </c>
      <c r="Q305" s="25">
        <f t="shared" si="39"/>
        <v>456.17573956755814</v>
      </c>
      <c r="R305" s="25">
        <f t="shared" si="36"/>
        <v>8</v>
      </c>
      <c r="S305" s="26">
        <f t="shared" si="37"/>
        <v>16</v>
      </c>
    </row>
    <row r="306" spans="2:19" x14ac:dyDescent="0.3">
      <c r="B306" s="24">
        <v>95050</v>
      </c>
      <c r="C306" s="25">
        <v>18</v>
      </c>
      <c r="D306" s="25">
        <v>2</v>
      </c>
      <c r="E306" s="25">
        <v>0</v>
      </c>
      <c r="F306" s="25">
        <v>0</v>
      </c>
      <c r="G306" s="25">
        <v>29</v>
      </c>
      <c r="H306" s="25">
        <v>5.6</v>
      </c>
      <c r="I306" s="25">
        <v>0.9</v>
      </c>
      <c r="J306" s="25">
        <v>0.73</v>
      </c>
      <c r="K306" s="26">
        <v>0</v>
      </c>
      <c r="L306" s="25">
        <f t="shared" si="32"/>
        <v>0.11195934373030808</v>
      </c>
      <c r="M306" s="25">
        <f t="shared" si="38"/>
        <v>0.52796063506462421</v>
      </c>
      <c r="N306" s="25">
        <f t="shared" si="33"/>
        <v>0.47203936493537579</v>
      </c>
      <c r="O306" s="25">
        <f t="shared" si="34"/>
        <v>-0.75069289658737914</v>
      </c>
      <c r="P306" s="25">
        <f t="shared" si="35"/>
        <v>1</v>
      </c>
      <c r="Q306" s="25">
        <f t="shared" si="39"/>
        <v>483.89253629194008</v>
      </c>
      <c r="R306" s="25">
        <f t="shared" si="36"/>
        <v>7</v>
      </c>
      <c r="S306" s="26">
        <f t="shared" si="37"/>
        <v>15</v>
      </c>
    </row>
    <row r="307" spans="2:19" x14ac:dyDescent="0.3">
      <c r="B307" s="24">
        <v>95066</v>
      </c>
      <c r="C307" s="25">
        <v>32</v>
      </c>
      <c r="D307" s="25">
        <v>5</v>
      </c>
      <c r="E307" s="25">
        <v>3</v>
      </c>
      <c r="F307" s="25">
        <v>6</v>
      </c>
      <c r="G307" s="25">
        <v>59</v>
      </c>
      <c r="H307" s="25">
        <v>9</v>
      </c>
      <c r="I307" s="25">
        <v>1.85</v>
      </c>
      <c r="J307" s="25">
        <v>3.46</v>
      </c>
      <c r="K307" s="26">
        <v>0</v>
      </c>
      <c r="L307" s="25">
        <f t="shared" si="32"/>
        <v>-0.36085576727276208</v>
      </c>
      <c r="M307" s="25">
        <f t="shared" si="38"/>
        <v>0.4107524246126662</v>
      </c>
      <c r="N307" s="25">
        <f t="shared" si="33"/>
        <v>0.58924757538733386</v>
      </c>
      <c r="O307" s="25">
        <f t="shared" si="34"/>
        <v>-0.52890885191796189</v>
      </c>
      <c r="P307" s="25">
        <f t="shared" si="35"/>
        <v>1</v>
      </c>
      <c r="Q307" s="25">
        <f t="shared" si="39"/>
        <v>497.53509622331154</v>
      </c>
      <c r="R307" s="25">
        <f t="shared" si="36"/>
        <v>7</v>
      </c>
      <c r="S307" s="26">
        <f t="shared" si="37"/>
        <v>14</v>
      </c>
    </row>
    <row r="308" spans="2:19" x14ac:dyDescent="0.3">
      <c r="B308" s="24">
        <v>95138</v>
      </c>
      <c r="C308" s="25">
        <v>42</v>
      </c>
      <c r="D308" s="25">
        <v>3</v>
      </c>
      <c r="E308" s="25">
        <v>2</v>
      </c>
      <c r="F308" s="25">
        <v>13</v>
      </c>
      <c r="G308" s="25">
        <v>22</v>
      </c>
      <c r="H308" s="25">
        <v>13.6</v>
      </c>
      <c r="I308" s="25">
        <v>1.46</v>
      </c>
      <c r="J308" s="25">
        <v>1.53</v>
      </c>
      <c r="K308" s="26">
        <v>1</v>
      </c>
      <c r="L308" s="25">
        <f t="shared" si="32"/>
        <v>-0.25499608784022254</v>
      </c>
      <c r="M308" s="25">
        <f t="shared" si="38"/>
        <v>0.43659417604946194</v>
      </c>
      <c r="N308" s="25">
        <f t="shared" si="33"/>
        <v>0.43659417604946194</v>
      </c>
      <c r="O308" s="25">
        <f t="shared" si="34"/>
        <v>-0.82875117428311029</v>
      </c>
      <c r="P308" s="25">
        <f t="shared" si="35"/>
        <v>1</v>
      </c>
      <c r="Q308" s="25">
        <f t="shared" si="39"/>
        <v>494.48063161893299</v>
      </c>
      <c r="R308" s="25">
        <f t="shared" si="36"/>
        <v>7</v>
      </c>
      <c r="S308" s="26">
        <f t="shared" si="37"/>
        <v>14</v>
      </c>
    </row>
    <row r="309" spans="2:19" x14ac:dyDescent="0.3">
      <c r="B309" s="24">
        <v>95177</v>
      </c>
      <c r="C309" s="25">
        <v>43</v>
      </c>
      <c r="D309" s="25">
        <v>3</v>
      </c>
      <c r="E309" s="25">
        <v>9</v>
      </c>
      <c r="F309" s="25">
        <v>9</v>
      </c>
      <c r="G309" s="25">
        <v>57</v>
      </c>
      <c r="H309" s="25">
        <v>4.5</v>
      </c>
      <c r="I309" s="25">
        <v>1.81</v>
      </c>
      <c r="J309" s="25">
        <v>0.76</v>
      </c>
      <c r="K309" s="26">
        <v>0</v>
      </c>
      <c r="L309" s="25">
        <f t="shared" si="32"/>
        <v>-2.4823856158186226</v>
      </c>
      <c r="M309" s="25">
        <f t="shared" si="38"/>
        <v>7.7102276289837984E-2</v>
      </c>
      <c r="N309" s="25">
        <f t="shared" si="33"/>
        <v>0.92289772371016199</v>
      </c>
      <c r="O309" s="25">
        <f t="shared" si="34"/>
        <v>-8.0236859167042457E-2</v>
      </c>
      <c r="P309" s="25">
        <f t="shared" si="35"/>
        <v>0</v>
      </c>
      <c r="Q309" s="25">
        <f t="shared" si="39"/>
        <v>558.74950632026889</v>
      </c>
      <c r="R309" s="25">
        <f t="shared" si="36"/>
        <v>5</v>
      </c>
      <c r="S309" s="26">
        <f t="shared" si="37"/>
        <v>10</v>
      </c>
    </row>
    <row r="310" spans="2:19" x14ac:dyDescent="0.3">
      <c r="B310" s="24">
        <v>95185</v>
      </c>
      <c r="C310" s="25">
        <v>27</v>
      </c>
      <c r="D310" s="25">
        <v>1</v>
      </c>
      <c r="E310" s="25">
        <v>7</v>
      </c>
      <c r="F310" s="25">
        <v>5</v>
      </c>
      <c r="G310" s="25">
        <v>43</v>
      </c>
      <c r="H310" s="25">
        <v>10</v>
      </c>
      <c r="I310" s="25">
        <v>1.2</v>
      </c>
      <c r="J310" s="25">
        <v>3.1</v>
      </c>
      <c r="K310" s="26">
        <v>0</v>
      </c>
      <c r="L310" s="25">
        <f t="shared" si="32"/>
        <v>-1.1324576475739847</v>
      </c>
      <c r="M310" s="25">
        <f t="shared" si="38"/>
        <v>0.24370783597496504</v>
      </c>
      <c r="N310" s="25">
        <f t="shared" si="33"/>
        <v>0.75629216402503496</v>
      </c>
      <c r="O310" s="25">
        <f t="shared" si="34"/>
        <v>-0.27932751710859605</v>
      </c>
      <c r="P310" s="25">
        <f t="shared" si="35"/>
        <v>0</v>
      </c>
      <c r="Q310" s="25">
        <f t="shared" si="39"/>
        <v>519.79881971733494</v>
      </c>
      <c r="R310" s="25">
        <f t="shared" si="36"/>
        <v>6</v>
      </c>
      <c r="S310" s="26">
        <f t="shared" si="37"/>
        <v>13</v>
      </c>
    </row>
    <row r="311" spans="2:19" x14ac:dyDescent="0.3">
      <c r="B311" s="24">
        <v>95204</v>
      </c>
      <c r="C311" s="25">
        <v>23</v>
      </c>
      <c r="D311" s="25">
        <v>2</v>
      </c>
      <c r="E311" s="25">
        <v>3</v>
      </c>
      <c r="F311" s="25">
        <v>2</v>
      </c>
      <c r="G311" s="25">
        <v>66</v>
      </c>
      <c r="H311" s="25">
        <v>2.7</v>
      </c>
      <c r="I311" s="25">
        <v>0.79</v>
      </c>
      <c r="J311" s="25">
        <v>0.99</v>
      </c>
      <c r="K311" s="26">
        <v>0</v>
      </c>
      <c r="L311" s="25">
        <f t="shared" si="32"/>
        <v>-1.0662322486583418</v>
      </c>
      <c r="M311" s="25">
        <f t="shared" si="38"/>
        <v>0.25612026638735852</v>
      </c>
      <c r="N311" s="25">
        <f t="shared" si="33"/>
        <v>0.74387973361264148</v>
      </c>
      <c r="O311" s="25">
        <f t="shared" si="34"/>
        <v>-0.29587590558565663</v>
      </c>
      <c r="P311" s="25">
        <f t="shared" si="35"/>
        <v>0</v>
      </c>
      <c r="Q311" s="25">
        <f t="shared" si="39"/>
        <v>517.88795867956287</v>
      </c>
      <c r="R311" s="25">
        <f t="shared" si="36"/>
        <v>6</v>
      </c>
      <c r="S311" s="26">
        <f t="shared" si="37"/>
        <v>13</v>
      </c>
    </row>
    <row r="312" spans="2:19" x14ac:dyDescent="0.3">
      <c r="B312" s="24">
        <v>95209</v>
      </c>
      <c r="C312" s="25">
        <v>21</v>
      </c>
      <c r="D312" s="25">
        <v>2</v>
      </c>
      <c r="E312" s="25">
        <v>1</v>
      </c>
      <c r="F312" s="25">
        <v>0</v>
      </c>
      <c r="G312" s="25">
        <v>33</v>
      </c>
      <c r="H312" s="25">
        <v>13.1</v>
      </c>
      <c r="I312" s="25">
        <v>1.31</v>
      </c>
      <c r="J312" s="25">
        <v>3.01</v>
      </c>
      <c r="K312" s="26">
        <v>1</v>
      </c>
      <c r="L312" s="25">
        <f t="shared" si="32"/>
        <v>0.82053818454740513</v>
      </c>
      <c r="M312" s="25">
        <f t="shared" si="38"/>
        <v>0.69435056980593368</v>
      </c>
      <c r="N312" s="25">
        <f t="shared" si="33"/>
        <v>0.69435056980593368</v>
      </c>
      <c r="O312" s="25">
        <f t="shared" si="34"/>
        <v>-0.36477830220493407</v>
      </c>
      <c r="P312" s="25">
        <f t="shared" si="35"/>
        <v>1</v>
      </c>
      <c r="Q312" s="25">
        <f t="shared" si="39"/>
        <v>463.44727327688764</v>
      </c>
      <c r="R312" s="25">
        <f t="shared" si="36"/>
        <v>8</v>
      </c>
      <c r="S312" s="26">
        <f t="shared" si="37"/>
        <v>15</v>
      </c>
    </row>
    <row r="313" spans="2:19" x14ac:dyDescent="0.3">
      <c r="B313" s="24">
        <v>95220</v>
      </c>
      <c r="C313" s="25">
        <v>49</v>
      </c>
      <c r="D313" s="25">
        <v>3</v>
      </c>
      <c r="E313" s="25">
        <v>24</v>
      </c>
      <c r="F313" s="25">
        <v>11</v>
      </c>
      <c r="G313" s="25">
        <v>90</v>
      </c>
      <c r="H313" s="25">
        <v>13.9</v>
      </c>
      <c r="I313" s="25">
        <v>8.06</v>
      </c>
      <c r="J313" s="25">
        <v>4.45</v>
      </c>
      <c r="K313" s="26">
        <v>0</v>
      </c>
      <c r="L313" s="25">
        <f t="shared" si="32"/>
        <v>-2.0734348928421689</v>
      </c>
      <c r="M313" s="25">
        <f t="shared" si="38"/>
        <v>0.11170574761386497</v>
      </c>
      <c r="N313" s="25">
        <f t="shared" si="33"/>
        <v>0.88829425238613502</v>
      </c>
      <c r="O313" s="25">
        <f t="shared" si="34"/>
        <v>-0.11845222557962103</v>
      </c>
      <c r="P313" s="25">
        <f t="shared" si="35"/>
        <v>0</v>
      </c>
      <c r="Q313" s="25">
        <f t="shared" si="39"/>
        <v>546.9496830545786</v>
      </c>
      <c r="R313" s="25">
        <f t="shared" si="36"/>
        <v>6</v>
      </c>
      <c r="S313" s="26">
        <f t="shared" si="37"/>
        <v>11</v>
      </c>
    </row>
    <row r="314" spans="2:19" x14ac:dyDescent="0.3">
      <c r="B314" s="24">
        <v>95299</v>
      </c>
      <c r="C314" s="25">
        <v>49</v>
      </c>
      <c r="D314" s="25">
        <v>2</v>
      </c>
      <c r="E314" s="25">
        <v>28</v>
      </c>
      <c r="F314" s="25">
        <v>11</v>
      </c>
      <c r="G314" s="25">
        <v>93</v>
      </c>
      <c r="H314" s="25">
        <v>12.8</v>
      </c>
      <c r="I314" s="25">
        <v>1.56</v>
      </c>
      <c r="J314" s="25">
        <v>10.34</v>
      </c>
      <c r="K314" s="26">
        <v>0</v>
      </c>
      <c r="L314" s="25">
        <f t="shared" si="32"/>
        <v>-5.9650575315374219</v>
      </c>
      <c r="M314" s="25">
        <f t="shared" si="38"/>
        <v>2.5603248356617478E-3</v>
      </c>
      <c r="N314" s="25">
        <f t="shared" si="33"/>
        <v>0.99743967516433829</v>
      </c>
      <c r="O314" s="25">
        <f t="shared" si="34"/>
        <v>-2.5636080725931292E-3</v>
      </c>
      <c r="P314" s="25">
        <f t="shared" si="35"/>
        <v>0</v>
      </c>
      <c r="Q314" s="25">
        <f t="shared" si="39"/>
        <v>659.23817350922764</v>
      </c>
      <c r="R314" s="25">
        <f t="shared" si="36"/>
        <v>2</v>
      </c>
      <c r="S314" s="26">
        <f t="shared" si="37"/>
        <v>2</v>
      </c>
    </row>
    <row r="315" spans="2:19" x14ac:dyDescent="0.3">
      <c r="B315" s="24">
        <v>95372</v>
      </c>
      <c r="C315" s="25">
        <v>19</v>
      </c>
      <c r="D315" s="25">
        <v>2</v>
      </c>
      <c r="E315" s="25">
        <v>0</v>
      </c>
      <c r="F315" s="25">
        <v>0</v>
      </c>
      <c r="G315" s="25">
        <v>28</v>
      </c>
      <c r="H315" s="25">
        <v>9.6999999999999993</v>
      </c>
      <c r="I315" s="25">
        <v>1.35</v>
      </c>
      <c r="J315" s="25">
        <v>1.37</v>
      </c>
      <c r="K315" s="26">
        <v>1</v>
      </c>
      <c r="L315" s="25">
        <f t="shared" si="32"/>
        <v>0.72786751825370688</v>
      </c>
      <c r="M315" s="25">
        <f t="shared" si="38"/>
        <v>0.67433713981364241</v>
      </c>
      <c r="N315" s="25">
        <f t="shared" si="33"/>
        <v>0.67433713981364241</v>
      </c>
      <c r="O315" s="25">
        <f t="shared" si="34"/>
        <v>-0.39402508569322936</v>
      </c>
      <c r="P315" s="25">
        <f t="shared" si="35"/>
        <v>1</v>
      </c>
      <c r="Q315" s="25">
        <f t="shared" si="39"/>
        <v>466.12118341505936</v>
      </c>
      <c r="R315" s="25">
        <f t="shared" si="36"/>
        <v>8</v>
      </c>
      <c r="S315" s="26">
        <f t="shared" si="37"/>
        <v>15</v>
      </c>
    </row>
    <row r="316" spans="2:19" x14ac:dyDescent="0.3">
      <c r="B316" s="24">
        <v>95384</v>
      </c>
      <c r="C316" s="25">
        <v>24</v>
      </c>
      <c r="D316" s="25">
        <v>4</v>
      </c>
      <c r="E316" s="25">
        <v>0</v>
      </c>
      <c r="F316" s="25">
        <v>2</v>
      </c>
      <c r="G316" s="25">
        <v>21</v>
      </c>
      <c r="H316" s="25">
        <v>11</v>
      </c>
      <c r="I316" s="25">
        <v>0.72</v>
      </c>
      <c r="J316" s="25">
        <v>1.59</v>
      </c>
      <c r="K316" s="26">
        <v>1</v>
      </c>
      <c r="L316" s="25">
        <f t="shared" si="32"/>
        <v>0.28292076617286704</v>
      </c>
      <c r="M316" s="25">
        <f t="shared" si="38"/>
        <v>0.57026214274681186</v>
      </c>
      <c r="N316" s="25">
        <f t="shared" si="33"/>
        <v>0.57026214274681186</v>
      </c>
      <c r="O316" s="25">
        <f t="shared" si="34"/>
        <v>-0.5616591243191188</v>
      </c>
      <c r="P316" s="25">
        <f t="shared" si="35"/>
        <v>1</v>
      </c>
      <c r="Q316" s="25">
        <f t="shared" si="39"/>
        <v>478.95963250492468</v>
      </c>
      <c r="R316" s="25">
        <f t="shared" si="36"/>
        <v>7</v>
      </c>
      <c r="S316" s="26">
        <f t="shared" si="37"/>
        <v>15</v>
      </c>
    </row>
    <row r="317" spans="2:19" x14ac:dyDescent="0.3">
      <c r="B317" s="24">
        <v>95388</v>
      </c>
      <c r="C317" s="25">
        <v>23</v>
      </c>
      <c r="D317" s="25">
        <v>4</v>
      </c>
      <c r="E317" s="25">
        <v>0</v>
      </c>
      <c r="F317" s="25">
        <v>1</v>
      </c>
      <c r="G317" s="25">
        <v>30</v>
      </c>
      <c r="H317" s="25">
        <v>12.8</v>
      </c>
      <c r="I317" s="25">
        <v>2.2999999999999998</v>
      </c>
      <c r="J317" s="25">
        <v>1.54</v>
      </c>
      <c r="K317" s="26">
        <v>1</v>
      </c>
      <c r="L317" s="25">
        <f t="shared" si="32"/>
        <v>1.2656450692276446</v>
      </c>
      <c r="M317" s="25">
        <f t="shared" si="38"/>
        <v>0.77999634419400954</v>
      </c>
      <c r="N317" s="25">
        <f t="shared" si="33"/>
        <v>0.77999634419400954</v>
      </c>
      <c r="O317" s="25">
        <f t="shared" si="34"/>
        <v>-0.24846604624024032</v>
      </c>
      <c r="P317" s="25">
        <f t="shared" si="35"/>
        <v>1</v>
      </c>
      <c r="Q317" s="25">
        <f t="shared" si="39"/>
        <v>450.60420373701248</v>
      </c>
      <c r="R317" s="25">
        <f t="shared" si="36"/>
        <v>8</v>
      </c>
      <c r="S317" s="26">
        <f t="shared" si="37"/>
        <v>16</v>
      </c>
    </row>
    <row r="318" spans="2:19" x14ac:dyDescent="0.3">
      <c r="B318" s="24">
        <v>95450</v>
      </c>
      <c r="C318" s="25">
        <v>43</v>
      </c>
      <c r="D318" s="25">
        <v>3</v>
      </c>
      <c r="E318" s="25">
        <v>13</v>
      </c>
      <c r="F318" s="25">
        <v>9</v>
      </c>
      <c r="G318" s="25">
        <v>82</v>
      </c>
      <c r="H318" s="25">
        <v>9.9</v>
      </c>
      <c r="I318" s="25">
        <v>1.78</v>
      </c>
      <c r="J318" s="25">
        <v>6.34</v>
      </c>
      <c r="K318" s="26">
        <v>0</v>
      </c>
      <c r="L318" s="25">
        <f t="shared" si="32"/>
        <v>-2.7177758516306394</v>
      </c>
      <c r="M318" s="25">
        <f t="shared" si="38"/>
        <v>6.193255659300264E-2</v>
      </c>
      <c r="N318" s="25">
        <f t="shared" si="33"/>
        <v>0.93806744340699733</v>
      </c>
      <c r="O318" s="25">
        <f t="shared" si="34"/>
        <v>-6.3933431273908464E-2</v>
      </c>
      <c r="P318" s="25">
        <f t="shared" si="35"/>
        <v>0</v>
      </c>
      <c r="Q318" s="25">
        <f t="shared" si="39"/>
        <v>565.54143264536526</v>
      </c>
      <c r="R318" s="25">
        <f t="shared" si="36"/>
        <v>5</v>
      </c>
      <c r="S318" s="26">
        <f t="shared" si="37"/>
        <v>10</v>
      </c>
    </row>
    <row r="319" spans="2:19" x14ac:dyDescent="0.3">
      <c r="B319" s="24">
        <v>95481</v>
      </c>
      <c r="C319" s="25">
        <v>28</v>
      </c>
      <c r="D319" s="25">
        <v>2</v>
      </c>
      <c r="E319" s="25">
        <v>8</v>
      </c>
      <c r="F319" s="25">
        <v>3</v>
      </c>
      <c r="G319" s="25">
        <v>22</v>
      </c>
      <c r="H319" s="25">
        <v>5.4</v>
      </c>
      <c r="I319" s="25">
        <v>0.17</v>
      </c>
      <c r="J319" s="25">
        <v>1.02</v>
      </c>
      <c r="K319" s="26">
        <v>0</v>
      </c>
      <c r="L319" s="25">
        <f t="shared" si="32"/>
        <v>-2.3717131503518036</v>
      </c>
      <c r="M319" s="25">
        <f t="shared" si="38"/>
        <v>8.5355299136810669E-2</v>
      </c>
      <c r="N319" s="25">
        <f t="shared" si="33"/>
        <v>0.91464470086318927</v>
      </c>
      <c r="O319" s="25">
        <f t="shared" si="34"/>
        <v>-8.921959418410319E-2</v>
      </c>
      <c r="P319" s="25">
        <f t="shared" si="35"/>
        <v>0</v>
      </c>
      <c r="Q319" s="25">
        <f t="shared" si="39"/>
        <v>555.55617406893589</v>
      </c>
      <c r="R319" s="25">
        <f t="shared" si="36"/>
        <v>5</v>
      </c>
      <c r="S319" s="26">
        <f t="shared" si="37"/>
        <v>10</v>
      </c>
    </row>
    <row r="320" spans="2:19" x14ac:dyDescent="0.3">
      <c r="B320" s="24">
        <v>95530</v>
      </c>
      <c r="C320" s="25">
        <v>26</v>
      </c>
      <c r="D320" s="25">
        <v>4</v>
      </c>
      <c r="E320" s="25">
        <v>2</v>
      </c>
      <c r="F320" s="25">
        <v>3</v>
      </c>
      <c r="G320" s="25">
        <v>36</v>
      </c>
      <c r="H320" s="25">
        <v>14.4</v>
      </c>
      <c r="I320" s="25">
        <v>1.89</v>
      </c>
      <c r="J320" s="25">
        <v>3.29</v>
      </c>
      <c r="K320" s="26">
        <v>1</v>
      </c>
      <c r="L320" s="25">
        <f t="shared" si="32"/>
        <v>0.69370106727496572</v>
      </c>
      <c r="M320" s="25">
        <f t="shared" si="38"/>
        <v>0.66678974123862966</v>
      </c>
      <c r="N320" s="25">
        <f t="shared" si="33"/>
        <v>0.66678974123862966</v>
      </c>
      <c r="O320" s="25">
        <f t="shared" si="34"/>
        <v>-0.40528051328889192</v>
      </c>
      <c r="P320" s="25">
        <f t="shared" si="35"/>
        <v>1</v>
      </c>
      <c r="Q320" s="25">
        <f t="shared" si="39"/>
        <v>467.10701877495484</v>
      </c>
      <c r="R320" s="25">
        <f t="shared" si="36"/>
        <v>7</v>
      </c>
      <c r="S320" s="26">
        <f t="shared" si="37"/>
        <v>15</v>
      </c>
    </row>
    <row r="321" spans="2:19" x14ac:dyDescent="0.3">
      <c r="B321" s="24">
        <v>95541</v>
      </c>
      <c r="C321" s="25">
        <v>40</v>
      </c>
      <c r="D321" s="25">
        <v>4</v>
      </c>
      <c r="E321" s="25">
        <v>7</v>
      </c>
      <c r="F321" s="25">
        <v>11</v>
      </c>
      <c r="G321" s="25">
        <v>33</v>
      </c>
      <c r="H321" s="25">
        <v>12.4</v>
      </c>
      <c r="I321" s="25">
        <v>0.65</v>
      </c>
      <c r="J321" s="25">
        <v>3.45</v>
      </c>
      <c r="K321" s="26">
        <v>0</v>
      </c>
      <c r="L321" s="25">
        <f t="shared" si="32"/>
        <v>-1.7838406011695809</v>
      </c>
      <c r="M321" s="25">
        <f t="shared" si="38"/>
        <v>0.14382954520533309</v>
      </c>
      <c r="N321" s="25">
        <f t="shared" si="33"/>
        <v>0.85617045479466691</v>
      </c>
      <c r="O321" s="25">
        <f t="shared" si="34"/>
        <v>-0.1552857932310068</v>
      </c>
      <c r="P321" s="25">
        <f t="shared" si="35"/>
        <v>0</v>
      </c>
      <c r="Q321" s="25">
        <f t="shared" si="39"/>
        <v>538.59375832208696</v>
      </c>
      <c r="R321" s="25">
        <f t="shared" si="36"/>
        <v>6</v>
      </c>
      <c r="S321" s="26">
        <f t="shared" si="37"/>
        <v>12</v>
      </c>
    </row>
    <row r="322" spans="2:19" x14ac:dyDescent="0.3">
      <c r="B322" s="24">
        <v>95582</v>
      </c>
      <c r="C322" s="25">
        <v>47</v>
      </c>
      <c r="D322" s="25">
        <v>1</v>
      </c>
      <c r="E322" s="25">
        <v>22</v>
      </c>
      <c r="F322" s="25">
        <v>17</v>
      </c>
      <c r="G322" s="25">
        <v>108</v>
      </c>
      <c r="H322" s="25">
        <v>8.9</v>
      </c>
      <c r="I322" s="25">
        <v>1.37</v>
      </c>
      <c r="J322" s="25">
        <v>8.24</v>
      </c>
      <c r="K322" s="26">
        <v>0</v>
      </c>
      <c r="L322" s="25">
        <f t="shared" si="32"/>
        <v>-5.2344804839598389</v>
      </c>
      <c r="M322" s="25">
        <f t="shared" si="38"/>
        <v>5.3013385987284254E-3</v>
      </c>
      <c r="N322" s="25">
        <f t="shared" si="33"/>
        <v>0.99469866140127161</v>
      </c>
      <c r="O322" s="25">
        <f t="shared" si="34"/>
        <v>-5.3154405557775267E-3</v>
      </c>
      <c r="P322" s="25">
        <f t="shared" si="35"/>
        <v>0</v>
      </c>
      <c r="Q322" s="25">
        <f t="shared" si="39"/>
        <v>638.15817643612877</v>
      </c>
      <c r="R322" s="25">
        <f t="shared" si="36"/>
        <v>3</v>
      </c>
      <c r="S322" s="26">
        <f t="shared" si="37"/>
        <v>3</v>
      </c>
    </row>
    <row r="323" spans="2:19" x14ac:dyDescent="0.3">
      <c r="B323" s="24">
        <v>95633</v>
      </c>
      <c r="C323" s="25">
        <v>19</v>
      </c>
      <c r="D323" s="25">
        <v>2</v>
      </c>
      <c r="E323" s="25">
        <v>0</v>
      </c>
      <c r="F323" s="25">
        <v>0</v>
      </c>
      <c r="G323" s="25">
        <v>22</v>
      </c>
      <c r="H323" s="25">
        <v>16.8</v>
      </c>
      <c r="I323" s="25">
        <v>1.64</v>
      </c>
      <c r="J323" s="25">
        <v>2.06</v>
      </c>
      <c r="K323" s="26">
        <v>1</v>
      </c>
      <c r="L323" s="25">
        <f t="shared" si="32"/>
        <v>1.5886024734472206</v>
      </c>
      <c r="M323" s="25">
        <f t="shared" si="38"/>
        <v>0.8304193900150989</v>
      </c>
      <c r="N323" s="25">
        <f t="shared" si="33"/>
        <v>0.8304193900150989</v>
      </c>
      <c r="O323" s="25">
        <f t="shared" si="34"/>
        <v>-0.18582441663226387</v>
      </c>
      <c r="P323" s="25">
        <f t="shared" si="35"/>
        <v>1</v>
      </c>
      <c r="Q323" s="25">
        <f t="shared" si="39"/>
        <v>441.28562309140125</v>
      </c>
      <c r="R323" s="25">
        <f t="shared" si="36"/>
        <v>8</v>
      </c>
      <c r="S323" s="26">
        <f t="shared" si="37"/>
        <v>16</v>
      </c>
    </row>
    <row r="324" spans="2:19" x14ac:dyDescent="0.3">
      <c r="B324" s="24">
        <v>95641</v>
      </c>
      <c r="C324" s="25">
        <v>71</v>
      </c>
      <c r="D324" s="25">
        <v>1</v>
      </c>
      <c r="E324" s="25">
        <v>18</v>
      </c>
      <c r="F324" s="25">
        <v>27</v>
      </c>
      <c r="G324" s="25">
        <v>57</v>
      </c>
      <c r="H324" s="25">
        <v>11.5</v>
      </c>
      <c r="I324" s="25">
        <v>2.58</v>
      </c>
      <c r="J324" s="25">
        <v>3.97</v>
      </c>
      <c r="K324" s="26">
        <v>0</v>
      </c>
      <c r="L324" s="25">
        <f t="shared" si="32"/>
        <v>-4.4600652644865768</v>
      </c>
      <c r="M324" s="25">
        <f t="shared" si="38"/>
        <v>1.1429465690421921E-2</v>
      </c>
      <c r="N324" s="25">
        <f t="shared" si="33"/>
        <v>0.98857053430957809</v>
      </c>
      <c r="O324" s="25">
        <f t="shared" si="34"/>
        <v>-1.1495284026282032E-2</v>
      </c>
      <c r="P324" s="25">
        <f t="shared" si="35"/>
        <v>0</v>
      </c>
      <c r="Q324" s="25">
        <f t="shared" si="39"/>
        <v>615.81327713496921</v>
      </c>
      <c r="R324" s="25">
        <f t="shared" si="36"/>
        <v>4</v>
      </c>
      <c r="S324" s="26">
        <f t="shared" si="37"/>
        <v>5</v>
      </c>
    </row>
    <row r="325" spans="2:19" x14ac:dyDescent="0.3">
      <c r="B325" s="24">
        <v>95723</v>
      </c>
      <c r="C325" s="25">
        <v>72</v>
      </c>
      <c r="D325" s="25">
        <v>4</v>
      </c>
      <c r="E325" s="25">
        <v>26</v>
      </c>
      <c r="F325" s="25">
        <v>24</v>
      </c>
      <c r="G325" s="25">
        <v>146</v>
      </c>
      <c r="H325" s="25">
        <v>12.6</v>
      </c>
      <c r="I325" s="25">
        <v>2.12</v>
      </c>
      <c r="J325" s="25">
        <v>16.28</v>
      </c>
      <c r="K325" s="26">
        <v>0</v>
      </c>
      <c r="L325" s="25">
        <f t="shared" ref="L325:L388" si="40">$Y$4+SUMPRODUCT($Z$4:$AG$4,C325:J325)</f>
        <v>-6.1332860442435448</v>
      </c>
      <c r="M325" s="25">
        <f t="shared" si="38"/>
        <v>2.1647440748116527E-3</v>
      </c>
      <c r="N325" s="25">
        <f t="shared" ref="N325:N388" si="41">IF(K325=1,M325,(1-M325))</f>
        <v>0.9978352559251884</v>
      </c>
      <c r="O325" s="25">
        <f t="shared" ref="O325:O388" si="42">LN(N325)</f>
        <v>-2.1670905201803658E-3</v>
      </c>
      <c r="P325" s="25">
        <f t="shared" ref="P325:P388" si="43">IF(M325&gt;0.4,1,0)</f>
        <v>0</v>
      </c>
      <c r="Q325" s="25">
        <f t="shared" si="39"/>
        <v>664.09222219199887</v>
      </c>
      <c r="R325" s="25">
        <f t="shared" ref="R325:R388" si="44">VLOOKUP(M325,$U$9:$W$16,3,TRUE)</f>
        <v>2</v>
      </c>
      <c r="S325" s="26">
        <f t="shared" ref="S325:S388" si="45">VLOOKUP(M325,$U$21:$W$37,3,TRUE)</f>
        <v>1</v>
      </c>
    </row>
    <row r="326" spans="2:19" x14ac:dyDescent="0.3">
      <c r="B326" s="24">
        <v>95739</v>
      </c>
      <c r="C326" s="25">
        <v>45</v>
      </c>
      <c r="D326" s="25">
        <v>2</v>
      </c>
      <c r="E326" s="25">
        <v>1</v>
      </c>
      <c r="F326" s="25">
        <v>10</v>
      </c>
      <c r="G326" s="25">
        <v>43</v>
      </c>
      <c r="H326" s="25">
        <v>2.8</v>
      </c>
      <c r="I326" s="25">
        <v>0.38</v>
      </c>
      <c r="J326" s="25">
        <v>0.82</v>
      </c>
      <c r="K326" s="26">
        <v>0</v>
      </c>
      <c r="L326" s="25">
        <f t="shared" si="40"/>
        <v>-1.5431761685877772</v>
      </c>
      <c r="M326" s="25">
        <f t="shared" ref="M326:M389" si="46">EXP(L326)/(1+EXP(L326))</f>
        <v>0.17607402759940347</v>
      </c>
      <c r="N326" s="25">
        <f t="shared" si="41"/>
        <v>0.82392597240059651</v>
      </c>
      <c r="O326" s="25">
        <f t="shared" si="42"/>
        <v>-0.19367459242812318</v>
      </c>
      <c r="P326" s="25">
        <f t="shared" si="43"/>
        <v>0</v>
      </c>
      <c r="Q326" s="25">
        <f t="shared" si="39"/>
        <v>531.64965085081485</v>
      </c>
      <c r="R326" s="25">
        <f t="shared" si="44"/>
        <v>6</v>
      </c>
      <c r="S326" s="26">
        <f t="shared" si="45"/>
        <v>12</v>
      </c>
    </row>
    <row r="327" spans="2:19" x14ac:dyDescent="0.3">
      <c r="B327" s="24">
        <v>95833</v>
      </c>
      <c r="C327" s="25">
        <v>20</v>
      </c>
      <c r="D327" s="25">
        <v>3</v>
      </c>
      <c r="E327" s="25">
        <v>0</v>
      </c>
      <c r="F327" s="25">
        <v>0</v>
      </c>
      <c r="G327" s="25">
        <v>29</v>
      </c>
      <c r="H327" s="25">
        <v>17</v>
      </c>
      <c r="I327" s="25">
        <v>1.93</v>
      </c>
      <c r="J327" s="25">
        <v>3</v>
      </c>
      <c r="K327" s="26">
        <v>1</v>
      </c>
      <c r="L327" s="25">
        <f t="shared" si="40"/>
        <v>1.6960706087852071</v>
      </c>
      <c r="M327" s="25">
        <f t="shared" si="46"/>
        <v>0.84502083676228346</v>
      </c>
      <c r="N327" s="25">
        <f t="shared" si="41"/>
        <v>0.84502083676228346</v>
      </c>
      <c r="O327" s="25">
        <f t="shared" si="42"/>
        <v>-0.16839399303871236</v>
      </c>
      <c r="P327" s="25">
        <f t="shared" si="43"/>
        <v>1</v>
      </c>
      <c r="Q327" s="25">
        <f t="shared" si="39"/>
        <v>438.1847482611725</v>
      </c>
      <c r="R327" s="25">
        <f t="shared" si="44"/>
        <v>8</v>
      </c>
      <c r="S327" s="26">
        <f t="shared" si="45"/>
        <v>16</v>
      </c>
    </row>
    <row r="328" spans="2:19" x14ac:dyDescent="0.3">
      <c r="B328" s="24">
        <v>95858</v>
      </c>
      <c r="C328" s="25">
        <v>42</v>
      </c>
      <c r="D328" s="25">
        <v>2</v>
      </c>
      <c r="E328" s="25">
        <v>7</v>
      </c>
      <c r="F328" s="25">
        <v>8</v>
      </c>
      <c r="G328" s="25">
        <v>47</v>
      </c>
      <c r="H328" s="25">
        <v>7.8</v>
      </c>
      <c r="I328" s="25">
        <v>1.02</v>
      </c>
      <c r="J328" s="25">
        <v>2.65</v>
      </c>
      <c r="K328" s="26">
        <v>0</v>
      </c>
      <c r="L328" s="25">
        <f t="shared" si="40"/>
        <v>-1.9224766017497019</v>
      </c>
      <c r="M328" s="25">
        <f t="shared" si="46"/>
        <v>0.12758564750088969</v>
      </c>
      <c r="N328" s="25">
        <f t="shared" si="41"/>
        <v>0.87241435249911037</v>
      </c>
      <c r="O328" s="25">
        <f t="shared" si="42"/>
        <v>-0.13649079304869119</v>
      </c>
      <c r="P328" s="25">
        <f t="shared" si="43"/>
        <v>0</v>
      </c>
      <c r="Q328" s="25">
        <f t="shared" si="39"/>
        <v>542.59394761922567</v>
      </c>
      <c r="R328" s="25">
        <f t="shared" si="44"/>
        <v>6</v>
      </c>
      <c r="S328" s="26">
        <f t="shared" si="45"/>
        <v>11</v>
      </c>
    </row>
    <row r="329" spans="2:19" x14ac:dyDescent="0.3">
      <c r="B329" s="24">
        <v>95859</v>
      </c>
      <c r="C329" s="25">
        <v>33</v>
      </c>
      <c r="D329" s="25">
        <v>4</v>
      </c>
      <c r="E329" s="25">
        <v>1</v>
      </c>
      <c r="F329" s="25">
        <v>3</v>
      </c>
      <c r="G329" s="25">
        <v>40</v>
      </c>
      <c r="H329" s="25">
        <v>13.3</v>
      </c>
      <c r="I329" s="25">
        <v>0.87</v>
      </c>
      <c r="J329" s="25">
        <v>4.45</v>
      </c>
      <c r="K329" s="26">
        <v>0</v>
      </c>
      <c r="L329" s="25">
        <f t="shared" si="40"/>
        <v>0.20600863202773317</v>
      </c>
      <c r="M329" s="25">
        <f t="shared" si="46"/>
        <v>0.55132078365086268</v>
      </c>
      <c r="N329" s="25">
        <f t="shared" si="41"/>
        <v>0.44867921634913732</v>
      </c>
      <c r="O329" s="25">
        <f t="shared" si="42"/>
        <v>-0.80144708677627208</v>
      </c>
      <c r="P329" s="25">
        <f t="shared" si="43"/>
        <v>1</v>
      </c>
      <c r="Q329" s="25">
        <f t="shared" ref="Q329:Q392" si="47">28.8539*LN((1-M329)/(M329))+487.123</f>
        <v>481.178847532335</v>
      </c>
      <c r="R329" s="25">
        <f t="shared" si="44"/>
        <v>7</v>
      </c>
      <c r="S329" s="26">
        <f t="shared" si="45"/>
        <v>15</v>
      </c>
    </row>
    <row r="330" spans="2:19" x14ac:dyDescent="0.3">
      <c r="B330" s="24">
        <v>95998</v>
      </c>
      <c r="C330" s="25">
        <v>42</v>
      </c>
      <c r="D330" s="25">
        <v>2</v>
      </c>
      <c r="E330" s="25">
        <v>19</v>
      </c>
      <c r="F330" s="25">
        <v>8</v>
      </c>
      <c r="G330" s="25">
        <v>63</v>
      </c>
      <c r="H330" s="25">
        <v>20.399999999999999</v>
      </c>
      <c r="I330" s="25">
        <v>5.31</v>
      </c>
      <c r="J330" s="25">
        <v>7.54</v>
      </c>
      <c r="K330" s="26">
        <v>0</v>
      </c>
      <c r="L330" s="25">
        <f t="shared" si="40"/>
        <v>-1.2233418896556509</v>
      </c>
      <c r="M330" s="25">
        <f t="shared" si="46"/>
        <v>0.22734887484361643</v>
      </c>
      <c r="N330" s="25">
        <f t="shared" si="41"/>
        <v>0.77265112515638357</v>
      </c>
      <c r="O330" s="25">
        <f t="shared" si="42"/>
        <v>-0.25792765807313872</v>
      </c>
      <c r="P330" s="25">
        <f t="shared" si="43"/>
        <v>0</v>
      </c>
      <c r="Q330" s="25">
        <f t="shared" si="47"/>
        <v>522.42118454993522</v>
      </c>
      <c r="R330" s="25">
        <f t="shared" si="44"/>
        <v>6</v>
      </c>
      <c r="S330" s="26">
        <f t="shared" si="45"/>
        <v>13</v>
      </c>
    </row>
    <row r="331" spans="2:19" x14ac:dyDescent="0.3">
      <c r="B331" s="24">
        <v>96001</v>
      </c>
      <c r="C331" s="25">
        <v>20</v>
      </c>
      <c r="D331" s="25">
        <v>3</v>
      </c>
      <c r="E331" s="25">
        <v>0</v>
      </c>
      <c r="F331" s="25">
        <v>0</v>
      </c>
      <c r="G331" s="25">
        <v>28</v>
      </c>
      <c r="H331" s="25">
        <v>10.4</v>
      </c>
      <c r="I331" s="25">
        <v>0.93</v>
      </c>
      <c r="J331" s="25">
        <v>1.98</v>
      </c>
      <c r="K331" s="26">
        <v>1</v>
      </c>
      <c r="L331" s="25">
        <f t="shared" si="40"/>
        <v>0.53895565292779546</v>
      </c>
      <c r="M331" s="25">
        <f t="shared" si="46"/>
        <v>0.63156944256495207</v>
      </c>
      <c r="N331" s="25">
        <f t="shared" si="41"/>
        <v>0.63156944256495207</v>
      </c>
      <c r="O331" s="25">
        <f t="shared" si="42"/>
        <v>-0.45954737876384083</v>
      </c>
      <c r="P331" s="25">
        <f t="shared" si="43"/>
        <v>1</v>
      </c>
      <c r="Q331" s="25">
        <f t="shared" si="47"/>
        <v>471.57202748598667</v>
      </c>
      <c r="R331" s="25">
        <f t="shared" si="44"/>
        <v>7</v>
      </c>
      <c r="S331" s="26">
        <f t="shared" si="45"/>
        <v>15</v>
      </c>
    </row>
    <row r="332" spans="2:19" x14ac:dyDescent="0.3">
      <c r="B332" s="24">
        <v>96007</v>
      </c>
      <c r="C332" s="25">
        <v>20</v>
      </c>
      <c r="D332" s="25">
        <v>3</v>
      </c>
      <c r="E332" s="25">
        <v>0</v>
      </c>
      <c r="F332" s="25">
        <v>1</v>
      </c>
      <c r="G332" s="25">
        <v>19</v>
      </c>
      <c r="H332" s="25">
        <v>4.5</v>
      </c>
      <c r="I332" s="25">
        <v>0.35</v>
      </c>
      <c r="J332" s="25">
        <v>0.51</v>
      </c>
      <c r="K332" s="26">
        <v>0</v>
      </c>
      <c r="L332" s="25">
        <f t="shared" si="40"/>
        <v>-0.39511571006907487</v>
      </c>
      <c r="M332" s="25">
        <f t="shared" si="46"/>
        <v>0.40248640661733881</v>
      </c>
      <c r="N332" s="25">
        <f t="shared" si="41"/>
        <v>0.59751359338266119</v>
      </c>
      <c r="O332" s="25">
        <f t="shared" si="42"/>
        <v>-0.51497824500402634</v>
      </c>
      <c r="P332" s="25">
        <f t="shared" si="43"/>
        <v>1</v>
      </c>
      <c r="Q332" s="25">
        <f t="shared" si="47"/>
        <v>498.52362918676209</v>
      </c>
      <c r="R332" s="25">
        <f t="shared" si="44"/>
        <v>7</v>
      </c>
      <c r="S332" s="26">
        <f t="shared" si="45"/>
        <v>14</v>
      </c>
    </row>
    <row r="333" spans="2:19" x14ac:dyDescent="0.3">
      <c r="B333" s="24">
        <v>96037</v>
      </c>
      <c r="C333" s="25">
        <v>20</v>
      </c>
      <c r="D333" s="25">
        <v>3</v>
      </c>
      <c r="E333" s="25">
        <v>0</v>
      </c>
      <c r="F333" s="25">
        <v>0</v>
      </c>
      <c r="G333" s="25">
        <v>20</v>
      </c>
      <c r="H333" s="25">
        <v>13.5</v>
      </c>
      <c r="I333" s="25">
        <v>0.59</v>
      </c>
      <c r="J333" s="25">
        <v>2.11</v>
      </c>
      <c r="K333" s="26">
        <v>0</v>
      </c>
      <c r="L333" s="25">
        <f t="shared" si="40"/>
        <v>0.68822306858800308</v>
      </c>
      <c r="M333" s="25">
        <f t="shared" si="46"/>
        <v>0.66557152300627276</v>
      </c>
      <c r="N333" s="25">
        <f t="shared" si="41"/>
        <v>0.33442847699372724</v>
      </c>
      <c r="O333" s="25">
        <f t="shared" si="42"/>
        <v>-1.0953322429233028</v>
      </c>
      <c r="P333" s="25">
        <f t="shared" si="43"/>
        <v>1</v>
      </c>
      <c r="Q333" s="25">
        <f t="shared" si="47"/>
        <v>467.26508040126862</v>
      </c>
      <c r="R333" s="25">
        <f t="shared" si="44"/>
        <v>7</v>
      </c>
      <c r="S333" s="26">
        <f t="shared" si="45"/>
        <v>15</v>
      </c>
    </row>
    <row r="334" spans="2:19" x14ac:dyDescent="0.3">
      <c r="B334" s="24">
        <v>96088</v>
      </c>
      <c r="C334" s="25">
        <v>34</v>
      </c>
      <c r="D334" s="25">
        <v>3</v>
      </c>
      <c r="E334" s="25">
        <v>11</v>
      </c>
      <c r="F334" s="25">
        <v>5</v>
      </c>
      <c r="G334" s="25">
        <v>68</v>
      </c>
      <c r="H334" s="25">
        <v>11.9</v>
      </c>
      <c r="I334" s="25">
        <v>3.37</v>
      </c>
      <c r="J334" s="25">
        <v>4.7300000000000004</v>
      </c>
      <c r="K334" s="26">
        <v>0</v>
      </c>
      <c r="L334" s="25">
        <f t="shared" si="40"/>
        <v>-1.031679490970614</v>
      </c>
      <c r="M334" s="25">
        <f t="shared" si="46"/>
        <v>0.26275862939289918</v>
      </c>
      <c r="N334" s="25">
        <f t="shared" si="41"/>
        <v>0.73724137060710082</v>
      </c>
      <c r="O334" s="25">
        <f t="shared" si="42"/>
        <v>-0.30483993619472349</v>
      </c>
      <c r="P334" s="25">
        <f t="shared" si="43"/>
        <v>0</v>
      </c>
      <c r="Q334" s="25">
        <f t="shared" si="47"/>
        <v>516.89097686451703</v>
      </c>
      <c r="R334" s="25">
        <f t="shared" si="44"/>
        <v>7</v>
      </c>
      <c r="S334" s="26">
        <f t="shared" si="45"/>
        <v>13</v>
      </c>
    </row>
    <row r="335" spans="2:19" x14ac:dyDescent="0.3">
      <c r="B335" s="24">
        <v>96098</v>
      </c>
      <c r="C335" s="25">
        <v>39</v>
      </c>
      <c r="D335" s="25">
        <v>1</v>
      </c>
      <c r="E335" s="25">
        <v>12</v>
      </c>
      <c r="F335" s="25">
        <v>11</v>
      </c>
      <c r="G335" s="25">
        <v>47</v>
      </c>
      <c r="H335" s="25">
        <v>9.5</v>
      </c>
      <c r="I335" s="25">
        <v>1.03</v>
      </c>
      <c r="J335" s="25">
        <v>3.43</v>
      </c>
      <c r="K335" s="26">
        <v>0</v>
      </c>
      <c r="L335" s="25">
        <f t="shared" si="40"/>
        <v>-2.8394971986123623</v>
      </c>
      <c r="M335" s="25">
        <f t="shared" si="46"/>
        <v>5.5226766469520308E-2</v>
      </c>
      <c r="N335" s="25">
        <f t="shared" si="41"/>
        <v>0.94477323353047971</v>
      </c>
      <c r="O335" s="25">
        <f t="shared" si="42"/>
        <v>-5.6810344802496929E-2</v>
      </c>
      <c r="P335" s="25">
        <f t="shared" si="43"/>
        <v>0</v>
      </c>
      <c r="Q335" s="25">
        <f t="shared" si="47"/>
        <v>569.05356821904127</v>
      </c>
      <c r="R335" s="25">
        <f t="shared" si="44"/>
        <v>5</v>
      </c>
      <c r="S335" s="26">
        <f t="shared" si="45"/>
        <v>9</v>
      </c>
    </row>
    <row r="336" spans="2:19" x14ac:dyDescent="0.3">
      <c r="B336" s="24">
        <v>96116</v>
      </c>
      <c r="C336" s="25">
        <v>42</v>
      </c>
      <c r="D336" s="25">
        <v>1</v>
      </c>
      <c r="E336" s="25">
        <v>2</v>
      </c>
      <c r="F336" s="25">
        <v>10</v>
      </c>
      <c r="G336" s="25">
        <v>38</v>
      </c>
      <c r="H336" s="25">
        <v>3.6</v>
      </c>
      <c r="I336" s="25">
        <v>0.39</v>
      </c>
      <c r="J336" s="25">
        <v>0.98</v>
      </c>
      <c r="K336" s="26">
        <v>1</v>
      </c>
      <c r="L336" s="25">
        <f t="shared" si="40"/>
        <v>-1.5638457454297297</v>
      </c>
      <c r="M336" s="25">
        <f t="shared" si="46"/>
        <v>0.17309549999791979</v>
      </c>
      <c r="N336" s="25">
        <f t="shared" si="41"/>
        <v>0.17309549999791979</v>
      </c>
      <c r="O336" s="25">
        <f t="shared" si="42"/>
        <v>-1.7539118136837024</v>
      </c>
      <c r="P336" s="25">
        <f t="shared" si="43"/>
        <v>0</v>
      </c>
      <c r="Q336" s="25">
        <f t="shared" si="47"/>
        <v>532.24604875405487</v>
      </c>
      <c r="R336" s="25">
        <f t="shared" si="44"/>
        <v>6</v>
      </c>
      <c r="S336" s="26">
        <f t="shared" si="45"/>
        <v>12</v>
      </c>
    </row>
    <row r="337" spans="2:19" x14ac:dyDescent="0.3">
      <c r="B337" s="24">
        <v>96167</v>
      </c>
      <c r="C337" s="25">
        <v>61</v>
      </c>
      <c r="D337" s="25">
        <v>1</v>
      </c>
      <c r="E337" s="25">
        <v>7</v>
      </c>
      <c r="F337" s="25">
        <v>22</v>
      </c>
      <c r="G337" s="25">
        <v>35</v>
      </c>
      <c r="H337" s="25">
        <v>10.4</v>
      </c>
      <c r="I337" s="25">
        <v>0.7</v>
      </c>
      <c r="J337" s="25">
        <v>2.94</v>
      </c>
      <c r="K337" s="26">
        <v>0</v>
      </c>
      <c r="L337" s="25">
        <f t="shared" si="40"/>
        <v>-2.623465746174741</v>
      </c>
      <c r="M337" s="25">
        <f t="shared" si="46"/>
        <v>6.7643388930042084E-2</v>
      </c>
      <c r="N337" s="25">
        <f t="shared" si="41"/>
        <v>0.93235661106995793</v>
      </c>
      <c r="O337" s="25">
        <f t="shared" si="42"/>
        <v>-7.0039907577311308E-2</v>
      </c>
      <c r="P337" s="25">
        <f t="shared" si="43"/>
        <v>0</v>
      </c>
      <c r="Q337" s="25">
        <f t="shared" si="47"/>
        <v>562.82021829355131</v>
      </c>
      <c r="R337" s="25">
        <f t="shared" si="44"/>
        <v>5</v>
      </c>
      <c r="S337" s="26">
        <f t="shared" si="45"/>
        <v>10</v>
      </c>
    </row>
    <row r="338" spans="2:19" x14ac:dyDescent="0.3">
      <c r="B338" s="24">
        <v>96197</v>
      </c>
      <c r="C338" s="25">
        <v>30</v>
      </c>
      <c r="D338" s="25">
        <v>4</v>
      </c>
      <c r="E338" s="25">
        <v>2</v>
      </c>
      <c r="F338" s="25">
        <v>6</v>
      </c>
      <c r="G338" s="25">
        <v>61</v>
      </c>
      <c r="H338" s="25">
        <v>2.9</v>
      </c>
      <c r="I338" s="25">
        <v>0.64</v>
      </c>
      <c r="J338" s="25">
        <v>1.1299999999999999</v>
      </c>
      <c r="K338" s="26">
        <v>1</v>
      </c>
      <c r="L338" s="25">
        <f t="shared" si="40"/>
        <v>-1.2770562938505952</v>
      </c>
      <c r="M338" s="25">
        <f t="shared" si="46"/>
        <v>0.21805172409951604</v>
      </c>
      <c r="N338" s="25">
        <f t="shared" si="41"/>
        <v>0.21805172409951604</v>
      </c>
      <c r="O338" s="25">
        <f t="shared" si="42"/>
        <v>-1.5230229778247537</v>
      </c>
      <c r="P338" s="25">
        <f t="shared" si="43"/>
        <v>0</v>
      </c>
      <c r="Q338" s="25">
        <f t="shared" si="47"/>
        <v>523.97105459713566</v>
      </c>
      <c r="R338" s="25">
        <f t="shared" si="44"/>
        <v>6</v>
      </c>
      <c r="S338" s="26">
        <f t="shared" si="45"/>
        <v>13</v>
      </c>
    </row>
    <row r="339" spans="2:19" x14ac:dyDescent="0.3">
      <c r="B339" s="24">
        <v>96228</v>
      </c>
      <c r="C339" s="25">
        <v>39</v>
      </c>
      <c r="D339" s="25">
        <v>4</v>
      </c>
      <c r="E339" s="25">
        <v>12</v>
      </c>
      <c r="F339" s="25">
        <v>9</v>
      </c>
      <c r="G339" s="25">
        <v>82</v>
      </c>
      <c r="H339" s="25">
        <v>6.2</v>
      </c>
      <c r="I339" s="25">
        <v>1.79</v>
      </c>
      <c r="J339" s="25">
        <v>3.29</v>
      </c>
      <c r="K339" s="26">
        <v>0</v>
      </c>
      <c r="L339" s="25">
        <f t="shared" si="40"/>
        <v>-2.8991162085502724</v>
      </c>
      <c r="M339" s="25">
        <f t="shared" si="46"/>
        <v>5.2197269340191643E-2</v>
      </c>
      <c r="N339" s="25">
        <f t="shared" si="41"/>
        <v>0.94780273065980836</v>
      </c>
      <c r="O339" s="25">
        <f t="shared" si="42"/>
        <v>-5.3608888402146934E-2</v>
      </c>
      <c r="P339" s="25">
        <f t="shared" si="43"/>
        <v>0</v>
      </c>
      <c r="Q339" s="25">
        <f t="shared" si="47"/>
        <v>570.77380916988864</v>
      </c>
      <c r="R339" s="25">
        <f t="shared" si="44"/>
        <v>5</v>
      </c>
      <c r="S339" s="26">
        <f t="shared" si="45"/>
        <v>9</v>
      </c>
    </row>
    <row r="340" spans="2:19" x14ac:dyDescent="0.3">
      <c r="B340" s="24">
        <v>96253</v>
      </c>
      <c r="C340" s="25">
        <v>26</v>
      </c>
      <c r="D340" s="25">
        <v>3</v>
      </c>
      <c r="E340" s="25">
        <v>5</v>
      </c>
      <c r="F340" s="25">
        <v>2</v>
      </c>
      <c r="G340" s="25">
        <v>25</v>
      </c>
      <c r="H340" s="25">
        <v>10.8</v>
      </c>
      <c r="I340" s="25">
        <v>1.1299999999999999</v>
      </c>
      <c r="J340" s="25">
        <v>1.57</v>
      </c>
      <c r="K340" s="26">
        <v>0</v>
      </c>
      <c r="L340" s="25">
        <f t="shared" si="40"/>
        <v>-0.66338691557592466</v>
      </c>
      <c r="M340" s="25">
        <f t="shared" si="46"/>
        <v>0.33997919884015737</v>
      </c>
      <c r="N340" s="25">
        <f t="shared" si="41"/>
        <v>0.66002080115984263</v>
      </c>
      <c r="O340" s="25">
        <f t="shared" si="42"/>
        <v>-0.41548392754946067</v>
      </c>
      <c r="P340" s="25">
        <f t="shared" si="43"/>
        <v>0</v>
      </c>
      <c r="Q340" s="25">
        <f t="shared" si="47"/>
        <v>506.26429972333619</v>
      </c>
      <c r="R340" s="25">
        <f t="shared" si="44"/>
        <v>7</v>
      </c>
      <c r="S340" s="26">
        <f t="shared" si="45"/>
        <v>14</v>
      </c>
    </row>
    <row r="341" spans="2:19" x14ac:dyDescent="0.3">
      <c r="B341" s="24">
        <v>96263</v>
      </c>
      <c r="C341" s="25">
        <v>62</v>
      </c>
      <c r="D341" s="25">
        <v>3</v>
      </c>
      <c r="E341" s="25">
        <v>12</v>
      </c>
      <c r="F341" s="25">
        <v>10</v>
      </c>
      <c r="G341" s="25">
        <v>108</v>
      </c>
      <c r="H341" s="25">
        <v>7.3</v>
      </c>
      <c r="I341" s="25">
        <v>1.38</v>
      </c>
      <c r="J341" s="25">
        <v>6.5</v>
      </c>
      <c r="K341" s="26">
        <v>0</v>
      </c>
      <c r="L341" s="25">
        <f t="shared" si="40"/>
        <v>-3.3732458556305889</v>
      </c>
      <c r="M341" s="25">
        <f t="shared" si="46"/>
        <v>3.3142141726509998E-2</v>
      </c>
      <c r="N341" s="25">
        <f t="shared" si="41"/>
        <v>0.96685785827349002</v>
      </c>
      <c r="O341" s="25">
        <f t="shared" si="42"/>
        <v>-3.3703786811589524E-2</v>
      </c>
      <c r="P341" s="25">
        <f t="shared" si="43"/>
        <v>0</v>
      </c>
      <c r="Q341" s="25">
        <f t="shared" si="47"/>
        <v>584.45429859377941</v>
      </c>
      <c r="R341" s="25">
        <f t="shared" si="44"/>
        <v>5</v>
      </c>
      <c r="S341" s="26">
        <f t="shared" si="45"/>
        <v>8</v>
      </c>
    </row>
    <row r="342" spans="2:19" x14ac:dyDescent="0.3">
      <c r="B342" s="24">
        <v>96479</v>
      </c>
      <c r="C342" s="25">
        <v>48</v>
      </c>
      <c r="D342" s="25">
        <v>2</v>
      </c>
      <c r="E342" s="25">
        <v>17</v>
      </c>
      <c r="F342" s="25">
        <v>8</v>
      </c>
      <c r="G342" s="25">
        <v>81</v>
      </c>
      <c r="H342" s="25">
        <v>30</v>
      </c>
      <c r="I342" s="25">
        <v>11.64</v>
      </c>
      <c r="J342" s="25">
        <v>12.66</v>
      </c>
      <c r="K342" s="26">
        <v>1</v>
      </c>
      <c r="L342" s="25">
        <f t="shared" si="40"/>
        <v>3.1873612387815089</v>
      </c>
      <c r="M342" s="25">
        <f t="shared" si="46"/>
        <v>0.96035587825480762</v>
      </c>
      <c r="N342" s="25">
        <f t="shared" si="41"/>
        <v>0.96035587825480762</v>
      </c>
      <c r="O342" s="25">
        <f t="shared" si="42"/>
        <v>-4.0451356699514301E-2</v>
      </c>
      <c r="P342" s="25">
        <f t="shared" si="43"/>
        <v>1</v>
      </c>
      <c r="Q342" s="25">
        <f t="shared" si="47"/>
        <v>395.15519755232219</v>
      </c>
      <c r="R342" s="25">
        <f t="shared" si="44"/>
        <v>8</v>
      </c>
      <c r="S342" s="26">
        <f t="shared" si="45"/>
        <v>17</v>
      </c>
    </row>
    <row r="343" spans="2:19" x14ac:dyDescent="0.3">
      <c r="B343" s="24">
        <v>96521</v>
      </c>
      <c r="C343" s="25">
        <v>39</v>
      </c>
      <c r="D343" s="25">
        <v>3</v>
      </c>
      <c r="E343" s="25">
        <v>17</v>
      </c>
      <c r="F343" s="25">
        <v>9</v>
      </c>
      <c r="G343" s="25">
        <v>165</v>
      </c>
      <c r="H343" s="25">
        <v>3.3</v>
      </c>
      <c r="I343" s="25">
        <v>2.5499999999999998</v>
      </c>
      <c r="J343" s="25">
        <v>2.89</v>
      </c>
      <c r="K343" s="26">
        <v>0</v>
      </c>
      <c r="L343" s="25">
        <f t="shared" si="40"/>
        <v>-3.8975111811176966</v>
      </c>
      <c r="M343" s="25">
        <f t="shared" si="46"/>
        <v>1.9888762851320779E-2</v>
      </c>
      <c r="N343" s="25">
        <f t="shared" si="41"/>
        <v>0.9801112371486792</v>
      </c>
      <c r="O343" s="25">
        <f t="shared" si="42"/>
        <v>-2.0089206464414363E-2</v>
      </c>
      <c r="P343" s="25">
        <f t="shared" si="43"/>
        <v>0</v>
      </c>
      <c r="Q343" s="25">
        <f t="shared" si="47"/>
        <v>599.58139786885192</v>
      </c>
      <c r="R343" s="25">
        <f t="shared" si="44"/>
        <v>4</v>
      </c>
      <c r="S343" s="26">
        <f t="shared" si="45"/>
        <v>7</v>
      </c>
    </row>
    <row r="344" spans="2:19" x14ac:dyDescent="0.3">
      <c r="B344" s="24">
        <v>96536</v>
      </c>
      <c r="C344" s="25">
        <v>51</v>
      </c>
      <c r="D344" s="25">
        <v>1</v>
      </c>
      <c r="E344" s="25">
        <v>33</v>
      </c>
      <c r="F344" s="25">
        <v>13</v>
      </c>
      <c r="G344" s="25">
        <v>234</v>
      </c>
      <c r="H344" s="25">
        <v>9.6</v>
      </c>
      <c r="I344" s="25">
        <v>4.25</v>
      </c>
      <c r="J344" s="25">
        <v>18.22</v>
      </c>
      <c r="K344" s="26">
        <v>0</v>
      </c>
      <c r="L344" s="25">
        <f t="shared" si="40"/>
        <v>-5.966393264837369</v>
      </c>
      <c r="M344" s="25">
        <f t="shared" si="46"/>
        <v>2.5569159461358735E-3</v>
      </c>
      <c r="N344" s="25">
        <f t="shared" si="41"/>
        <v>0.99744308405386417</v>
      </c>
      <c r="O344" s="25">
        <f t="shared" si="42"/>
        <v>-2.5601904386393232E-3</v>
      </c>
      <c r="P344" s="25">
        <f t="shared" si="43"/>
        <v>0</v>
      </c>
      <c r="Q344" s="25">
        <f t="shared" si="47"/>
        <v>659.27671462429089</v>
      </c>
      <c r="R344" s="25">
        <f t="shared" si="44"/>
        <v>2</v>
      </c>
      <c r="S344" s="26">
        <f t="shared" si="45"/>
        <v>2</v>
      </c>
    </row>
    <row r="345" spans="2:19" x14ac:dyDescent="0.3">
      <c r="B345" s="24">
        <v>96611</v>
      </c>
      <c r="C345" s="25">
        <v>31</v>
      </c>
      <c r="D345" s="25">
        <v>3</v>
      </c>
      <c r="E345" s="25">
        <v>4</v>
      </c>
      <c r="F345" s="25">
        <v>6</v>
      </c>
      <c r="G345" s="25">
        <v>43</v>
      </c>
      <c r="H345" s="25">
        <v>6.9</v>
      </c>
      <c r="I345" s="25">
        <v>0.66</v>
      </c>
      <c r="J345" s="25">
        <v>2.31</v>
      </c>
      <c r="K345" s="26">
        <v>0</v>
      </c>
      <c r="L345" s="25">
        <f t="shared" si="40"/>
        <v>-1.2640566885427003</v>
      </c>
      <c r="M345" s="25">
        <f t="shared" si="46"/>
        <v>0.22027634640261803</v>
      </c>
      <c r="N345" s="25">
        <f t="shared" si="41"/>
        <v>0.77972365359738194</v>
      </c>
      <c r="O345" s="25">
        <f t="shared" si="42"/>
        <v>-0.24881571233388808</v>
      </c>
      <c r="P345" s="25">
        <f t="shared" si="43"/>
        <v>0</v>
      </c>
      <c r="Q345" s="25">
        <f t="shared" si="47"/>
        <v>523.59596528554221</v>
      </c>
      <c r="R345" s="25">
        <f t="shared" si="44"/>
        <v>6</v>
      </c>
      <c r="S345" s="26">
        <f t="shared" si="45"/>
        <v>13</v>
      </c>
    </row>
    <row r="346" spans="2:19" x14ac:dyDescent="0.3">
      <c r="B346" s="24">
        <v>96627</v>
      </c>
      <c r="C346" s="25">
        <v>45</v>
      </c>
      <c r="D346" s="25">
        <v>3</v>
      </c>
      <c r="E346" s="25">
        <v>19</v>
      </c>
      <c r="F346" s="25">
        <v>7</v>
      </c>
      <c r="G346" s="25">
        <v>286</v>
      </c>
      <c r="H346" s="25">
        <v>5</v>
      </c>
      <c r="I346" s="25">
        <v>4.53</v>
      </c>
      <c r="J346" s="25">
        <v>9.77</v>
      </c>
      <c r="K346" s="26">
        <v>0</v>
      </c>
      <c r="L346" s="25">
        <f t="shared" si="40"/>
        <v>-3.1073761879775246</v>
      </c>
      <c r="M346" s="25">
        <f t="shared" si="46"/>
        <v>4.2804017741956496E-2</v>
      </c>
      <c r="N346" s="25">
        <f t="shared" si="41"/>
        <v>0.95719598225804348</v>
      </c>
      <c r="O346" s="25">
        <f t="shared" si="42"/>
        <v>-4.3747120346987495E-2</v>
      </c>
      <c r="P346" s="25">
        <f t="shared" si="43"/>
        <v>0</v>
      </c>
      <c r="Q346" s="25">
        <f t="shared" si="47"/>
        <v>576.78292179028472</v>
      </c>
      <c r="R346" s="25">
        <f t="shared" si="44"/>
        <v>5</v>
      </c>
      <c r="S346" s="26">
        <f t="shared" si="45"/>
        <v>9</v>
      </c>
    </row>
    <row r="347" spans="2:19" x14ac:dyDescent="0.3">
      <c r="B347" s="24">
        <v>96714</v>
      </c>
      <c r="C347" s="25">
        <v>44</v>
      </c>
      <c r="D347" s="25">
        <v>4</v>
      </c>
      <c r="E347" s="25">
        <v>0</v>
      </c>
      <c r="F347" s="25">
        <v>9</v>
      </c>
      <c r="G347" s="25">
        <v>167</v>
      </c>
      <c r="H347" s="25">
        <v>10.6</v>
      </c>
      <c r="I347" s="25">
        <v>7.79</v>
      </c>
      <c r="J347" s="25">
        <v>9.91</v>
      </c>
      <c r="K347" s="26">
        <v>1</v>
      </c>
      <c r="L347" s="25">
        <f t="shared" si="40"/>
        <v>3.1737542191705126</v>
      </c>
      <c r="M347" s="25">
        <f t="shared" si="46"/>
        <v>0.95983456799071809</v>
      </c>
      <c r="N347" s="25">
        <f t="shared" si="41"/>
        <v>0.95983456799071809</v>
      </c>
      <c r="O347" s="25">
        <f t="shared" si="42"/>
        <v>-4.0994334379584267E-2</v>
      </c>
      <c r="P347" s="25">
        <f t="shared" si="43"/>
        <v>1</v>
      </c>
      <c r="Q347" s="25">
        <f t="shared" si="47"/>
        <v>395.54781313547596</v>
      </c>
      <c r="R347" s="25">
        <f t="shared" si="44"/>
        <v>8</v>
      </c>
      <c r="S347" s="26">
        <f t="shared" si="45"/>
        <v>17</v>
      </c>
    </row>
    <row r="348" spans="2:19" x14ac:dyDescent="0.3">
      <c r="B348" s="24">
        <v>96732</v>
      </c>
      <c r="C348" s="25">
        <v>28</v>
      </c>
      <c r="D348" s="25">
        <v>2</v>
      </c>
      <c r="E348" s="25">
        <v>9</v>
      </c>
      <c r="F348" s="25">
        <v>3</v>
      </c>
      <c r="G348" s="25">
        <v>36</v>
      </c>
      <c r="H348" s="25">
        <v>3.2</v>
      </c>
      <c r="I348" s="25">
        <v>0.09</v>
      </c>
      <c r="J348" s="25">
        <v>1.06</v>
      </c>
      <c r="K348" s="26">
        <v>0</v>
      </c>
      <c r="L348" s="25">
        <f t="shared" si="40"/>
        <v>-2.8509291261965952</v>
      </c>
      <c r="M348" s="25">
        <f t="shared" si="46"/>
        <v>5.4633309369187623E-2</v>
      </c>
      <c r="N348" s="25">
        <f t="shared" si="41"/>
        <v>0.94536669063081236</v>
      </c>
      <c r="O348" s="25">
        <f t="shared" si="42"/>
        <v>-5.6182394339943667E-2</v>
      </c>
      <c r="P348" s="25">
        <f t="shared" si="43"/>
        <v>0</v>
      </c>
      <c r="Q348" s="25">
        <f t="shared" si="47"/>
        <v>569.3834239143639</v>
      </c>
      <c r="R348" s="25">
        <f t="shared" si="44"/>
        <v>5</v>
      </c>
      <c r="S348" s="26">
        <f t="shared" si="45"/>
        <v>9</v>
      </c>
    </row>
    <row r="349" spans="2:19" x14ac:dyDescent="0.3">
      <c r="B349" s="24">
        <v>96945</v>
      </c>
      <c r="C349" s="25">
        <v>36</v>
      </c>
      <c r="D349" s="25">
        <v>3</v>
      </c>
      <c r="E349" s="25">
        <v>8</v>
      </c>
      <c r="F349" s="25">
        <v>4</v>
      </c>
      <c r="G349" s="25">
        <v>41</v>
      </c>
      <c r="H349" s="25">
        <v>11.1</v>
      </c>
      <c r="I349" s="25">
        <v>1.57</v>
      </c>
      <c r="J349" s="25">
        <v>2.98</v>
      </c>
      <c r="K349" s="26">
        <v>1</v>
      </c>
      <c r="L349" s="25">
        <f t="shared" si="40"/>
        <v>-1.3459495148744482</v>
      </c>
      <c r="M349" s="25">
        <f t="shared" si="46"/>
        <v>0.20653336551122545</v>
      </c>
      <c r="N349" s="25">
        <f t="shared" si="41"/>
        <v>0.20653336551122545</v>
      </c>
      <c r="O349" s="25">
        <f t="shared" si="42"/>
        <v>-1.5772933033075511</v>
      </c>
      <c r="P349" s="25">
        <f t="shared" si="43"/>
        <v>0</v>
      </c>
      <c r="Q349" s="25">
        <f t="shared" si="47"/>
        <v>525.9588927072358</v>
      </c>
      <c r="R349" s="25">
        <f t="shared" si="44"/>
        <v>6</v>
      </c>
      <c r="S349" s="26">
        <f t="shared" si="45"/>
        <v>12</v>
      </c>
    </row>
    <row r="350" spans="2:19" x14ac:dyDescent="0.3">
      <c r="B350" s="24">
        <v>96961</v>
      </c>
      <c r="C350" s="25">
        <v>38</v>
      </c>
      <c r="D350" s="25">
        <v>5</v>
      </c>
      <c r="E350" s="25">
        <v>4</v>
      </c>
      <c r="F350" s="25">
        <v>5</v>
      </c>
      <c r="G350" s="25">
        <v>66</v>
      </c>
      <c r="H350" s="25">
        <v>10.7</v>
      </c>
      <c r="I350" s="25">
        <v>2.4</v>
      </c>
      <c r="J350" s="25">
        <v>4.66</v>
      </c>
      <c r="K350" s="26">
        <v>1</v>
      </c>
      <c r="L350" s="25">
        <f t="shared" si="40"/>
        <v>-0.22248545503585307</v>
      </c>
      <c r="M350" s="25">
        <f t="shared" si="46"/>
        <v>0.44460694328792061</v>
      </c>
      <c r="N350" s="25">
        <f t="shared" si="41"/>
        <v>0.44460694328792061</v>
      </c>
      <c r="O350" s="25">
        <f t="shared" si="42"/>
        <v>-0.81056466064208865</v>
      </c>
      <c r="P350" s="25">
        <f t="shared" si="43"/>
        <v>1</v>
      </c>
      <c r="Q350" s="25">
        <f t="shared" si="47"/>
        <v>493.542573071059</v>
      </c>
      <c r="R350" s="25">
        <f t="shared" si="44"/>
        <v>7</v>
      </c>
      <c r="S350" s="26">
        <f t="shared" si="45"/>
        <v>14</v>
      </c>
    </row>
    <row r="351" spans="2:19" x14ac:dyDescent="0.3">
      <c r="B351" s="24">
        <v>97000</v>
      </c>
      <c r="C351" s="25">
        <v>61</v>
      </c>
      <c r="D351" s="25">
        <v>2</v>
      </c>
      <c r="E351" s="25">
        <v>22</v>
      </c>
      <c r="F351" s="25">
        <v>6</v>
      </c>
      <c r="G351" s="25">
        <v>108</v>
      </c>
      <c r="H351" s="25">
        <v>22.2</v>
      </c>
      <c r="I351" s="25">
        <v>6.04</v>
      </c>
      <c r="J351" s="25">
        <v>17.93</v>
      </c>
      <c r="K351" s="26">
        <v>0</v>
      </c>
      <c r="L351" s="25">
        <f t="shared" si="40"/>
        <v>-1.4509702873796253</v>
      </c>
      <c r="M351" s="25">
        <f t="shared" si="46"/>
        <v>0.18985228275976979</v>
      </c>
      <c r="N351" s="25">
        <f t="shared" si="41"/>
        <v>0.81014771724023027</v>
      </c>
      <c r="O351" s="25">
        <f t="shared" si="42"/>
        <v>-0.21053868097923858</v>
      </c>
      <c r="P351" s="25">
        <f t="shared" si="43"/>
        <v>0</v>
      </c>
      <c r="Q351" s="25">
        <f t="shared" si="47"/>
        <v>528.98915157502302</v>
      </c>
      <c r="R351" s="25">
        <f t="shared" si="44"/>
        <v>6</v>
      </c>
      <c r="S351" s="26">
        <f t="shared" si="45"/>
        <v>12</v>
      </c>
    </row>
    <row r="352" spans="2:19" x14ac:dyDescent="0.3">
      <c r="B352" s="24">
        <v>97003</v>
      </c>
      <c r="C352" s="25">
        <v>66</v>
      </c>
      <c r="D352" s="25">
        <v>3</v>
      </c>
      <c r="E352" s="25">
        <v>6</v>
      </c>
      <c r="F352" s="25">
        <v>20</v>
      </c>
      <c r="G352" s="25">
        <v>61</v>
      </c>
      <c r="H352" s="25">
        <v>7.7</v>
      </c>
      <c r="I352" s="25">
        <v>1.2</v>
      </c>
      <c r="J352" s="25">
        <v>3.49</v>
      </c>
      <c r="K352" s="26">
        <v>1</v>
      </c>
      <c r="L352" s="25">
        <f t="shared" si="40"/>
        <v>-2.5594516469655706</v>
      </c>
      <c r="M352" s="25">
        <f t="shared" si="46"/>
        <v>7.1794075758753712E-2</v>
      </c>
      <c r="N352" s="25">
        <f t="shared" si="41"/>
        <v>7.1794075758753712E-2</v>
      </c>
      <c r="O352" s="25">
        <f t="shared" si="42"/>
        <v>-2.6339533166558868</v>
      </c>
      <c r="P352" s="25">
        <f t="shared" si="43"/>
        <v>0</v>
      </c>
      <c r="Q352" s="25">
        <f t="shared" si="47"/>
        <v>560.97316187637989</v>
      </c>
      <c r="R352" s="25">
        <f t="shared" si="44"/>
        <v>5</v>
      </c>
      <c r="S352" s="26">
        <f t="shared" si="45"/>
        <v>10</v>
      </c>
    </row>
    <row r="353" spans="2:19" x14ac:dyDescent="0.3">
      <c r="B353" s="24">
        <v>97045</v>
      </c>
      <c r="C353" s="25">
        <v>24</v>
      </c>
      <c r="D353" s="25">
        <v>2</v>
      </c>
      <c r="E353" s="25">
        <v>5</v>
      </c>
      <c r="F353" s="25">
        <v>3</v>
      </c>
      <c r="G353" s="25">
        <v>31</v>
      </c>
      <c r="H353" s="25">
        <v>10.4</v>
      </c>
      <c r="I353" s="25">
        <v>0.7</v>
      </c>
      <c r="J353" s="25">
        <v>2.52</v>
      </c>
      <c r="K353" s="26">
        <v>0</v>
      </c>
      <c r="L353" s="25">
        <f t="shared" si="40"/>
        <v>-0.81768755286102102</v>
      </c>
      <c r="M353" s="25">
        <f t="shared" si="46"/>
        <v>0.30625474859489871</v>
      </c>
      <c r="N353" s="25">
        <f t="shared" si="41"/>
        <v>0.69374525140510124</v>
      </c>
      <c r="O353" s="25">
        <f t="shared" si="42"/>
        <v>-0.3656504587663944</v>
      </c>
      <c r="P353" s="25">
        <f t="shared" si="43"/>
        <v>0</v>
      </c>
      <c r="Q353" s="25">
        <f t="shared" si="47"/>
        <v>510.71647488149659</v>
      </c>
      <c r="R353" s="25">
        <f t="shared" si="44"/>
        <v>7</v>
      </c>
      <c r="S353" s="26">
        <f t="shared" si="45"/>
        <v>13</v>
      </c>
    </row>
    <row r="354" spans="2:19" x14ac:dyDescent="0.3">
      <c r="B354" s="24">
        <v>97048</v>
      </c>
      <c r="C354" s="25">
        <v>45</v>
      </c>
      <c r="D354" s="25">
        <v>1</v>
      </c>
      <c r="E354" s="25">
        <v>12</v>
      </c>
      <c r="F354" s="25">
        <v>10</v>
      </c>
      <c r="G354" s="25">
        <v>44</v>
      </c>
      <c r="H354" s="25">
        <v>9.8000000000000007</v>
      </c>
      <c r="I354" s="25">
        <v>1.6</v>
      </c>
      <c r="J354" s="25">
        <v>2.72</v>
      </c>
      <c r="K354" s="26">
        <v>0</v>
      </c>
      <c r="L354" s="25">
        <f t="shared" si="40"/>
        <v>-2.6551162587662485</v>
      </c>
      <c r="M354" s="25">
        <f t="shared" si="46"/>
        <v>6.5674370989410272E-2</v>
      </c>
      <c r="N354" s="25">
        <f t="shared" si="41"/>
        <v>0.93432562901058969</v>
      </c>
      <c r="O354" s="25">
        <f t="shared" si="42"/>
        <v>-6.793026231618407E-2</v>
      </c>
      <c r="P354" s="25">
        <f t="shared" si="43"/>
        <v>0</v>
      </c>
      <c r="Q354" s="25">
        <f t="shared" si="47"/>
        <v>563.73345901881544</v>
      </c>
      <c r="R354" s="25">
        <f t="shared" si="44"/>
        <v>5</v>
      </c>
      <c r="S354" s="26">
        <f t="shared" si="45"/>
        <v>10</v>
      </c>
    </row>
    <row r="355" spans="2:19" x14ac:dyDescent="0.3">
      <c r="B355" s="24">
        <v>97147</v>
      </c>
      <c r="C355" s="25">
        <v>47</v>
      </c>
      <c r="D355" s="25">
        <v>5</v>
      </c>
      <c r="E355" s="25">
        <v>8</v>
      </c>
      <c r="F355" s="25">
        <v>13</v>
      </c>
      <c r="G355" s="25">
        <v>33</v>
      </c>
      <c r="H355" s="25">
        <v>15.4</v>
      </c>
      <c r="I355" s="25">
        <v>1.71</v>
      </c>
      <c r="J355" s="25">
        <v>3.37</v>
      </c>
      <c r="K355" s="26">
        <v>0</v>
      </c>
      <c r="L355" s="25">
        <f t="shared" si="40"/>
        <v>-1.4808412338143431</v>
      </c>
      <c r="M355" s="25">
        <f t="shared" si="46"/>
        <v>0.18530038951904823</v>
      </c>
      <c r="N355" s="25">
        <f t="shared" si="41"/>
        <v>0.81469961048095174</v>
      </c>
      <c r="O355" s="25">
        <f t="shared" si="42"/>
        <v>-0.20493580977913048</v>
      </c>
      <c r="P355" s="25">
        <f t="shared" si="43"/>
        <v>0</v>
      </c>
      <c r="Q355" s="25">
        <f t="shared" si="47"/>
        <v>529.85104487635567</v>
      </c>
      <c r="R355" s="25">
        <f t="shared" si="44"/>
        <v>6</v>
      </c>
      <c r="S355" s="26">
        <f t="shared" si="45"/>
        <v>12</v>
      </c>
    </row>
    <row r="356" spans="2:19" x14ac:dyDescent="0.3">
      <c r="B356" s="24">
        <v>97173</v>
      </c>
      <c r="C356" s="25">
        <v>19</v>
      </c>
      <c r="D356" s="25">
        <v>2</v>
      </c>
      <c r="E356" s="25">
        <v>0</v>
      </c>
      <c r="F356" s="25">
        <v>0</v>
      </c>
      <c r="G356" s="25">
        <v>25</v>
      </c>
      <c r="H356" s="25">
        <v>3.9</v>
      </c>
      <c r="I356" s="25">
        <v>0.68</v>
      </c>
      <c r="J356" s="25">
        <v>0.28999999999999998</v>
      </c>
      <c r="K356" s="26">
        <v>1</v>
      </c>
      <c r="L356" s="25">
        <f t="shared" si="40"/>
        <v>-0.19516780447319929</v>
      </c>
      <c r="M356" s="25">
        <f t="shared" si="46"/>
        <v>0.45136233692151023</v>
      </c>
      <c r="N356" s="25">
        <f t="shared" si="41"/>
        <v>0.45136233692151023</v>
      </c>
      <c r="O356" s="25">
        <f t="shared" si="42"/>
        <v>-0.79548485423053228</v>
      </c>
      <c r="P356" s="25">
        <f t="shared" si="43"/>
        <v>1</v>
      </c>
      <c r="Q356" s="25">
        <f t="shared" si="47"/>
        <v>492.75435231348922</v>
      </c>
      <c r="R356" s="25">
        <f t="shared" si="44"/>
        <v>7</v>
      </c>
      <c r="S356" s="26">
        <f t="shared" si="45"/>
        <v>14</v>
      </c>
    </row>
    <row r="357" spans="2:19" x14ac:dyDescent="0.3">
      <c r="B357" s="24">
        <v>97191</v>
      </c>
      <c r="C357" s="25">
        <v>28</v>
      </c>
      <c r="D357" s="25">
        <v>2</v>
      </c>
      <c r="E357" s="25">
        <v>2</v>
      </c>
      <c r="F357" s="25">
        <v>5</v>
      </c>
      <c r="G357" s="25">
        <v>26</v>
      </c>
      <c r="H357" s="25">
        <v>23.6</v>
      </c>
      <c r="I357" s="25">
        <v>0.74</v>
      </c>
      <c r="J357" s="25">
        <v>5.4</v>
      </c>
      <c r="K357" s="26">
        <v>1</v>
      </c>
      <c r="L357" s="25">
        <f t="shared" si="40"/>
        <v>1.1147818401023666</v>
      </c>
      <c r="M357" s="25">
        <f t="shared" si="46"/>
        <v>0.75301951903823439</v>
      </c>
      <c r="N357" s="25">
        <f t="shared" si="41"/>
        <v>0.75301951903823439</v>
      </c>
      <c r="O357" s="25">
        <f t="shared" si="42"/>
        <v>-0.28366412982068245</v>
      </c>
      <c r="P357" s="25">
        <f t="shared" si="43"/>
        <v>1</v>
      </c>
      <c r="Q357" s="25">
        <f t="shared" si="47"/>
        <v>454.95719626387029</v>
      </c>
      <c r="R357" s="25">
        <f t="shared" si="44"/>
        <v>8</v>
      </c>
      <c r="S357" s="26">
        <f t="shared" si="45"/>
        <v>16</v>
      </c>
    </row>
    <row r="358" spans="2:19" x14ac:dyDescent="0.3">
      <c r="B358" s="24">
        <v>97247</v>
      </c>
      <c r="C358" s="25">
        <v>40</v>
      </c>
      <c r="D358" s="25">
        <v>4</v>
      </c>
      <c r="E358" s="25">
        <v>3</v>
      </c>
      <c r="F358" s="25">
        <v>10</v>
      </c>
      <c r="G358" s="25">
        <v>35</v>
      </c>
      <c r="H358" s="25">
        <v>10</v>
      </c>
      <c r="I358" s="25">
        <v>1.0900000000000001</v>
      </c>
      <c r="J358" s="25">
        <v>2.42</v>
      </c>
      <c r="K358" s="26">
        <v>1</v>
      </c>
      <c r="L358" s="25">
        <f t="shared" si="40"/>
        <v>-0.9024032329466587</v>
      </c>
      <c r="M358" s="25">
        <f t="shared" si="46"/>
        <v>0.28855688274668068</v>
      </c>
      <c r="N358" s="25">
        <f t="shared" si="41"/>
        <v>0.28855688274668068</v>
      </c>
      <c r="O358" s="25">
        <f t="shared" si="42"/>
        <v>-1.2428630452360252</v>
      </c>
      <c r="P358" s="25">
        <f t="shared" si="43"/>
        <v>0</v>
      </c>
      <c r="Q358" s="25">
        <f t="shared" si="47"/>
        <v>513.1608526431196</v>
      </c>
      <c r="R358" s="25">
        <f t="shared" si="44"/>
        <v>7</v>
      </c>
      <c r="S358" s="26">
        <f t="shared" si="45"/>
        <v>13</v>
      </c>
    </row>
    <row r="359" spans="2:19" x14ac:dyDescent="0.3">
      <c r="B359" s="24">
        <v>97289</v>
      </c>
      <c r="C359" s="25">
        <v>25</v>
      </c>
      <c r="D359" s="25">
        <v>4</v>
      </c>
      <c r="E359" s="25">
        <v>1</v>
      </c>
      <c r="F359" s="25">
        <v>1</v>
      </c>
      <c r="G359" s="25">
        <v>27</v>
      </c>
      <c r="H359" s="25">
        <v>14.2</v>
      </c>
      <c r="I359" s="25">
        <v>0.46</v>
      </c>
      <c r="J359" s="25">
        <v>3.38</v>
      </c>
      <c r="K359" s="26">
        <v>0</v>
      </c>
      <c r="L359" s="25">
        <f t="shared" si="40"/>
        <v>0.30961585189806834</v>
      </c>
      <c r="M359" s="25">
        <f t="shared" si="46"/>
        <v>0.57679149216955861</v>
      </c>
      <c r="N359" s="25">
        <f t="shared" si="41"/>
        <v>0.42320850783044139</v>
      </c>
      <c r="O359" s="25">
        <f t="shared" si="42"/>
        <v>-0.85989029507102555</v>
      </c>
      <c r="P359" s="25">
        <f t="shared" si="43"/>
        <v>1</v>
      </c>
      <c r="Q359" s="25">
        <f t="shared" si="47"/>
        <v>478.18937517091831</v>
      </c>
      <c r="R359" s="25">
        <f t="shared" si="44"/>
        <v>7</v>
      </c>
      <c r="S359" s="26">
        <f t="shared" si="45"/>
        <v>15</v>
      </c>
    </row>
    <row r="360" spans="2:19" x14ac:dyDescent="0.3">
      <c r="B360" s="24">
        <v>97350</v>
      </c>
      <c r="C360" s="25">
        <v>64</v>
      </c>
      <c r="D360" s="25">
        <v>1</v>
      </c>
      <c r="E360" s="25">
        <v>26</v>
      </c>
      <c r="F360" s="25">
        <v>26</v>
      </c>
      <c r="G360" s="25">
        <v>56</v>
      </c>
      <c r="H360" s="25">
        <v>20.3</v>
      </c>
      <c r="I360" s="25">
        <v>2.0099999999999998</v>
      </c>
      <c r="J360" s="25">
        <v>9.36</v>
      </c>
      <c r="K360" s="26">
        <v>0</v>
      </c>
      <c r="L360" s="25">
        <f t="shared" si="40"/>
        <v>-5.3442672149175499</v>
      </c>
      <c r="M360" s="25">
        <f t="shared" si="46"/>
        <v>4.7527527716133972E-3</v>
      </c>
      <c r="N360" s="25">
        <f t="shared" si="41"/>
        <v>0.99524724722838664</v>
      </c>
      <c r="O360" s="25">
        <f t="shared" si="42"/>
        <v>-4.7640830152199613E-3</v>
      </c>
      <c r="P360" s="25">
        <f t="shared" si="43"/>
        <v>0</v>
      </c>
      <c r="Q360" s="25">
        <f t="shared" si="47"/>
        <v>641.3259517925095</v>
      </c>
      <c r="R360" s="25">
        <f t="shared" si="44"/>
        <v>3</v>
      </c>
      <c r="S360" s="26">
        <f t="shared" si="45"/>
        <v>3</v>
      </c>
    </row>
    <row r="361" spans="2:19" x14ac:dyDescent="0.3">
      <c r="B361" s="24">
        <v>97355</v>
      </c>
      <c r="C361" s="25">
        <v>40</v>
      </c>
      <c r="D361" s="25">
        <v>3</v>
      </c>
      <c r="E361" s="25">
        <v>15</v>
      </c>
      <c r="F361" s="25">
        <v>4</v>
      </c>
      <c r="G361" s="25">
        <v>78</v>
      </c>
      <c r="H361" s="25">
        <v>15.5</v>
      </c>
      <c r="I361" s="25">
        <v>3.52</v>
      </c>
      <c r="J361" s="25">
        <v>8.57</v>
      </c>
      <c r="K361" s="26">
        <v>0</v>
      </c>
      <c r="L361" s="25">
        <f t="shared" si="40"/>
        <v>-1.5052021077782713</v>
      </c>
      <c r="M361" s="25">
        <f t="shared" si="46"/>
        <v>0.18165092930876672</v>
      </c>
      <c r="N361" s="25">
        <f t="shared" si="41"/>
        <v>0.8183490706912333</v>
      </c>
      <c r="O361" s="25">
        <f t="shared" si="42"/>
        <v>-0.20046629661928839</v>
      </c>
      <c r="P361" s="25">
        <f t="shared" si="43"/>
        <v>0</v>
      </c>
      <c r="Q361" s="25">
        <f t="shared" si="47"/>
        <v>530.55395109762344</v>
      </c>
      <c r="R361" s="25">
        <f t="shared" si="44"/>
        <v>6</v>
      </c>
      <c r="S361" s="26">
        <f t="shared" si="45"/>
        <v>12</v>
      </c>
    </row>
    <row r="362" spans="2:19" x14ac:dyDescent="0.3">
      <c r="B362" s="24">
        <v>97357</v>
      </c>
      <c r="C362" s="25">
        <v>37</v>
      </c>
      <c r="D362" s="25">
        <v>5</v>
      </c>
      <c r="E362" s="25">
        <v>1</v>
      </c>
      <c r="F362" s="25">
        <v>10</v>
      </c>
      <c r="G362" s="25">
        <v>90</v>
      </c>
      <c r="H362" s="25">
        <v>1.8</v>
      </c>
      <c r="I362" s="25">
        <v>0.25</v>
      </c>
      <c r="J362" s="25">
        <v>1.37</v>
      </c>
      <c r="K362" s="26">
        <v>0</v>
      </c>
      <c r="L362" s="25">
        <f t="shared" si="40"/>
        <v>-1.6676425834481139</v>
      </c>
      <c r="M362" s="25">
        <f t="shared" si="46"/>
        <v>0.1587387368139683</v>
      </c>
      <c r="N362" s="25">
        <f t="shared" si="41"/>
        <v>0.84126126318603167</v>
      </c>
      <c r="O362" s="25">
        <f t="shared" si="42"/>
        <v>-0.17285300948158519</v>
      </c>
      <c r="P362" s="25">
        <f t="shared" si="43"/>
        <v>0</v>
      </c>
      <c r="Q362" s="25">
        <f t="shared" si="47"/>
        <v>535.2409923385535</v>
      </c>
      <c r="R362" s="25">
        <f t="shared" si="44"/>
        <v>6</v>
      </c>
      <c r="S362" s="26">
        <f t="shared" si="45"/>
        <v>12</v>
      </c>
    </row>
    <row r="363" spans="2:19" x14ac:dyDescent="0.3">
      <c r="B363" s="24">
        <v>97402</v>
      </c>
      <c r="C363" s="25">
        <v>56</v>
      </c>
      <c r="D363" s="25">
        <v>2</v>
      </c>
      <c r="E363" s="25">
        <v>35</v>
      </c>
      <c r="F363" s="25">
        <v>14</v>
      </c>
      <c r="G363" s="25">
        <v>236</v>
      </c>
      <c r="H363" s="25">
        <v>3.9</v>
      </c>
      <c r="I363" s="25">
        <v>6.68</v>
      </c>
      <c r="J363" s="25">
        <v>2.52</v>
      </c>
      <c r="K363" s="26">
        <v>0</v>
      </c>
      <c r="L363" s="25">
        <f t="shared" si="40"/>
        <v>-6.4238845490260248</v>
      </c>
      <c r="M363" s="25">
        <f t="shared" si="46"/>
        <v>1.6197141816840341E-3</v>
      </c>
      <c r="N363" s="25">
        <f t="shared" si="41"/>
        <v>0.99838028581831595</v>
      </c>
      <c r="O363" s="25">
        <f t="shared" si="42"/>
        <v>-1.6210273368481426E-3</v>
      </c>
      <c r="P363" s="25">
        <f t="shared" si="43"/>
        <v>0</v>
      </c>
      <c r="Q363" s="25">
        <f t="shared" si="47"/>
        <v>672.47712238914198</v>
      </c>
      <c r="R363" s="25">
        <f t="shared" si="44"/>
        <v>2</v>
      </c>
      <c r="S363" s="26">
        <f t="shared" si="45"/>
        <v>1</v>
      </c>
    </row>
    <row r="364" spans="2:19" x14ac:dyDescent="0.3">
      <c r="B364" s="24">
        <v>97548</v>
      </c>
      <c r="C364" s="25">
        <v>33</v>
      </c>
      <c r="D364" s="25">
        <v>3</v>
      </c>
      <c r="E364" s="25">
        <v>8</v>
      </c>
      <c r="F364" s="25">
        <v>4</v>
      </c>
      <c r="G364" s="25">
        <v>102</v>
      </c>
      <c r="H364" s="25">
        <v>28.8</v>
      </c>
      <c r="I364" s="25">
        <v>7.93</v>
      </c>
      <c r="J364" s="25">
        <v>21.44</v>
      </c>
      <c r="K364" s="26">
        <v>1</v>
      </c>
      <c r="L364" s="25">
        <f t="shared" si="40"/>
        <v>3.9727436319449794</v>
      </c>
      <c r="M364" s="25">
        <f t="shared" si="46"/>
        <v>0.98152599032952359</v>
      </c>
      <c r="N364" s="25">
        <f t="shared" si="41"/>
        <v>0.98152599032952359</v>
      </c>
      <c r="O364" s="25">
        <f t="shared" si="42"/>
        <v>-1.8646785402743123E-2</v>
      </c>
      <c r="P364" s="25">
        <f t="shared" si="43"/>
        <v>1</v>
      </c>
      <c r="Q364" s="25">
        <f t="shared" si="47"/>
        <v>372.49385251822275</v>
      </c>
      <c r="R364" s="25">
        <f t="shared" si="44"/>
        <v>8</v>
      </c>
      <c r="S364" s="26">
        <f t="shared" si="45"/>
        <v>17</v>
      </c>
    </row>
    <row r="365" spans="2:19" x14ac:dyDescent="0.3">
      <c r="B365" s="24">
        <v>97595</v>
      </c>
      <c r="C365" s="25">
        <v>66</v>
      </c>
      <c r="D365" s="25">
        <v>3</v>
      </c>
      <c r="E365" s="25">
        <v>30</v>
      </c>
      <c r="F365" s="25">
        <v>22</v>
      </c>
      <c r="G365" s="25">
        <v>104</v>
      </c>
      <c r="H365" s="25">
        <v>6.7</v>
      </c>
      <c r="I365" s="25">
        <v>2.29</v>
      </c>
      <c r="J365" s="25">
        <v>4.68</v>
      </c>
      <c r="K365" s="26">
        <v>0</v>
      </c>
      <c r="L365" s="25">
        <f t="shared" si="40"/>
        <v>-7.5982781936637007</v>
      </c>
      <c r="M365" s="25">
        <f t="shared" si="46"/>
        <v>5.0106266648158827E-4</v>
      </c>
      <c r="N365" s="25">
        <f t="shared" si="41"/>
        <v>0.99949893733351847</v>
      </c>
      <c r="O365" s="25">
        <f t="shared" si="42"/>
        <v>-5.0118824032806687E-4</v>
      </c>
      <c r="P365" s="25">
        <f t="shared" si="43"/>
        <v>0</v>
      </c>
      <c r="Q365" s="25">
        <f t="shared" si="47"/>
        <v>706.36295917215307</v>
      </c>
      <c r="R365" s="25">
        <f t="shared" si="44"/>
        <v>1</v>
      </c>
      <c r="S365" s="26">
        <f t="shared" si="45"/>
        <v>1</v>
      </c>
    </row>
    <row r="366" spans="2:19" x14ac:dyDescent="0.3">
      <c r="B366" s="24">
        <v>97629</v>
      </c>
      <c r="C366" s="25">
        <v>18</v>
      </c>
      <c r="D366" s="25">
        <v>2</v>
      </c>
      <c r="E366" s="25">
        <v>0</v>
      </c>
      <c r="F366" s="25">
        <v>0</v>
      </c>
      <c r="G366" s="25">
        <v>28</v>
      </c>
      <c r="H366" s="25">
        <v>9.9</v>
      </c>
      <c r="I366" s="25">
        <v>1.05</v>
      </c>
      <c r="J366" s="25">
        <v>1.72</v>
      </c>
      <c r="K366" s="26">
        <v>0</v>
      </c>
      <c r="L366" s="25">
        <f t="shared" si="40"/>
        <v>0.6360729135364902</v>
      </c>
      <c r="M366" s="25">
        <f t="shared" si="46"/>
        <v>0.65386519866309112</v>
      </c>
      <c r="N366" s="25">
        <f t="shared" si="41"/>
        <v>0.34613480133690888</v>
      </c>
      <c r="O366" s="25">
        <f t="shared" si="42"/>
        <v>-1.0609269805588692</v>
      </c>
      <c r="P366" s="25">
        <f t="shared" si="43"/>
        <v>1</v>
      </c>
      <c r="Q366" s="25">
        <f t="shared" si="47"/>
        <v>468.76981576010945</v>
      </c>
      <c r="R366" s="25">
        <f t="shared" si="44"/>
        <v>7</v>
      </c>
      <c r="S366" s="26">
        <f t="shared" si="45"/>
        <v>15</v>
      </c>
    </row>
    <row r="367" spans="2:19" x14ac:dyDescent="0.3">
      <c r="B367" s="24">
        <v>97815</v>
      </c>
      <c r="C367" s="25">
        <v>52</v>
      </c>
      <c r="D367" s="25">
        <v>3</v>
      </c>
      <c r="E367" s="25">
        <v>28</v>
      </c>
      <c r="F367" s="25">
        <v>23</v>
      </c>
      <c r="G367" s="25">
        <v>108</v>
      </c>
      <c r="H367" s="25">
        <v>3.9</v>
      </c>
      <c r="I367" s="25">
        <v>2.21</v>
      </c>
      <c r="J367" s="25">
        <v>2</v>
      </c>
      <c r="K367" s="26">
        <v>0</v>
      </c>
      <c r="L367" s="25">
        <f t="shared" si="40"/>
        <v>-7.2593280940086835</v>
      </c>
      <c r="M367" s="25">
        <f t="shared" si="46"/>
        <v>7.0308593921664022E-4</v>
      </c>
      <c r="N367" s="25">
        <f t="shared" si="41"/>
        <v>0.99929691406078336</v>
      </c>
      <c r="O367" s="25">
        <f t="shared" si="42"/>
        <v>-7.0333322004884752E-4</v>
      </c>
      <c r="P367" s="25">
        <f t="shared" si="43"/>
        <v>0</v>
      </c>
      <c r="Q367" s="25">
        <f t="shared" si="47"/>
        <v>696.58292689171708</v>
      </c>
      <c r="R367" s="25">
        <f t="shared" si="44"/>
        <v>1</v>
      </c>
      <c r="S367" s="26">
        <f t="shared" si="45"/>
        <v>1</v>
      </c>
    </row>
    <row r="368" spans="2:19" x14ac:dyDescent="0.3">
      <c r="B368" s="24">
        <v>97845</v>
      </c>
      <c r="C368" s="25">
        <v>46</v>
      </c>
      <c r="D368" s="25">
        <v>1</v>
      </c>
      <c r="E368" s="25">
        <v>2</v>
      </c>
      <c r="F368" s="25">
        <v>10</v>
      </c>
      <c r="G368" s="25">
        <v>38</v>
      </c>
      <c r="H368" s="25">
        <v>8.1999999999999993</v>
      </c>
      <c r="I368" s="25">
        <v>0.5</v>
      </c>
      <c r="J368" s="25">
        <v>2.62</v>
      </c>
      <c r="K368" s="26">
        <v>1</v>
      </c>
      <c r="L368" s="25">
        <f t="shared" si="40"/>
        <v>-1.0986268841111229</v>
      </c>
      <c r="M368" s="25">
        <f t="shared" si="46"/>
        <v>0.24999726336442066</v>
      </c>
      <c r="N368" s="25">
        <f t="shared" si="41"/>
        <v>0.24999726336442066</v>
      </c>
      <c r="O368" s="25">
        <f t="shared" si="42"/>
        <v>-1.3863053077221219</v>
      </c>
      <c r="P368" s="25">
        <f t="shared" si="43"/>
        <v>0</v>
      </c>
      <c r="Q368" s="25">
        <f t="shared" si="47"/>
        <v>518.82267025145393</v>
      </c>
      <c r="R368" s="25">
        <f t="shared" si="44"/>
        <v>6</v>
      </c>
      <c r="S368" s="26">
        <f t="shared" si="45"/>
        <v>13</v>
      </c>
    </row>
    <row r="369" spans="2:19" x14ac:dyDescent="0.3">
      <c r="B369" s="24">
        <v>97911</v>
      </c>
      <c r="C369" s="25">
        <v>51</v>
      </c>
      <c r="D369" s="25">
        <v>2</v>
      </c>
      <c r="E369" s="25">
        <v>3</v>
      </c>
      <c r="F369" s="25">
        <v>14</v>
      </c>
      <c r="G369" s="25">
        <v>19</v>
      </c>
      <c r="H369" s="25">
        <v>4.9000000000000004</v>
      </c>
      <c r="I369" s="25">
        <v>0.34</v>
      </c>
      <c r="J369" s="25">
        <v>0.59</v>
      </c>
      <c r="K369" s="26">
        <v>0</v>
      </c>
      <c r="L369" s="25">
        <f t="shared" si="40"/>
        <v>-2.0763928889438286</v>
      </c>
      <c r="M369" s="25">
        <f t="shared" si="46"/>
        <v>0.11141256978795622</v>
      </c>
      <c r="N369" s="25">
        <f t="shared" si="41"/>
        <v>0.88858743021204378</v>
      </c>
      <c r="O369" s="25">
        <f t="shared" si="42"/>
        <v>-0.11812223418915262</v>
      </c>
      <c r="P369" s="25">
        <f t="shared" si="43"/>
        <v>0</v>
      </c>
      <c r="Q369" s="25">
        <f t="shared" si="47"/>
        <v>547.03503277829634</v>
      </c>
      <c r="R369" s="25">
        <f t="shared" si="44"/>
        <v>6</v>
      </c>
      <c r="S369" s="26">
        <f t="shared" si="45"/>
        <v>11</v>
      </c>
    </row>
    <row r="370" spans="2:19" x14ac:dyDescent="0.3">
      <c r="B370" s="24">
        <v>97992</v>
      </c>
      <c r="C370" s="25">
        <v>34</v>
      </c>
      <c r="D370" s="25">
        <v>2</v>
      </c>
      <c r="E370" s="25">
        <v>6</v>
      </c>
      <c r="F370" s="25">
        <v>4</v>
      </c>
      <c r="G370" s="25">
        <v>45</v>
      </c>
      <c r="H370" s="25">
        <v>9.1</v>
      </c>
      <c r="I370" s="25">
        <v>1.31</v>
      </c>
      <c r="J370" s="25">
        <v>2.78</v>
      </c>
      <c r="K370" s="26">
        <v>0</v>
      </c>
      <c r="L370" s="25">
        <f t="shared" si="40"/>
        <v>-1.1234074619705623</v>
      </c>
      <c r="M370" s="25">
        <f t="shared" si="46"/>
        <v>0.24537978149244541</v>
      </c>
      <c r="N370" s="25">
        <f t="shared" si="41"/>
        <v>0.75462021850755456</v>
      </c>
      <c r="O370" s="25">
        <f t="shared" si="42"/>
        <v>-0.28154067813534156</v>
      </c>
      <c r="P370" s="25">
        <f t="shared" si="43"/>
        <v>0</v>
      </c>
      <c r="Q370" s="25">
        <f t="shared" si="47"/>
        <v>519.5376865669524</v>
      </c>
      <c r="R370" s="25">
        <f t="shared" si="44"/>
        <v>6</v>
      </c>
      <c r="S370" s="26">
        <f t="shared" si="45"/>
        <v>13</v>
      </c>
    </row>
    <row r="371" spans="2:19" x14ac:dyDescent="0.3">
      <c r="B371" s="24">
        <v>98023</v>
      </c>
      <c r="C371" s="25">
        <v>19</v>
      </c>
      <c r="D371" s="25">
        <v>2</v>
      </c>
      <c r="E371" s="25">
        <v>0</v>
      </c>
      <c r="F371" s="25">
        <v>0</v>
      </c>
      <c r="G371" s="25">
        <v>18</v>
      </c>
      <c r="H371" s="25">
        <v>6.3</v>
      </c>
      <c r="I371" s="25">
        <v>0.26</v>
      </c>
      <c r="J371" s="25">
        <v>0.87</v>
      </c>
      <c r="K371" s="26">
        <v>0</v>
      </c>
      <c r="L371" s="25">
        <f t="shared" si="40"/>
        <v>-0.14199980560217573</v>
      </c>
      <c r="M371" s="25">
        <f t="shared" si="46"/>
        <v>0.46455958015158771</v>
      </c>
      <c r="N371" s="25">
        <f t="shared" si="41"/>
        <v>0.53544041984841229</v>
      </c>
      <c r="O371" s="25">
        <f t="shared" si="42"/>
        <v>-0.62466565607155278</v>
      </c>
      <c r="P371" s="25">
        <f t="shared" si="43"/>
        <v>1</v>
      </c>
      <c r="Q371" s="25">
        <f t="shared" si="47"/>
        <v>491.2202481908646</v>
      </c>
      <c r="R371" s="25">
        <f t="shared" si="44"/>
        <v>7</v>
      </c>
      <c r="S371" s="26">
        <f t="shared" si="45"/>
        <v>14</v>
      </c>
    </row>
    <row r="372" spans="2:19" x14ac:dyDescent="0.3">
      <c r="B372" s="24">
        <v>98041</v>
      </c>
      <c r="C372" s="25">
        <v>52</v>
      </c>
      <c r="D372" s="25">
        <v>1</v>
      </c>
      <c r="E372" s="25">
        <v>33</v>
      </c>
      <c r="F372" s="25">
        <v>12</v>
      </c>
      <c r="G372" s="25">
        <v>80</v>
      </c>
      <c r="H372" s="25">
        <v>9</v>
      </c>
      <c r="I372" s="25">
        <v>1.06</v>
      </c>
      <c r="J372" s="25">
        <v>6.14</v>
      </c>
      <c r="K372" s="26">
        <v>0</v>
      </c>
      <c r="L372" s="25">
        <f t="shared" si="40"/>
        <v>-7.8641391302969694</v>
      </c>
      <c r="M372" s="25">
        <f t="shared" si="46"/>
        <v>3.841323756715462E-4</v>
      </c>
      <c r="N372" s="25">
        <f t="shared" si="41"/>
        <v>0.99961586762432841</v>
      </c>
      <c r="O372" s="25">
        <f t="shared" si="42"/>
        <v>-3.8420617341194529E-4</v>
      </c>
      <c r="P372" s="25">
        <f t="shared" si="43"/>
        <v>0</v>
      </c>
      <c r="Q372" s="25">
        <f t="shared" si="47"/>
        <v>714.03408405167568</v>
      </c>
      <c r="R372" s="25">
        <f t="shared" si="44"/>
        <v>1</v>
      </c>
      <c r="S372" s="26">
        <f t="shared" si="45"/>
        <v>1</v>
      </c>
    </row>
    <row r="373" spans="2:19" x14ac:dyDescent="0.3">
      <c r="B373" s="24">
        <v>98114</v>
      </c>
      <c r="C373" s="25">
        <v>24</v>
      </c>
      <c r="D373" s="25">
        <v>1</v>
      </c>
      <c r="E373" s="25">
        <v>2</v>
      </c>
      <c r="F373" s="25">
        <v>2</v>
      </c>
      <c r="G373" s="25">
        <v>29</v>
      </c>
      <c r="H373" s="25">
        <v>23.6</v>
      </c>
      <c r="I373" s="25">
        <v>0.47</v>
      </c>
      <c r="J373" s="25">
        <v>6.38</v>
      </c>
      <c r="K373" s="26">
        <v>0</v>
      </c>
      <c r="L373" s="25">
        <f t="shared" si="40"/>
        <v>1.2497301601277881</v>
      </c>
      <c r="M373" s="25">
        <f t="shared" si="46"/>
        <v>0.77725314710592031</v>
      </c>
      <c r="N373" s="25">
        <f t="shared" si="41"/>
        <v>0.22274685289407969</v>
      </c>
      <c r="O373" s="25">
        <f t="shared" si="42"/>
        <v>-1.5017193411526655</v>
      </c>
      <c r="P373" s="25">
        <f t="shared" si="43"/>
        <v>1</v>
      </c>
      <c r="Q373" s="25">
        <f t="shared" si="47"/>
        <v>451.06341093268878</v>
      </c>
      <c r="R373" s="25">
        <f t="shared" si="44"/>
        <v>8</v>
      </c>
      <c r="S373" s="26">
        <f t="shared" si="45"/>
        <v>16</v>
      </c>
    </row>
    <row r="374" spans="2:19" x14ac:dyDescent="0.3">
      <c r="B374" s="24">
        <v>98144</v>
      </c>
      <c r="C374" s="25">
        <v>35</v>
      </c>
      <c r="D374" s="25">
        <v>4</v>
      </c>
      <c r="E374" s="25">
        <v>5</v>
      </c>
      <c r="F374" s="25">
        <v>4</v>
      </c>
      <c r="G374" s="25">
        <v>47</v>
      </c>
      <c r="H374" s="25">
        <v>16.100000000000001</v>
      </c>
      <c r="I374" s="25">
        <v>3.18</v>
      </c>
      <c r="J374" s="25">
        <v>4.3899999999999997</v>
      </c>
      <c r="K374" s="26">
        <v>1</v>
      </c>
      <c r="L374" s="25">
        <f t="shared" si="40"/>
        <v>0.59856083627084566</v>
      </c>
      <c r="M374" s="25">
        <f t="shared" si="46"/>
        <v>0.64532697926737481</v>
      </c>
      <c r="N374" s="25">
        <f t="shared" si="41"/>
        <v>0.64532697926737481</v>
      </c>
      <c r="O374" s="25">
        <f t="shared" si="42"/>
        <v>-0.43799814603878695</v>
      </c>
      <c r="P374" s="25">
        <f t="shared" si="43"/>
        <v>1</v>
      </c>
      <c r="Q374" s="25">
        <f t="shared" si="47"/>
        <v>469.85218548632463</v>
      </c>
      <c r="R374" s="25">
        <f t="shared" si="44"/>
        <v>7</v>
      </c>
      <c r="S374" s="26">
        <f t="shared" si="45"/>
        <v>15</v>
      </c>
    </row>
    <row r="375" spans="2:19" x14ac:dyDescent="0.3">
      <c r="B375" s="24">
        <v>98195</v>
      </c>
      <c r="C375" s="25">
        <v>29</v>
      </c>
      <c r="D375" s="25">
        <v>4</v>
      </c>
      <c r="E375" s="25">
        <v>1</v>
      </c>
      <c r="F375" s="25">
        <v>4</v>
      </c>
      <c r="G375" s="25">
        <v>50</v>
      </c>
      <c r="H375" s="25">
        <v>15.1</v>
      </c>
      <c r="I375" s="25">
        <v>2.67</v>
      </c>
      <c r="J375" s="25">
        <v>4.88</v>
      </c>
      <c r="K375" s="26">
        <v>1</v>
      </c>
      <c r="L375" s="25">
        <f t="shared" si="40"/>
        <v>1.3048852054525266</v>
      </c>
      <c r="M375" s="25">
        <f t="shared" si="46"/>
        <v>0.78665600704049798</v>
      </c>
      <c r="N375" s="25">
        <f t="shared" si="41"/>
        <v>0.78665600704049798</v>
      </c>
      <c r="O375" s="25">
        <f t="shared" si="42"/>
        <v>-0.23996422009464644</v>
      </c>
      <c r="P375" s="25">
        <f t="shared" si="43"/>
        <v>1</v>
      </c>
      <c r="Q375" s="25">
        <f t="shared" si="47"/>
        <v>449.47197277039334</v>
      </c>
      <c r="R375" s="25">
        <f t="shared" si="44"/>
        <v>8</v>
      </c>
      <c r="S375" s="26">
        <f t="shared" si="45"/>
        <v>16</v>
      </c>
    </row>
    <row r="376" spans="2:19" x14ac:dyDescent="0.3">
      <c r="B376" s="24">
        <v>98277</v>
      </c>
      <c r="C376" s="25">
        <v>47</v>
      </c>
      <c r="D376" s="25">
        <v>2</v>
      </c>
      <c r="E376" s="25">
        <v>10</v>
      </c>
      <c r="F376" s="25">
        <v>10</v>
      </c>
      <c r="G376" s="25">
        <v>48</v>
      </c>
      <c r="H376" s="25">
        <v>7</v>
      </c>
      <c r="I376" s="25">
        <v>1.98</v>
      </c>
      <c r="J376" s="25">
        <v>1.38</v>
      </c>
      <c r="K376" s="26">
        <v>0</v>
      </c>
      <c r="L376" s="25">
        <f t="shared" si="40"/>
        <v>-2.4309880928437222</v>
      </c>
      <c r="M376" s="25">
        <f t="shared" si="46"/>
        <v>8.0840016652292609E-2</v>
      </c>
      <c r="N376" s="25">
        <f t="shared" si="41"/>
        <v>0.91915998334770743</v>
      </c>
      <c r="O376" s="25">
        <f t="shared" si="42"/>
        <v>-8.4295087612261121E-2</v>
      </c>
      <c r="P376" s="25">
        <f t="shared" si="43"/>
        <v>0</v>
      </c>
      <c r="Q376" s="25">
        <f t="shared" si="47"/>
        <v>557.26648733210345</v>
      </c>
      <c r="R376" s="25">
        <f t="shared" si="44"/>
        <v>5</v>
      </c>
      <c r="S376" s="26">
        <f t="shared" si="45"/>
        <v>10</v>
      </c>
    </row>
    <row r="377" spans="2:19" x14ac:dyDescent="0.3">
      <c r="B377" s="24">
        <v>98410</v>
      </c>
      <c r="C377" s="25">
        <v>26</v>
      </c>
      <c r="D377" s="25">
        <v>3</v>
      </c>
      <c r="E377" s="25">
        <v>4</v>
      </c>
      <c r="F377" s="25">
        <v>4</v>
      </c>
      <c r="G377" s="25">
        <v>50</v>
      </c>
      <c r="H377" s="25">
        <v>0.8</v>
      </c>
      <c r="I377" s="25">
        <v>0.13</v>
      </c>
      <c r="J377" s="25">
        <v>0.27</v>
      </c>
      <c r="K377" s="26">
        <v>0</v>
      </c>
      <c r="L377" s="25">
        <f t="shared" si="40"/>
        <v>-1.9994340853188983</v>
      </c>
      <c r="M377" s="25">
        <f t="shared" si="46"/>
        <v>0.11926235223906473</v>
      </c>
      <c r="N377" s="25">
        <f t="shared" si="41"/>
        <v>0.88073764776093522</v>
      </c>
      <c r="O377" s="25">
        <f t="shared" si="42"/>
        <v>-0.12699548654158335</v>
      </c>
      <c r="P377" s="25">
        <f t="shared" si="43"/>
        <v>0</v>
      </c>
      <c r="Q377" s="25">
        <f t="shared" si="47"/>
        <v>544.814471154383</v>
      </c>
      <c r="R377" s="25">
        <f t="shared" si="44"/>
        <v>6</v>
      </c>
      <c r="S377" s="26">
        <f t="shared" si="45"/>
        <v>11</v>
      </c>
    </row>
    <row r="378" spans="2:19" x14ac:dyDescent="0.3">
      <c r="B378" s="24">
        <v>98611</v>
      </c>
      <c r="C378" s="25">
        <v>27</v>
      </c>
      <c r="D378" s="25">
        <v>4</v>
      </c>
      <c r="E378" s="25">
        <v>2</v>
      </c>
      <c r="F378" s="25">
        <v>3</v>
      </c>
      <c r="G378" s="25">
        <v>34</v>
      </c>
      <c r="H378" s="25">
        <v>11.4</v>
      </c>
      <c r="I378" s="25">
        <v>2.16</v>
      </c>
      <c r="J378" s="25">
        <v>1.72</v>
      </c>
      <c r="K378" s="26">
        <v>0</v>
      </c>
      <c r="L378" s="25">
        <f t="shared" si="40"/>
        <v>0.46121973386878973</v>
      </c>
      <c r="M378" s="25">
        <f t="shared" si="46"/>
        <v>0.61330349099960701</v>
      </c>
      <c r="N378" s="25">
        <f t="shared" si="41"/>
        <v>0.38669650900039299</v>
      </c>
      <c r="O378" s="25">
        <f t="shared" si="42"/>
        <v>-0.95011510807864752</v>
      </c>
      <c r="P378" s="25">
        <f t="shared" si="43"/>
        <v>1</v>
      </c>
      <c r="Q378" s="25">
        <f t="shared" si="47"/>
        <v>473.81501192092333</v>
      </c>
      <c r="R378" s="25">
        <f t="shared" si="44"/>
        <v>7</v>
      </c>
      <c r="S378" s="26">
        <f t="shared" si="45"/>
        <v>15</v>
      </c>
    </row>
    <row r="379" spans="2:19" x14ac:dyDescent="0.3">
      <c r="B379" s="24">
        <v>98648</v>
      </c>
      <c r="C379" s="25">
        <v>19</v>
      </c>
      <c r="D379" s="25">
        <v>2</v>
      </c>
      <c r="E379" s="25">
        <v>0</v>
      </c>
      <c r="F379" s="25">
        <v>0</v>
      </c>
      <c r="G379" s="25">
        <v>36</v>
      </c>
      <c r="H379" s="25">
        <v>6.7</v>
      </c>
      <c r="I379" s="25">
        <v>0.89</v>
      </c>
      <c r="J379" s="25">
        <v>1.52</v>
      </c>
      <c r="K379" s="26">
        <v>0</v>
      </c>
      <c r="L379" s="25">
        <f t="shared" si="40"/>
        <v>0.21661869816725449</v>
      </c>
      <c r="M379" s="25">
        <f t="shared" si="46"/>
        <v>0.55394390221110101</v>
      </c>
      <c r="N379" s="25">
        <f t="shared" si="41"/>
        <v>0.44605609778889899</v>
      </c>
      <c r="O379" s="25">
        <f t="shared" si="42"/>
        <v>-0.80731055507595062</v>
      </c>
      <c r="P379" s="25">
        <f t="shared" si="43"/>
        <v>1</v>
      </c>
      <c r="Q379" s="25">
        <f t="shared" si="47"/>
        <v>480.87270574495187</v>
      </c>
      <c r="R379" s="25">
        <f t="shared" si="44"/>
        <v>7</v>
      </c>
      <c r="S379" s="26">
        <f t="shared" si="45"/>
        <v>15</v>
      </c>
    </row>
    <row r="380" spans="2:19" x14ac:dyDescent="0.3">
      <c r="B380" s="24">
        <v>98678</v>
      </c>
      <c r="C380" s="25">
        <v>51</v>
      </c>
      <c r="D380" s="25">
        <v>2</v>
      </c>
      <c r="E380" s="25">
        <v>28</v>
      </c>
      <c r="F380" s="25">
        <v>20</v>
      </c>
      <c r="G380" s="25">
        <v>134</v>
      </c>
      <c r="H380" s="25">
        <v>4.0999999999999996</v>
      </c>
      <c r="I380" s="25">
        <v>1.75</v>
      </c>
      <c r="J380" s="25">
        <v>3.74</v>
      </c>
      <c r="K380" s="26">
        <v>0</v>
      </c>
      <c r="L380" s="25">
        <f t="shared" si="40"/>
        <v>-7.2350724428433546</v>
      </c>
      <c r="M380" s="25">
        <f t="shared" si="46"/>
        <v>7.2033581985322264E-4</v>
      </c>
      <c r="N380" s="25">
        <f t="shared" si="41"/>
        <v>0.9992796641801468</v>
      </c>
      <c r="O380" s="25">
        <f t="shared" si="42"/>
        <v>-7.2059538635740265E-4</v>
      </c>
      <c r="P380" s="25">
        <f t="shared" si="43"/>
        <v>0</v>
      </c>
      <c r="Q380" s="25">
        <f t="shared" si="47"/>
        <v>695.88305675855781</v>
      </c>
      <c r="R380" s="25">
        <f t="shared" si="44"/>
        <v>1</v>
      </c>
      <c r="S380" s="26">
        <f t="shared" si="45"/>
        <v>1</v>
      </c>
    </row>
    <row r="381" spans="2:19" x14ac:dyDescent="0.3">
      <c r="B381" s="24">
        <v>98849</v>
      </c>
      <c r="C381" s="25">
        <v>46</v>
      </c>
      <c r="D381" s="25">
        <v>1</v>
      </c>
      <c r="E381" s="25">
        <v>13</v>
      </c>
      <c r="F381" s="25">
        <v>12</v>
      </c>
      <c r="G381" s="25">
        <v>94</v>
      </c>
      <c r="H381" s="25">
        <v>15.7</v>
      </c>
      <c r="I381" s="25">
        <v>8.31</v>
      </c>
      <c r="J381" s="25">
        <v>6.45</v>
      </c>
      <c r="K381" s="26">
        <v>1</v>
      </c>
      <c r="L381" s="25">
        <f t="shared" si="40"/>
        <v>0.90322487001120821</v>
      </c>
      <c r="M381" s="25">
        <f t="shared" si="46"/>
        <v>0.71161176330367515</v>
      </c>
      <c r="N381" s="25">
        <f t="shared" si="41"/>
        <v>0.71161176330367515</v>
      </c>
      <c r="O381" s="25">
        <f t="shared" si="42"/>
        <v>-0.34022279254620752</v>
      </c>
      <c r="P381" s="25">
        <f t="shared" si="43"/>
        <v>1</v>
      </c>
      <c r="Q381" s="25">
        <f t="shared" si="47"/>
        <v>461.06143992318357</v>
      </c>
      <c r="R381" s="25">
        <f t="shared" si="44"/>
        <v>8</v>
      </c>
      <c r="S381" s="26">
        <f t="shared" si="45"/>
        <v>16</v>
      </c>
    </row>
    <row r="382" spans="2:19" x14ac:dyDescent="0.3">
      <c r="B382" s="24">
        <v>98854</v>
      </c>
      <c r="C382" s="25">
        <v>23</v>
      </c>
      <c r="D382" s="25">
        <v>3</v>
      </c>
      <c r="E382" s="25">
        <v>1</v>
      </c>
      <c r="F382" s="25">
        <v>1</v>
      </c>
      <c r="G382" s="25">
        <v>30</v>
      </c>
      <c r="H382" s="25">
        <v>13.6</v>
      </c>
      <c r="I382" s="25">
        <v>2.04</v>
      </c>
      <c r="J382" s="25">
        <v>2.04</v>
      </c>
      <c r="K382" s="26">
        <v>1</v>
      </c>
      <c r="L382" s="25">
        <f t="shared" si="40"/>
        <v>1.061923771281037</v>
      </c>
      <c r="M382" s="25">
        <f t="shared" si="46"/>
        <v>0.74305800881879569</v>
      </c>
      <c r="N382" s="25">
        <f t="shared" si="41"/>
        <v>0.74305800881879569</v>
      </c>
      <c r="O382" s="25">
        <f t="shared" si="42"/>
        <v>-0.29698116353163273</v>
      </c>
      <c r="P382" s="25">
        <f t="shared" si="43"/>
        <v>1</v>
      </c>
      <c r="Q382" s="25">
        <f t="shared" si="47"/>
        <v>456.48235769583408</v>
      </c>
      <c r="R382" s="25">
        <f t="shared" si="44"/>
        <v>8</v>
      </c>
      <c r="S382" s="26">
        <f t="shared" si="45"/>
        <v>16</v>
      </c>
    </row>
    <row r="383" spans="2:19" x14ac:dyDescent="0.3">
      <c r="B383" s="24">
        <v>98855</v>
      </c>
      <c r="C383" s="25">
        <v>19</v>
      </c>
      <c r="D383" s="25">
        <v>2</v>
      </c>
      <c r="E383" s="25">
        <v>0</v>
      </c>
      <c r="F383" s="25">
        <v>0</v>
      </c>
      <c r="G383" s="25">
        <v>20</v>
      </c>
      <c r="H383" s="25">
        <v>5.6</v>
      </c>
      <c r="I383" s="25">
        <v>0.16</v>
      </c>
      <c r="J383" s="25">
        <v>0.96</v>
      </c>
      <c r="K383" s="26">
        <v>1</v>
      </c>
      <c r="L383" s="25">
        <f t="shared" si="40"/>
        <v>-0.2564048086752545</v>
      </c>
      <c r="M383" s="25">
        <f t="shared" si="46"/>
        <v>0.43624769032476696</v>
      </c>
      <c r="N383" s="25">
        <f t="shared" si="41"/>
        <v>0.43624769032476696</v>
      </c>
      <c r="O383" s="25">
        <f t="shared" si="42"/>
        <v>-0.82954509986400382</v>
      </c>
      <c r="P383" s="25">
        <f t="shared" si="43"/>
        <v>1</v>
      </c>
      <c r="Q383" s="25">
        <f t="shared" si="47"/>
        <v>494.5212787090349</v>
      </c>
      <c r="R383" s="25">
        <f t="shared" si="44"/>
        <v>7</v>
      </c>
      <c r="S383" s="26">
        <f t="shared" si="45"/>
        <v>14</v>
      </c>
    </row>
    <row r="384" spans="2:19" x14ac:dyDescent="0.3">
      <c r="B384" s="24">
        <v>98961</v>
      </c>
      <c r="C384" s="25">
        <v>23</v>
      </c>
      <c r="D384" s="25">
        <v>2</v>
      </c>
      <c r="E384" s="25">
        <v>3</v>
      </c>
      <c r="F384" s="25">
        <v>1</v>
      </c>
      <c r="G384" s="25">
        <v>27</v>
      </c>
      <c r="H384" s="25">
        <v>17.8</v>
      </c>
      <c r="I384" s="25">
        <v>0.93</v>
      </c>
      <c r="J384" s="25">
        <v>3.88</v>
      </c>
      <c r="K384" s="26">
        <v>1</v>
      </c>
      <c r="L384" s="25">
        <f t="shared" si="40"/>
        <v>0.60104023849259769</v>
      </c>
      <c r="M384" s="25">
        <f t="shared" si="46"/>
        <v>0.6458942603235992</v>
      </c>
      <c r="N384" s="25">
        <f t="shared" si="41"/>
        <v>0.6458942603235992</v>
      </c>
      <c r="O384" s="25">
        <f t="shared" si="42"/>
        <v>-0.43711947230677434</v>
      </c>
      <c r="P384" s="25">
        <f t="shared" si="43"/>
        <v>1</v>
      </c>
      <c r="Q384" s="25">
        <f t="shared" si="47"/>
        <v>469.78064506255845</v>
      </c>
      <c r="R384" s="25">
        <f t="shared" si="44"/>
        <v>7</v>
      </c>
      <c r="S384" s="26">
        <f t="shared" si="45"/>
        <v>15</v>
      </c>
    </row>
    <row r="385" spans="2:19" x14ac:dyDescent="0.3">
      <c r="B385" s="24">
        <v>98972</v>
      </c>
      <c r="C385" s="25">
        <v>30</v>
      </c>
      <c r="D385" s="25">
        <v>4</v>
      </c>
      <c r="E385" s="25">
        <v>1</v>
      </c>
      <c r="F385" s="25">
        <v>6</v>
      </c>
      <c r="G385" s="25">
        <v>16</v>
      </c>
      <c r="H385" s="25">
        <v>8.5</v>
      </c>
      <c r="I385" s="25">
        <v>1.08</v>
      </c>
      <c r="J385" s="25">
        <v>0.28000000000000003</v>
      </c>
      <c r="K385" s="26">
        <v>1</v>
      </c>
      <c r="L385" s="25">
        <f t="shared" si="40"/>
        <v>-0.31578970965692305</v>
      </c>
      <c r="M385" s="25">
        <f t="shared" si="46"/>
        <v>0.42170216915743169</v>
      </c>
      <c r="N385" s="25">
        <f t="shared" si="41"/>
        <v>0.42170216915743169</v>
      </c>
      <c r="O385" s="25">
        <f t="shared" si="42"/>
        <v>-0.86345597440260646</v>
      </c>
      <c r="P385" s="25">
        <f t="shared" si="43"/>
        <v>1</v>
      </c>
      <c r="Q385" s="25">
        <f t="shared" si="47"/>
        <v>496.23476470346986</v>
      </c>
      <c r="R385" s="25">
        <f t="shared" si="44"/>
        <v>7</v>
      </c>
      <c r="S385" s="26">
        <f t="shared" si="45"/>
        <v>14</v>
      </c>
    </row>
    <row r="386" spans="2:19" x14ac:dyDescent="0.3">
      <c r="B386" s="24">
        <v>98987</v>
      </c>
      <c r="C386" s="25">
        <v>21</v>
      </c>
      <c r="D386" s="25">
        <v>3</v>
      </c>
      <c r="E386" s="25">
        <v>0</v>
      </c>
      <c r="F386" s="25">
        <v>0</v>
      </c>
      <c r="G386" s="25">
        <v>35</v>
      </c>
      <c r="H386" s="25">
        <v>6.8</v>
      </c>
      <c r="I386" s="25">
        <v>0.91</v>
      </c>
      <c r="J386" s="25">
        <v>1.47</v>
      </c>
      <c r="K386" s="26">
        <v>1</v>
      </c>
      <c r="L386" s="25">
        <f t="shared" si="40"/>
        <v>0.13795863993099461</v>
      </c>
      <c r="M386" s="25">
        <f t="shared" si="46"/>
        <v>0.53443506160928955</v>
      </c>
      <c r="N386" s="25">
        <f t="shared" si="41"/>
        <v>0.53443506160928955</v>
      </c>
      <c r="O386" s="25">
        <f t="shared" si="42"/>
        <v>-0.62654504961307678</v>
      </c>
      <c r="P386" s="25">
        <f t="shared" si="43"/>
        <v>1</v>
      </c>
      <c r="Q386" s="25">
        <f t="shared" si="47"/>
        <v>483.14235519929508</v>
      </c>
      <c r="R386" s="25">
        <f t="shared" si="44"/>
        <v>7</v>
      </c>
      <c r="S386" s="26">
        <f t="shared" si="45"/>
        <v>15</v>
      </c>
    </row>
    <row r="387" spans="2:19" x14ac:dyDescent="0.3">
      <c r="B387" s="24">
        <v>99058</v>
      </c>
      <c r="C387" s="25">
        <v>20</v>
      </c>
      <c r="D387" s="25">
        <v>3</v>
      </c>
      <c r="E387" s="25">
        <v>0</v>
      </c>
      <c r="F387" s="25">
        <v>0</v>
      </c>
      <c r="G387" s="25">
        <v>35</v>
      </c>
      <c r="H387" s="25">
        <v>5.8</v>
      </c>
      <c r="I387" s="25">
        <v>0.76</v>
      </c>
      <c r="J387" s="25">
        <v>1.27</v>
      </c>
      <c r="K387" s="26">
        <v>0</v>
      </c>
      <c r="L387" s="25">
        <f t="shared" si="40"/>
        <v>-1.6154206444024155E-2</v>
      </c>
      <c r="M387" s="25">
        <f t="shared" si="46"/>
        <v>0.4959615362111946</v>
      </c>
      <c r="N387" s="25">
        <f t="shared" si="41"/>
        <v>0.50403846378880535</v>
      </c>
      <c r="O387" s="25">
        <f t="shared" si="42"/>
        <v>-0.68510269678148528</v>
      </c>
      <c r="P387" s="25">
        <f t="shared" si="43"/>
        <v>1</v>
      </c>
      <c r="Q387" s="25">
        <f t="shared" si="47"/>
        <v>487.58911185731523</v>
      </c>
      <c r="R387" s="25">
        <f t="shared" si="44"/>
        <v>7</v>
      </c>
      <c r="S387" s="26">
        <f t="shared" si="45"/>
        <v>15</v>
      </c>
    </row>
    <row r="388" spans="2:19" x14ac:dyDescent="0.3">
      <c r="B388" s="24">
        <v>99139</v>
      </c>
      <c r="C388" s="25">
        <v>23</v>
      </c>
      <c r="D388" s="25">
        <v>4</v>
      </c>
      <c r="E388" s="25">
        <v>0</v>
      </c>
      <c r="F388" s="25">
        <v>2</v>
      </c>
      <c r="G388" s="25">
        <v>36</v>
      </c>
      <c r="H388" s="25">
        <v>1.1000000000000001</v>
      </c>
      <c r="I388" s="25">
        <v>0.1</v>
      </c>
      <c r="J388" s="25">
        <v>0.28999999999999998</v>
      </c>
      <c r="K388" s="26">
        <v>0</v>
      </c>
      <c r="L388" s="25">
        <f t="shared" si="40"/>
        <v>-1.0048426402142863</v>
      </c>
      <c r="M388" s="25">
        <f t="shared" si="46"/>
        <v>0.26799036654125236</v>
      </c>
      <c r="N388" s="25">
        <f t="shared" si="41"/>
        <v>0.73200963345874759</v>
      </c>
      <c r="O388" s="25">
        <f t="shared" si="42"/>
        <v>-0.31196160464465367</v>
      </c>
      <c r="P388" s="25">
        <f t="shared" si="43"/>
        <v>0</v>
      </c>
      <c r="Q388" s="25">
        <f t="shared" si="47"/>
        <v>516.11662905647893</v>
      </c>
      <c r="R388" s="25">
        <f t="shared" si="44"/>
        <v>7</v>
      </c>
      <c r="S388" s="26">
        <f t="shared" si="45"/>
        <v>13</v>
      </c>
    </row>
    <row r="389" spans="2:19" x14ac:dyDescent="0.3">
      <c r="B389" s="24">
        <v>99161</v>
      </c>
      <c r="C389" s="25">
        <v>46</v>
      </c>
      <c r="D389" s="25">
        <v>3</v>
      </c>
      <c r="E389" s="25">
        <v>2</v>
      </c>
      <c r="F389" s="25">
        <v>14</v>
      </c>
      <c r="G389" s="25">
        <v>27</v>
      </c>
      <c r="H389" s="25">
        <v>12.1</v>
      </c>
      <c r="I389" s="25">
        <v>0.55000000000000004</v>
      </c>
      <c r="J389" s="25">
        <v>2.72</v>
      </c>
      <c r="K389" s="26">
        <v>0</v>
      </c>
      <c r="L389" s="25">
        <f t="shared" ref="L389:L452" si="48">$Y$4+SUMPRODUCT($Z$4:$AG$4,C389:J389)</f>
        <v>-0.92347574944503186</v>
      </c>
      <c r="M389" s="25">
        <f t="shared" si="46"/>
        <v>0.28425021604618012</v>
      </c>
      <c r="N389" s="25">
        <f t="shared" ref="N389:N452" si="49">IF(K389=1,M389,(1-M389))</f>
        <v>0.71574978395381983</v>
      </c>
      <c r="O389" s="25">
        <f t="shared" ref="O389:O452" si="50">LN(N389)</f>
        <v>-0.33442463684982637</v>
      </c>
      <c r="P389" s="25">
        <f t="shared" ref="P389:P452" si="51">IF(M389&gt;0.4,1,0)</f>
        <v>0</v>
      </c>
      <c r="Q389" s="25">
        <f t="shared" si="47"/>
        <v>513.76887692691196</v>
      </c>
      <c r="R389" s="25">
        <f t="shared" ref="R389:R452" si="52">VLOOKUP(M389,$U$9:$W$16,3,TRUE)</f>
        <v>7</v>
      </c>
      <c r="S389" s="26">
        <f t="shared" ref="S389:S452" si="53">VLOOKUP(M389,$U$21:$W$37,3,TRUE)</f>
        <v>13</v>
      </c>
    </row>
    <row r="390" spans="2:19" x14ac:dyDescent="0.3">
      <c r="B390" s="24">
        <v>99306</v>
      </c>
      <c r="C390" s="25">
        <v>43</v>
      </c>
      <c r="D390" s="25">
        <v>2</v>
      </c>
      <c r="E390" s="25">
        <v>20</v>
      </c>
      <c r="F390" s="25">
        <v>8</v>
      </c>
      <c r="G390" s="25">
        <v>180</v>
      </c>
      <c r="H390" s="25">
        <v>7.3</v>
      </c>
      <c r="I390" s="25">
        <v>4.2</v>
      </c>
      <c r="J390" s="25">
        <v>8.94</v>
      </c>
      <c r="K390" s="26">
        <v>0</v>
      </c>
      <c r="L390" s="25">
        <f t="shared" si="48"/>
        <v>-3.2410546411927101</v>
      </c>
      <c r="M390" s="25">
        <f t="shared" ref="M390:M453" si="54">EXP(L390)/(1+EXP(L390))</f>
        <v>3.7649659938750808E-2</v>
      </c>
      <c r="N390" s="25">
        <f t="shared" si="49"/>
        <v>0.9623503400612492</v>
      </c>
      <c r="O390" s="25">
        <f t="shared" si="50"/>
        <v>-3.8376715755607922E-2</v>
      </c>
      <c r="P390" s="25">
        <f t="shared" si="51"/>
        <v>0</v>
      </c>
      <c r="Q390" s="25">
        <f t="shared" si="47"/>
        <v>580.64006651151033</v>
      </c>
      <c r="R390" s="25">
        <f t="shared" si="52"/>
        <v>5</v>
      </c>
      <c r="S390" s="26">
        <f t="shared" si="53"/>
        <v>8</v>
      </c>
    </row>
    <row r="391" spans="2:19" x14ac:dyDescent="0.3">
      <c r="B391" s="24">
        <v>99337</v>
      </c>
      <c r="C391" s="25">
        <v>27</v>
      </c>
      <c r="D391" s="25">
        <v>2</v>
      </c>
      <c r="E391" s="25">
        <v>5</v>
      </c>
      <c r="F391" s="25">
        <v>3</v>
      </c>
      <c r="G391" s="25">
        <v>28</v>
      </c>
      <c r="H391" s="25">
        <v>5.2</v>
      </c>
      <c r="I391" s="25">
        <v>0.5</v>
      </c>
      <c r="J391" s="25">
        <v>0.96</v>
      </c>
      <c r="K391" s="26">
        <v>0</v>
      </c>
      <c r="L391" s="25">
        <f t="shared" si="48"/>
        <v>-1.5351623762518958</v>
      </c>
      <c r="M391" s="25">
        <f t="shared" si="54"/>
        <v>0.17723962370027074</v>
      </c>
      <c r="N391" s="25">
        <f t="shared" si="49"/>
        <v>0.82276037629972931</v>
      </c>
      <c r="O391" s="25">
        <f t="shared" si="50"/>
        <v>-0.19509027950958616</v>
      </c>
      <c r="P391" s="25">
        <f t="shared" si="51"/>
        <v>0</v>
      </c>
      <c r="Q391" s="25">
        <f t="shared" si="47"/>
        <v>531.41842168813457</v>
      </c>
      <c r="R391" s="25">
        <f t="shared" si="52"/>
        <v>6</v>
      </c>
      <c r="S391" s="26">
        <f t="shared" si="53"/>
        <v>12</v>
      </c>
    </row>
    <row r="392" spans="2:19" x14ac:dyDescent="0.3">
      <c r="B392" s="24">
        <v>99363</v>
      </c>
      <c r="C392" s="25">
        <v>45</v>
      </c>
      <c r="D392" s="25">
        <v>1</v>
      </c>
      <c r="E392" s="25">
        <v>3</v>
      </c>
      <c r="F392" s="25">
        <v>13</v>
      </c>
      <c r="G392" s="25">
        <v>38</v>
      </c>
      <c r="H392" s="25">
        <v>22.1</v>
      </c>
      <c r="I392" s="25">
        <v>2.59</v>
      </c>
      <c r="J392" s="25">
        <v>5.8</v>
      </c>
      <c r="K392" s="26">
        <v>1</v>
      </c>
      <c r="L392" s="25">
        <f t="shared" si="48"/>
        <v>1.0538199455932791</v>
      </c>
      <c r="M392" s="25">
        <f t="shared" si="54"/>
        <v>0.74150775864917595</v>
      </c>
      <c r="N392" s="25">
        <f t="shared" si="49"/>
        <v>0.74150775864917595</v>
      </c>
      <c r="O392" s="25">
        <f t="shared" si="50"/>
        <v>-0.29906965400754187</v>
      </c>
      <c r="P392" s="25">
        <f t="shared" si="51"/>
        <v>1</v>
      </c>
      <c r="Q392" s="25">
        <f t="shared" si="47"/>
        <v>456.71618467184607</v>
      </c>
      <c r="R392" s="25">
        <f t="shared" si="52"/>
        <v>8</v>
      </c>
      <c r="S392" s="26">
        <f t="shared" si="53"/>
        <v>16</v>
      </c>
    </row>
    <row r="393" spans="2:19" x14ac:dyDescent="0.3">
      <c r="B393" s="24">
        <v>99378</v>
      </c>
      <c r="C393" s="25">
        <v>22</v>
      </c>
      <c r="D393" s="25">
        <v>3</v>
      </c>
      <c r="E393" s="25">
        <v>1</v>
      </c>
      <c r="F393" s="25">
        <v>2</v>
      </c>
      <c r="G393" s="25">
        <v>27</v>
      </c>
      <c r="H393" s="25">
        <v>9.8000000000000007</v>
      </c>
      <c r="I393" s="25">
        <v>0.25</v>
      </c>
      <c r="J393" s="25">
        <v>2.4</v>
      </c>
      <c r="K393" s="26">
        <v>0</v>
      </c>
      <c r="L393" s="25">
        <f t="shared" si="48"/>
        <v>-0.16721313999990661</v>
      </c>
      <c r="M393" s="25">
        <f t="shared" si="54"/>
        <v>0.45829384589866418</v>
      </c>
      <c r="N393" s="25">
        <f t="shared" si="49"/>
        <v>0.54170615410133582</v>
      </c>
      <c r="O393" s="25">
        <f t="shared" si="50"/>
        <v>-0.61303157566408673</v>
      </c>
      <c r="P393" s="25">
        <f t="shared" si="51"/>
        <v>1</v>
      </c>
      <c r="Q393" s="25">
        <f t="shared" ref="Q393:Q456" si="55">28.8539*LN((1-M393)/(M393))+487.123</f>
        <v>491.94775122024328</v>
      </c>
      <c r="R393" s="25">
        <f t="shared" si="52"/>
        <v>7</v>
      </c>
      <c r="S393" s="26">
        <f t="shared" si="53"/>
        <v>14</v>
      </c>
    </row>
    <row r="394" spans="2:19" x14ac:dyDescent="0.3">
      <c r="B394" s="24">
        <v>99388</v>
      </c>
      <c r="C394" s="25">
        <v>41</v>
      </c>
      <c r="D394" s="25">
        <v>2</v>
      </c>
      <c r="E394" s="25">
        <v>13</v>
      </c>
      <c r="F394" s="25">
        <v>7</v>
      </c>
      <c r="G394" s="25">
        <v>50</v>
      </c>
      <c r="H394" s="25">
        <v>14.2</v>
      </c>
      <c r="I394" s="25">
        <v>3.72</v>
      </c>
      <c r="J394" s="25">
        <v>3.38</v>
      </c>
      <c r="K394" s="26">
        <v>1</v>
      </c>
      <c r="L394" s="25">
        <f t="shared" si="48"/>
        <v>-1.29007552563622</v>
      </c>
      <c r="M394" s="25">
        <f t="shared" si="54"/>
        <v>0.21584002759935389</v>
      </c>
      <c r="N394" s="25">
        <f t="shared" si="49"/>
        <v>0.21584002759935389</v>
      </c>
      <c r="O394" s="25">
        <f t="shared" si="50"/>
        <v>-1.5332177586531948</v>
      </c>
      <c r="P394" s="25">
        <f t="shared" si="51"/>
        <v>0</v>
      </c>
      <c r="Q394" s="25">
        <f t="shared" si="55"/>
        <v>524.34671020915494</v>
      </c>
      <c r="R394" s="25">
        <f t="shared" si="52"/>
        <v>6</v>
      </c>
      <c r="S394" s="26">
        <f t="shared" si="53"/>
        <v>13</v>
      </c>
    </row>
    <row r="395" spans="2:19" x14ac:dyDescent="0.3">
      <c r="B395" s="24">
        <v>99395</v>
      </c>
      <c r="C395" s="25">
        <v>52</v>
      </c>
      <c r="D395" s="25">
        <v>1</v>
      </c>
      <c r="E395" s="25">
        <v>8</v>
      </c>
      <c r="F395" s="25">
        <v>6</v>
      </c>
      <c r="G395" s="25">
        <v>43</v>
      </c>
      <c r="H395" s="25">
        <v>17.5</v>
      </c>
      <c r="I395" s="25">
        <v>3.44</v>
      </c>
      <c r="J395" s="25">
        <v>4.09</v>
      </c>
      <c r="K395" s="26">
        <v>0</v>
      </c>
      <c r="L395" s="25">
        <f t="shared" si="48"/>
        <v>-9.8033968350198009E-2</v>
      </c>
      <c r="M395" s="25">
        <f t="shared" si="54"/>
        <v>0.47551111762967263</v>
      </c>
      <c r="N395" s="25">
        <f t="shared" si="49"/>
        <v>0.52448888237032731</v>
      </c>
      <c r="O395" s="25">
        <f t="shared" si="50"/>
        <v>-0.64533104799517027</v>
      </c>
      <c r="P395" s="25">
        <f t="shared" si="51"/>
        <v>1</v>
      </c>
      <c r="Q395" s="25">
        <f t="shared" si="55"/>
        <v>489.95166231937975</v>
      </c>
      <c r="R395" s="25">
        <f t="shared" si="52"/>
        <v>7</v>
      </c>
      <c r="S395" s="26">
        <f t="shared" si="53"/>
        <v>15</v>
      </c>
    </row>
    <row r="396" spans="2:19" x14ac:dyDescent="0.3">
      <c r="B396" s="24">
        <v>99428</v>
      </c>
      <c r="C396" s="25">
        <v>53</v>
      </c>
      <c r="D396" s="25">
        <v>2</v>
      </c>
      <c r="E396" s="25">
        <v>34</v>
      </c>
      <c r="F396" s="25">
        <v>18</v>
      </c>
      <c r="G396" s="25">
        <v>251</v>
      </c>
      <c r="H396" s="25">
        <v>15.9</v>
      </c>
      <c r="I396" s="25">
        <v>12.37</v>
      </c>
      <c r="J396" s="25">
        <v>27.54</v>
      </c>
      <c r="K396" s="26">
        <v>0</v>
      </c>
      <c r="L396" s="25">
        <f t="shared" si="48"/>
        <v>-1.7397303652999205</v>
      </c>
      <c r="M396" s="25">
        <f t="shared" si="54"/>
        <v>0.14934718638669517</v>
      </c>
      <c r="N396" s="25">
        <f t="shared" si="49"/>
        <v>0.8506528136133048</v>
      </c>
      <c r="O396" s="25">
        <f t="shared" si="50"/>
        <v>-0.1617512082555049</v>
      </c>
      <c r="P396" s="25">
        <f t="shared" si="51"/>
        <v>0</v>
      </c>
      <c r="Q396" s="25">
        <f t="shared" si="55"/>
        <v>537.32100598732734</v>
      </c>
      <c r="R396" s="25">
        <f t="shared" si="52"/>
        <v>6</v>
      </c>
      <c r="S396" s="26">
        <f t="shared" si="53"/>
        <v>12</v>
      </c>
    </row>
    <row r="397" spans="2:19" x14ac:dyDescent="0.3">
      <c r="B397" s="24">
        <v>99436</v>
      </c>
      <c r="C397" s="25">
        <v>20</v>
      </c>
      <c r="D397" s="25">
        <v>3</v>
      </c>
      <c r="E397" s="25">
        <v>0</v>
      </c>
      <c r="F397" s="25">
        <v>0</v>
      </c>
      <c r="G397" s="25">
        <v>45</v>
      </c>
      <c r="H397" s="25">
        <v>7.7</v>
      </c>
      <c r="I397" s="25">
        <v>1.1399999999999999</v>
      </c>
      <c r="J397" s="25">
        <v>2.3199999999999998</v>
      </c>
      <c r="K397" s="26">
        <v>1</v>
      </c>
      <c r="L397" s="25">
        <f t="shared" si="48"/>
        <v>0.38175822134366494</v>
      </c>
      <c r="M397" s="25">
        <f t="shared" si="54"/>
        <v>0.59429709445432666</v>
      </c>
      <c r="N397" s="25">
        <f t="shared" si="49"/>
        <v>0.59429709445432666</v>
      </c>
      <c r="O397" s="25">
        <f t="shared" si="50"/>
        <v>-0.52037592564330304</v>
      </c>
      <c r="P397" s="25">
        <f t="shared" si="51"/>
        <v>1</v>
      </c>
      <c r="Q397" s="25">
        <f t="shared" si="55"/>
        <v>476.10778645717204</v>
      </c>
      <c r="R397" s="25">
        <f t="shared" si="52"/>
        <v>7</v>
      </c>
      <c r="S397" s="26">
        <f t="shared" si="53"/>
        <v>15</v>
      </c>
    </row>
    <row r="398" spans="2:19" x14ac:dyDescent="0.3">
      <c r="B398" s="24">
        <v>99449</v>
      </c>
      <c r="C398" s="25">
        <v>30</v>
      </c>
      <c r="D398" s="25">
        <v>5</v>
      </c>
      <c r="E398" s="25">
        <v>2</v>
      </c>
      <c r="F398" s="25">
        <v>8</v>
      </c>
      <c r="G398" s="25">
        <v>99</v>
      </c>
      <c r="H398" s="25">
        <v>1.5</v>
      </c>
      <c r="I398" s="25">
        <v>0.8</v>
      </c>
      <c r="J398" s="25">
        <v>0.69</v>
      </c>
      <c r="K398" s="26">
        <v>0</v>
      </c>
      <c r="L398" s="25">
        <f t="shared" si="48"/>
        <v>-1.4619802320622348</v>
      </c>
      <c r="M398" s="25">
        <f t="shared" si="54"/>
        <v>0.18816464071037184</v>
      </c>
      <c r="N398" s="25">
        <f t="shared" si="49"/>
        <v>0.81183535928962813</v>
      </c>
      <c r="O398" s="25">
        <f t="shared" si="50"/>
        <v>-0.20845771887447648</v>
      </c>
      <c r="P398" s="25">
        <f t="shared" si="51"/>
        <v>0</v>
      </c>
      <c r="Q398" s="25">
        <f t="shared" si="55"/>
        <v>529.30683141790053</v>
      </c>
      <c r="R398" s="25">
        <f t="shared" si="52"/>
        <v>6</v>
      </c>
      <c r="S398" s="26">
        <f t="shared" si="53"/>
        <v>12</v>
      </c>
    </row>
    <row r="399" spans="2:19" x14ac:dyDescent="0.3">
      <c r="B399" s="24">
        <v>99476</v>
      </c>
      <c r="C399" s="25">
        <v>68</v>
      </c>
      <c r="D399" s="25">
        <v>2</v>
      </c>
      <c r="E399" s="25">
        <v>0</v>
      </c>
      <c r="F399" s="25">
        <v>17</v>
      </c>
      <c r="G399" s="25">
        <v>22</v>
      </c>
      <c r="H399" s="25">
        <v>12.5</v>
      </c>
      <c r="I399" s="25">
        <v>1.05</v>
      </c>
      <c r="J399" s="25">
        <v>1.7</v>
      </c>
      <c r="K399" s="26">
        <v>0</v>
      </c>
      <c r="L399" s="25">
        <f t="shared" si="48"/>
        <v>-0.74052427831436418</v>
      </c>
      <c r="M399" s="25">
        <f t="shared" si="54"/>
        <v>0.32288950916929926</v>
      </c>
      <c r="N399" s="25">
        <f t="shared" si="49"/>
        <v>0.67711049083070074</v>
      </c>
      <c r="O399" s="25">
        <f t="shared" si="50"/>
        <v>-0.38992081284199159</v>
      </c>
      <c r="P399" s="25">
        <f t="shared" si="51"/>
        <v>0</v>
      </c>
      <c r="Q399" s="25">
        <f t="shared" si="55"/>
        <v>508.49001347405482</v>
      </c>
      <c r="R399" s="25">
        <f t="shared" si="52"/>
        <v>7</v>
      </c>
      <c r="S399" s="26">
        <f t="shared" si="53"/>
        <v>14</v>
      </c>
    </row>
    <row r="400" spans="2:19" x14ac:dyDescent="0.3">
      <c r="B400" s="24">
        <v>99524</v>
      </c>
      <c r="C400" s="25">
        <v>31</v>
      </c>
      <c r="D400" s="25">
        <v>4</v>
      </c>
      <c r="E400" s="25">
        <v>0</v>
      </c>
      <c r="F400" s="25">
        <v>7</v>
      </c>
      <c r="G400" s="25">
        <v>41</v>
      </c>
      <c r="H400" s="25">
        <v>3.8</v>
      </c>
      <c r="I400" s="25">
        <v>1.1100000000000001</v>
      </c>
      <c r="J400" s="25">
        <v>0.44</v>
      </c>
      <c r="K400" s="26">
        <v>0</v>
      </c>
      <c r="L400" s="25">
        <f t="shared" si="48"/>
        <v>-0.58819965459888279</v>
      </c>
      <c r="M400" s="25">
        <f t="shared" si="54"/>
        <v>0.35704804367502729</v>
      </c>
      <c r="N400" s="25">
        <f t="shared" si="49"/>
        <v>0.64295195632497271</v>
      </c>
      <c r="O400" s="25">
        <f t="shared" si="50"/>
        <v>-0.44168527553764425</v>
      </c>
      <c r="P400" s="25">
        <f t="shared" si="51"/>
        <v>0</v>
      </c>
      <c r="Q400" s="25">
        <f t="shared" si="55"/>
        <v>504.09485401383068</v>
      </c>
      <c r="R400" s="25">
        <f t="shared" si="52"/>
        <v>7</v>
      </c>
      <c r="S400" s="26">
        <f t="shared" si="53"/>
        <v>14</v>
      </c>
    </row>
    <row r="401" spans="2:19" x14ac:dyDescent="0.3">
      <c r="B401" s="24">
        <v>99592</v>
      </c>
      <c r="C401" s="25">
        <v>54</v>
      </c>
      <c r="D401" s="25">
        <v>2</v>
      </c>
      <c r="E401" s="25">
        <v>2</v>
      </c>
      <c r="F401" s="25">
        <v>21</v>
      </c>
      <c r="G401" s="25">
        <v>32</v>
      </c>
      <c r="H401" s="25">
        <v>6.7</v>
      </c>
      <c r="I401" s="25">
        <v>0.17</v>
      </c>
      <c r="J401" s="25">
        <v>1.97</v>
      </c>
      <c r="K401" s="26">
        <v>0</v>
      </c>
      <c r="L401" s="25">
        <f t="shared" si="48"/>
        <v>-2.006635758256603</v>
      </c>
      <c r="M401" s="25">
        <f t="shared" si="54"/>
        <v>0.11850796858308178</v>
      </c>
      <c r="N401" s="25">
        <f t="shared" si="49"/>
        <v>0.88149203141691823</v>
      </c>
      <c r="O401" s="25">
        <f t="shared" si="50"/>
        <v>-0.12613931698437003</v>
      </c>
      <c r="P401" s="25">
        <f t="shared" si="51"/>
        <v>0</v>
      </c>
      <c r="Q401" s="25">
        <f t="shared" si="55"/>
        <v>545.02226750516024</v>
      </c>
      <c r="R401" s="25">
        <f t="shared" si="52"/>
        <v>6</v>
      </c>
      <c r="S401" s="26">
        <f t="shared" si="53"/>
        <v>11</v>
      </c>
    </row>
    <row r="402" spans="2:19" x14ac:dyDescent="0.3">
      <c r="B402" s="24">
        <v>99593</v>
      </c>
      <c r="C402" s="25">
        <v>26</v>
      </c>
      <c r="D402" s="25">
        <v>3</v>
      </c>
      <c r="E402" s="25">
        <v>2</v>
      </c>
      <c r="F402" s="25">
        <v>3</v>
      </c>
      <c r="G402" s="25">
        <v>38</v>
      </c>
      <c r="H402" s="25">
        <v>7.6</v>
      </c>
      <c r="I402" s="25">
        <v>1.39</v>
      </c>
      <c r="J402" s="25">
        <v>1.49</v>
      </c>
      <c r="K402" s="26">
        <v>1</v>
      </c>
      <c r="L402" s="25">
        <f t="shared" si="48"/>
        <v>-0.21200289919470794</v>
      </c>
      <c r="M402" s="25">
        <f t="shared" si="54"/>
        <v>0.44719689783996036</v>
      </c>
      <c r="N402" s="25">
        <f t="shared" si="49"/>
        <v>0.44719689783996036</v>
      </c>
      <c r="O402" s="25">
        <f t="shared" si="50"/>
        <v>-0.80475629401691695</v>
      </c>
      <c r="P402" s="25">
        <f t="shared" si="51"/>
        <v>1</v>
      </c>
      <c r="Q402" s="25">
        <f t="shared" si="55"/>
        <v>493.24011045307418</v>
      </c>
      <c r="R402" s="25">
        <f t="shared" si="52"/>
        <v>7</v>
      </c>
      <c r="S402" s="26">
        <f t="shared" si="53"/>
        <v>14</v>
      </c>
    </row>
    <row r="403" spans="2:19" x14ac:dyDescent="0.3">
      <c r="B403" s="24">
        <v>99634</v>
      </c>
      <c r="C403" s="25">
        <v>32</v>
      </c>
      <c r="D403" s="25">
        <v>2</v>
      </c>
      <c r="E403" s="25">
        <v>12</v>
      </c>
      <c r="F403" s="25">
        <v>6</v>
      </c>
      <c r="G403" s="25">
        <v>61</v>
      </c>
      <c r="H403" s="25">
        <v>8.1999999999999993</v>
      </c>
      <c r="I403" s="25">
        <v>0.3</v>
      </c>
      <c r="J403" s="25">
        <v>4.71</v>
      </c>
      <c r="K403" s="26">
        <v>0</v>
      </c>
      <c r="L403" s="25">
        <f t="shared" si="48"/>
        <v>-3.0188899607590787</v>
      </c>
      <c r="M403" s="25">
        <f t="shared" si="54"/>
        <v>4.6579746634963504E-2</v>
      </c>
      <c r="N403" s="25">
        <f t="shared" si="49"/>
        <v>0.95342025336503644</v>
      </c>
      <c r="O403" s="25">
        <f t="shared" si="50"/>
        <v>-4.7699493134093419E-2</v>
      </c>
      <c r="P403" s="25">
        <f t="shared" si="51"/>
        <v>0</v>
      </c>
      <c r="Q403" s="25">
        <f t="shared" si="55"/>
        <v>574.22974903874638</v>
      </c>
      <c r="R403" s="25">
        <f t="shared" si="52"/>
        <v>5</v>
      </c>
      <c r="S403" s="26">
        <f t="shared" si="53"/>
        <v>9</v>
      </c>
    </row>
    <row r="404" spans="2:19" x14ac:dyDescent="0.3">
      <c r="B404" s="24">
        <v>120070</v>
      </c>
      <c r="C404" s="25">
        <v>27</v>
      </c>
      <c r="D404" s="25">
        <v>2</v>
      </c>
      <c r="E404" s="25">
        <v>4</v>
      </c>
      <c r="F404" s="25">
        <v>2</v>
      </c>
      <c r="G404" s="25">
        <v>34</v>
      </c>
      <c r="H404" s="25">
        <v>15.1</v>
      </c>
      <c r="I404" s="25">
        <v>0.84</v>
      </c>
      <c r="J404" s="25">
        <v>4.3</v>
      </c>
      <c r="K404" s="26">
        <v>0</v>
      </c>
      <c r="L404" s="25">
        <f t="shared" si="48"/>
        <v>-4.3691386746495642E-2</v>
      </c>
      <c r="M404" s="25">
        <f t="shared" si="54"/>
        <v>0.48907889056751247</v>
      </c>
      <c r="N404" s="25">
        <f t="shared" si="49"/>
        <v>0.51092110943248747</v>
      </c>
      <c r="O404" s="25">
        <f t="shared" si="50"/>
        <v>-0.67154008536920873</v>
      </c>
      <c r="P404" s="25">
        <f t="shared" si="51"/>
        <v>1</v>
      </c>
      <c r="Q404" s="25">
        <f t="shared" si="55"/>
        <v>488.38366690404467</v>
      </c>
      <c r="R404" s="25">
        <f t="shared" si="52"/>
        <v>7</v>
      </c>
      <c r="S404" s="26">
        <f t="shared" si="53"/>
        <v>15</v>
      </c>
    </row>
    <row r="405" spans="2:19" x14ac:dyDescent="0.3">
      <c r="B405" s="24">
        <v>120073</v>
      </c>
      <c r="C405" s="25">
        <v>60</v>
      </c>
      <c r="D405" s="25">
        <v>3</v>
      </c>
      <c r="E405" s="25">
        <v>22</v>
      </c>
      <c r="F405" s="25">
        <v>10</v>
      </c>
      <c r="G405" s="25">
        <v>60</v>
      </c>
      <c r="H405" s="25">
        <v>22.3</v>
      </c>
      <c r="I405" s="25">
        <v>3.25</v>
      </c>
      <c r="J405" s="25">
        <v>10.130000000000001</v>
      </c>
      <c r="K405" s="26">
        <v>0</v>
      </c>
      <c r="L405" s="25">
        <f t="shared" si="48"/>
        <v>-3.1315727043609627</v>
      </c>
      <c r="M405" s="25">
        <f t="shared" si="54"/>
        <v>4.1823536552745004E-2</v>
      </c>
      <c r="N405" s="25">
        <f t="shared" si="49"/>
        <v>0.95817646344725504</v>
      </c>
      <c r="O405" s="25">
        <f t="shared" si="50"/>
        <v>-4.2723318133425649E-2</v>
      </c>
      <c r="P405" s="25">
        <f t="shared" si="51"/>
        <v>0</v>
      </c>
      <c r="Q405" s="25">
        <f t="shared" si="55"/>
        <v>577.48108565436075</v>
      </c>
      <c r="R405" s="25">
        <f t="shared" si="52"/>
        <v>5</v>
      </c>
      <c r="S405" s="26">
        <f t="shared" si="53"/>
        <v>9</v>
      </c>
    </row>
    <row r="406" spans="2:19" x14ac:dyDescent="0.3">
      <c r="B406" s="24">
        <v>120117</v>
      </c>
      <c r="C406" s="25">
        <v>47</v>
      </c>
      <c r="D406" s="25">
        <v>2</v>
      </c>
      <c r="E406" s="25">
        <v>13</v>
      </c>
      <c r="F406" s="25">
        <v>19</v>
      </c>
      <c r="G406" s="25">
        <v>58</v>
      </c>
      <c r="H406" s="25">
        <v>3.5</v>
      </c>
      <c r="I406" s="25">
        <v>0.62</v>
      </c>
      <c r="J406" s="25">
        <v>1.41</v>
      </c>
      <c r="K406" s="26">
        <v>0</v>
      </c>
      <c r="L406" s="25">
        <f t="shared" si="48"/>
        <v>-4.3929130279252622</v>
      </c>
      <c r="M406" s="25">
        <f t="shared" si="54"/>
        <v>1.221364062288576E-2</v>
      </c>
      <c r="N406" s="25">
        <f t="shared" si="49"/>
        <v>0.98778635937711423</v>
      </c>
      <c r="O406" s="25">
        <f t="shared" si="50"/>
        <v>-1.2288840064789504E-2</v>
      </c>
      <c r="P406" s="25">
        <f t="shared" si="51"/>
        <v>0</v>
      </c>
      <c r="Q406" s="25">
        <f t="shared" si="55"/>
        <v>613.8756732164527</v>
      </c>
      <c r="R406" s="25">
        <f t="shared" si="52"/>
        <v>4</v>
      </c>
      <c r="S406" s="26">
        <f t="shared" si="53"/>
        <v>6</v>
      </c>
    </row>
    <row r="407" spans="2:19" x14ac:dyDescent="0.3">
      <c r="B407" s="24">
        <v>120155</v>
      </c>
      <c r="C407" s="25">
        <v>47</v>
      </c>
      <c r="D407" s="25">
        <v>2</v>
      </c>
      <c r="E407" s="25">
        <v>6</v>
      </c>
      <c r="F407" s="25">
        <v>11</v>
      </c>
      <c r="G407" s="25">
        <v>75</v>
      </c>
      <c r="H407" s="25">
        <v>15.2</v>
      </c>
      <c r="I407" s="25">
        <v>2.93</v>
      </c>
      <c r="J407" s="25">
        <v>8.4700000000000006</v>
      </c>
      <c r="K407" s="26">
        <v>0</v>
      </c>
      <c r="L407" s="25">
        <f t="shared" si="48"/>
        <v>-0.10740155851314165</v>
      </c>
      <c r="M407" s="25">
        <f t="shared" si="54"/>
        <v>0.47317539078325738</v>
      </c>
      <c r="N407" s="25">
        <f t="shared" si="49"/>
        <v>0.52682460921674257</v>
      </c>
      <c r="O407" s="25">
        <f t="shared" si="50"/>
        <v>-0.6408875956696618</v>
      </c>
      <c r="P407" s="25">
        <f t="shared" si="51"/>
        <v>1</v>
      </c>
      <c r="Q407" s="25">
        <f t="shared" si="55"/>
        <v>490.22195382918233</v>
      </c>
      <c r="R407" s="25">
        <f t="shared" si="52"/>
        <v>7</v>
      </c>
      <c r="S407" s="26">
        <f t="shared" si="53"/>
        <v>15</v>
      </c>
    </row>
    <row r="408" spans="2:19" x14ac:dyDescent="0.3">
      <c r="B408" s="24">
        <v>120174</v>
      </c>
      <c r="C408" s="25">
        <v>69</v>
      </c>
      <c r="D408" s="25">
        <v>4</v>
      </c>
      <c r="E408" s="25">
        <v>7</v>
      </c>
      <c r="F408" s="25">
        <v>20</v>
      </c>
      <c r="G408" s="25">
        <v>75</v>
      </c>
      <c r="H408" s="25">
        <v>13.5</v>
      </c>
      <c r="I408" s="25">
        <v>1.03</v>
      </c>
      <c r="J408" s="25">
        <v>9.09</v>
      </c>
      <c r="K408" s="26">
        <v>1</v>
      </c>
      <c r="L408" s="25">
        <f t="shared" si="48"/>
        <v>-2.2627305500485311</v>
      </c>
      <c r="M408" s="25">
        <f t="shared" si="54"/>
        <v>9.425699634329332E-2</v>
      </c>
      <c r="N408" s="25">
        <f t="shared" si="49"/>
        <v>9.425699634329332E-2</v>
      </c>
      <c r="O408" s="25">
        <f t="shared" si="50"/>
        <v>-2.3617302236499773</v>
      </c>
      <c r="P408" s="25">
        <f t="shared" si="51"/>
        <v>0</v>
      </c>
      <c r="Q408" s="25">
        <f t="shared" si="55"/>
        <v>552.4116010180453</v>
      </c>
      <c r="R408" s="25">
        <f t="shared" si="52"/>
        <v>6</v>
      </c>
      <c r="S408" s="26">
        <f t="shared" si="53"/>
        <v>11</v>
      </c>
    </row>
    <row r="409" spans="2:19" x14ac:dyDescent="0.3">
      <c r="B409" s="24">
        <v>120175</v>
      </c>
      <c r="C409" s="25">
        <v>45</v>
      </c>
      <c r="D409" s="25">
        <v>2</v>
      </c>
      <c r="E409" s="25">
        <v>7</v>
      </c>
      <c r="F409" s="25">
        <v>8</v>
      </c>
      <c r="G409" s="25">
        <v>32</v>
      </c>
      <c r="H409" s="25">
        <v>5.4</v>
      </c>
      <c r="I409" s="25">
        <v>0.13</v>
      </c>
      <c r="J409" s="25">
        <v>1.6</v>
      </c>
      <c r="K409" s="26">
        <v>0</v>
      </c>
      <c r="L409" s="25">
        <f t="shared" si="48"/>
        <v>-2.6777053989578148</v>
      </c>
      <c r="M409" s="25">
        <f t="shared" si="54"/>
        <v>6.430179789401963E-2</v>
      </c>
      <c r="N409" s="25">
        <f t="shared" si="49"/>
        <v>0.93569820210598031</v>
      </c>
      <c r="O409" s="25">
        <f t="shared" si="50"/>
        <v>-6.6462288144906914E-2</v>
      </c>
      <c r="P409" s="25">
        <f t="shared" si="51"/>
        <v>0</v>
      </c>
      <c r="Q409" s="25">
        <f t="shared" si="55"/>
        <v>564.38524381098887</v>
      </c>
      <c r="R409" s="25">
        <f t="shared" si="52"/>
        <v>5</v>
      </c>
      <c r="S409" s="26">
        <f t="shared" si="53"/>
        <v>10</v>
      </c>
    </row>
    <row r="410" spans="2:19" x14ac:dyDescent="0.3">
      <c r="B410" s="24">
        <v>120194</v>
      </c>
      <c r="C410" s="25">
        <v>29</v>
      </c>
      <c r="D410" s="25">
        <v>3</v>
      </c>
      <c r="E410" s="25">
        <v>2</v>
      </c>
      <c r="F410" s="25">
        <v>5</v>
      </c>
      <c r="G410" s="25">
        <v>31</v>
      </c>
      <c r="H410" s="25">
        <v>6.8</v>
      </c>
      <c r="I410" s="25">
        <v>1.41</v>
      </c>
      <c r="J410" s="25">
        <v>0.7</v>
      </c>
      <c r="K410" s="26">
        <v>0</v>
      </c>
      <c r="L410" s="25">
        <f t="shared" si="48"/>
        <v>-0.43359106698015221</v>
      </c>
      <c r="M410" s="25">
        <f t="shared" si="54"/>
        <v>0.39326914475521119</v>
      </c>
      <c r="N410" s="25">
        <f t="shared" si="49"/>
        <v>0.60673085524478876</v>
      </c>
      <c r="O410" s="25">
        <f t="shared" si="50"/>
        <v>-0.49966998782784389</v>
      </c>
      <c r="P410" s="25">
        <f t="shared" si="51"/>
        <v>0</v>
      </c>
      <c r="Q410" s="25">
        <f t="shared" si="55"/>
        <v>499.63379328753859</v>
      </c>
      <c r="R410" s="25">
        <f t="shared" si="52"/>
        <v>7</v>
      </c>
      <c r="S410" s="26">
        <f t="shared" si="53"/>
        <v>14</v>
      </c>
    </row>
    <row r="411" spans="2:19" x14ac:dyDescent="0.3">
      <c r="B411" s="24">
        <v>120199</v>
      </c>
      <c r="C411" s="25">
        <v>29</v>
      </c>
      <c r="D411" s="25">
        <v>3</v>
      </c>
      <c r="E411" s="25">
        <v>4</v>
      </c>
      <c r="F411" s="25">
        <v>5</v>
      </c>
      <c r="G411" s="25">
        <v>67</v>
      </c>
      <c r="H411" s="25">
        <v>7.9</v>
      </c>
      <c r="I411" s="25">
        <v>0.93</v>
      </c>
      <c r="J411" s="25">
        <v>4.3600000000000003</v>
      </c>
      <c r="K411" s="26">
        <v>0</v>
      </c>
      <c r="L411" s="25">
        <f t="shared" si="48"/>
        <v>-0.90390339136446141</v>
      </c>
      <c r="M411" s="25">
        <f t="shared" si="54"/>
        <v>0.28824901022689309</v>
      </c>
      <c r="N411" s="25">
        <f t="shared" si="49"/>
        <v>0.71175098977310691</v>
      </c>
      <c r="O411" s="25">
        <f t="shared" si="50"/>
        <v>-0.34002716220590973</v>
      </c>
      <c r="P411" s="25">
        <f t="shared" si="51"/>
        <v>0</v>
      </c>
      <c r="Q411" s="25">
        <f t="shared" si="55"/>
        <v>513.20413806409101</v>
      </c>
      <c r="R411" s="25">
        <f t="shared" si="52"/>
        <v>7</v>
      </c>
      <c r="S411" s="26">
        <f t="shared" si="53"/>
        <v>13</v>
      </c>
    </row>
    <row r="412" spans="2:19" x14ac:dyDescent="0.3">
      <c r="B412" s="24">
        <v>120278</v>
      </c>
      <c r="C412" s="25">
        <v>27</v>
      </c>
      <c r="D412" s="25">
        <v>1</v>
      </c>
      <c r="E412" s="25">
        <v>5</v>
      </c>
      <c r="F412" s="25">
        <v>2</v>
      </c>
      <c r="G412" s="25">
        <v>33</v>
      </c>
      <c r="H412" s="25">
        <v>5.0999999999999996</v>
      </c>
      <c r="I412" s="25">
        <v>0.57999999999999996</v>
      </c>
      <c r="J412" s="25">
        <v>1.1000000000000001</v>
      </c>
      <c r="K412" s="26">
        <v>0</v>
      </c>
      <c r="L412" s="25">
        <f t="shared" si="48"/>
        <v>-1.4166033931966291</v>
      </c>
      <c r="M412" s="25">
        <f t="shared" si="54"/>
        <v>0.19519461668428656</v>
      </c>
      <c r="N412" s="25">
        <f t="shared" si="49"/>
        <v>0.80480538331571339</v>
      </c>
      <c r="O412" s="25">
        <f t="shared" si="50"/>
        <v>-0.21715479064845536</v>
      </c>
      <c r="P412" s="25">
        <f t="shared" si="51"/>
        <v>0</v>
      </c>
      <c r="Q412" s="25">
        <f t="shared" si="55"/>
        <v>527.99753264695619</v>
      </c>
      <c r="R412" s="25">
        <f t="shared" si="52"/>
        <v>6</v>
      </c>
      <c r="S412" s="26">
        <f t="shared" si="53"/>
        <v>12</v>
      </c>
    </row>
    <row r="413" spans="2:19" x14ac:dyDescent="0.3">
      <c r="B413" s="24">
        <v>120285</v>
      </c>
      <c r="C413" s="25">
        <v>44</v>
      </c>
      <c r="D413" s="25">
        <v>1</v>
      </c>
      <c r="E413" s="25">
        <v>9</v>
      </c>
      <c r="F413" s="25">
        <v>3</v>
      </c>
      <c r="G413" s="25">
        <v>37</v>
      </c>
      <c r="H413" s="25">
        <v>18.399999999999999</v>
      </c>
      <c r="I413" s="25">
        <v>2.92</v>
      </c>
      <c r="J413" s="25">
        <v>3.89</v>
      </c>
      <c r="K413" s="26">
        <v>0</v>
      </c>
      <c r="L413" s="25">
        <f t="shared" si="48"/>
        <v>-0.21678065708248009</v>
      </c>
      <c r="M413" s="25">
        <f t="shared" si="54"/>
        <v>0.44601607970127438</v>
      </c>
      <c r="N413" s="25">
        <f t="shared" si="49"/>
        <v>0.55398392029872556</v>
      </c>
      <c r="O413" s="25">
        <f t="shared" si="50"/>
        <v>-0.59061961738762125</v>
      </c>
      <c r="P413" s="25">
        <f t="shared" si="51"/>
        <v>1</v>
      </c>
      <c r="Q413" s="25">
        <f t="shared" si="55"/>
        <v>493.37796740139214</v>
      </c>
      <c r="R413" s="25">
        <f t="shared" si="52"/>
        <v>7</v>
      </c>
      <c r="S413" s="26">
        <f t="shared" si="53"/>
        <v>14</v>
      </c>
    </row>
    <row r="414" spans="2:19" x14ac:dyDescent="0.3">
      <c r="B414" s="24">
        <v>120304</v>
      </c>
      <c r="C414" s="25">
        <v>21</v>
      </c>
      <c r="D414" s="25">
        <v>3</v>
      </c>
      <c r="E414" s="25">
        <v>0</v>
      </c>
      <c r="F414" s="25">
        <v>1</v>
      </c>
      <c r="G414" s="25">
        <v>55</v>
      </c>
      <c r="H414" s="25">
        <v>17.100000000000001</v>
      </c>
      <c r="I414" s="25">
        <v>6.9</v>
      </c>
      <c r="J414" s="25">
        <v>2.5</v>
      </c>
      <c r="K414" s="26">
        <v>1</v>
      </c>
      <c r="L414" s="25">
        <f t="shared" si="48"/>
        <v>3.999464631270115</v>
      </c>
      <c r="M414" s="25">
        <f t="shared" si="54"/>
        <v>0.98200433153672806</v>
      </c>
      <c r="N414" s="25">
        <f t="shared" si="49"/>
        <v>0.98200433153672806</v>
      </c>
      <c r="O414" s="25">
        <f t="shared" si="50"/>
        <v>-1.8159559703867675E-2</v>
      </c>
      <c r="P414" s="25">
        <f t="shared" si="51"/>
        <v>1</v>
      </c>
      <c r="Q414" s="25">
        <f t="shared" si="55"/>
        <v>371.72284747579522</v>
      </c>
      <c r="R414" s="25">
        <f t="shared" si="52"/>
        <v>8</v>
      </c>
      <c r="S414" s="26">
        <f t="shared" si="53"/>
        <v>17</v>
      </c>
    </row>
    <row r="415" spans="2:19" x14ac:dyDescent="0.3">
      <c r="B415" s="24">
        <v>120306</v>
      </c>
      <c r="C415" s="25">
        <v>26</v>
      </c>
      <c r="D415" s="25">
        <v>3</v>
      </c>
      <c r="E415" s="25">
        <v>4</v>
      </c>
      <c r="F415" s="25">
        <v>4</v>
      </c>
      <c r="G415" s="25">
        <v>28</v>
      </c>
      <c r="H415" s="25">
        <v>15</v>
      </c>
      <c r="I415" s="25">
        <v>2.38</v>
      </c>
      <c r="J415" s="25">
        <v>1.82</v>
      </c>
      <c r="K415" s="26">
        <v>0</v>
      </c>
      <c r="L415" s="25">
        <f t="shared" si="48"/>
        <v>0.5152310653024248</v>
      </c>
      <c r="M415" s="25">
        <f t="shared" si="54"/>
        <v>0.62603195541368828</v>
      </c>
      <c r="N415" s="25">
        <f t="shared" si="49"/>
        <v>0.37396804458631172</v>
      </c>
      <c r="O415" s="25">
        <f t="shared" si="50"/>
        <v>-0.9835849275005939</v>
      </c>
      <c r="P415" s="25">
        <f t="shared" si="51"/>
        <v>1</v>
      </c>
      <c r="Q415" s="25">
        <f t="shared" si="55"/>
        <v>472.25657436487035</v>
      </c>
      <c r="R415" s="25">
        <f t="shared" si="52"/>
        <v>7</v>
      </c>
      <c r="S415" s="26">
        <f t="shared" si="53"/>
        <v>15</v>
      </c>
    </row>
    <row r="416" spans="2:19" x14ac:dyDescent="0.3">
      <c r="B416" s="24">
        <v>120397</v>
      </c>
      <c r="C416" s="25">
        <v>56</v>
      </c>
      <c r="D416" s="25">
        <v>3</v>
      </c>
      <c r="E416" s="25">
        <v>26</v>
      </c>
      <c r="F416" s="25">
        <v>13</v>
      </c>
      <c r="G416" s="25">
        <v>384</v>
      </c>
      <c r="H416" s="25">
        <v>11.2</v>
      </c>
      <c r="I416" s="25">
        <v>23.31</v>
      </c>
      <c r="J416" s="25">
        <v>19.7</v>
      </c>
      <c r="K416" s="26">
        <v>1</v>
      </c>
      <c r="L416" s="25">
        <f t="shared" si="48"/>
        <v>4.6615059085947594</v>
      </c>
      <c r="M416" s="25">
        <f t="shared" si="54"/>
        <v>0.99063629031748746</v>
      </c>
      <c r="N416" s="25">
        <f t="shared" si="49"/>
        <v>0.99063629031748746</v>
      </c>
      <c r="O416" s="25">
        <f t="shared" si="50"/>
        <v>-9.4078248155208821E-3</v>
      </c>
      <c r="P416" s="25">
        <f t="shared" si="51"/>
        <v>1</v>
      </c>
      <c r="Q416" s="25">
        <f t="shared" si="55"/>
        <v>352.6203746639975</v>
      </c>
      <c r="R416" s="25">
        <f t="shared" si="52"/>
        <v>8</v>
      </c>
      <c r="S416" s="26">
        <f t="shared" si="53"/>
        <v>17</v>
      </c>
    </row>
    <row r="417" spans="2:19" x14ac:dyDescent="0.3">
      <c r="B417" s="24">
        <v>120428</v>
      </c>
      <c r="C417" s="25">
        <v>38</v>
      </c>
      <c r="D417" s="25">
        <v>4</v>
      </c>
      <c r="E417" s="25">
        <v>4</v>
      </c>
      <c r="F417" s="25">
        <v>8</v>
      </c>
      <c r="G417" s="25">
        <v>91</v>
      </c>
      <c r="H417" s="25">
        <v>3.9</v>
      </c>
      <c r="I417" s="25">
        <v>1.02</v>
      </c>
      <c r="J417" s="25">
        <v>2.5299999999999998</v>
      </c>
      <c r="K417" s="26">
        <v>1</v>
      </c>
      <c r="L417" s="25">
        <f t="shared" si="48"/>
        <v>-1.646024010088408</v>
      </c>
      <c r="M417" s="25">
        <f t="shared" si="54"/>
        <v>0.16164704029765017</v>
      </c>
      <c r="N417" s="25">
        <f t="shared" si="49"/>
        <v>0.16164704029765017</v>
      </c>
      <c r="O417" s="25">
        <f t="shared" si="50"/>
        <v>-1.8223400843030875</v>
      </c>
      <c r="P417" s="25">
        <f t="shared" si="51"/>
        <v>0</v>
      </c>
      <c r="Q417" s="25">
        <f t="shared" si="55"/>
        <v>534.61721218468995</v>
      </c>
      <c r="R417" s="25">
        <f t="shared" si="52"/>
        <v>6</v>
      </c>
      <c r="S417" s="26">
        <f t="shared" si="53"/>
        <v>12</v>
      </c>
    </row>
    <row r="418" spans="2:19" x14ac:dyDescent="0.3">
      <c r="B418" s="24">
        <v>120482</v>
      </c>
      <c r="C418" s="25">
        <v>42</v>
      </c>
      <c r="D418" s="25">
        <v>4</v>
      </c>
      <c r="E418" s="25">
        <v>17</v>
      </c>
      <c r="F418" s="25">
        <v>8</v>
      </c>
      <c r="G418" s="25">
        <v>54</v>
      </c>
      <c r="H418" s="25">
        <v>10.3</v>
      </c>
      <c r="I418" s="25">
        <v>0.28999999999999998</v>
      </c>
      <c r="J418" s="25">
        <v>5.27</v>
      </c>
      <c r="K418" s="26">
        <v>0</v>
      </c>
      <c r="L418" s="25">
        <f t="shared" si="48"/>
        <v>-4.3210871088342646</v>
      </c>
      <c r="M418" s="25">
        <f t="shared" si="54"/>
        <v>1.3111244418663929E-2</v>
      </c>
      <c r="N418" s="25">
        <f t="shared" si="49"/>
        <v>0.98688875558133604</v>
      </c>
      <c r="O418" s="25">
        <f t="shared" si="50"/>
        <v>-1.3197955544901139E-2</v>
      </c>
      <c r="P418" s="25">
        <f t="shared" si="51"/>
        <v>0</v>
      </c>
      <c r="Q418" s="25">
        <f t="shared" si="55"/>
        <v>611.80321532959294</v>
      </c>
      <c r="R418" s="25">
        <f t="shared" si="52"/>
        <v>4</v>
      </c>
      <c r="S418" s="26">
        <f t="shared" si="53"/>
        <v>6</v>
      </c>
    </row>
    <row r="419" spans="2:19" x14ac:dyDescent="0.3">
      <c r="B419" s="24">
        <v>120611</v>
      </c>
      <c r="C419" s="25">
        <v>43</v>
      </c>
      <c r="D419" s="25">
        <v>3</v>
      </c>
      <c r="E419" s="25">
        <v>13</v>
      </c>
      <c r="F419" s="25">
        <v>11</v>
      </c>
      <c r="G419" s="25">
        <v>59</v>
      </c>
      <c r="H419" s="25">
        <v>11</v>
      </c>
      <c r="I419" s="25">
        <v>1.72</v>
      </c>
      <c r="J419" s="25">
        <v>4.7699999999999996</v>
      </c>
      <c r="K419" s="26">
        <v>1</v>
      </c>
      <c r="L419" s="25">
        <f t="shared" si="48"/>
        <v>-2.746325392131947</v>
      </c>
      <c r="M419" s="25">
        <f t="shared" si="54"/>
        <v>6.0294514006811739E-2</v>
      </c>
      <c r="N419" s="25">
        <f t="shared" si="49"/>
        <v>6.0294514006811739E-2</v>
      </c>
      <c r="O419" s="25">
        <f t="shared" si="50"/>
        <v>-2.80851415771594</v>
      </c>
      <c r="P419" s="25">
        <f t="shared" si="51"/>
        <v>0</v>
      </c>
      <c r="Q419" s="25">
        <f t="shared" si="55"/>
        <v>566.36519823203594</v>
      </c>
      <c r="R419" s="25">
        <f t="shared" si="52"/>
        <v>5</v>
      </c>
      <c r="S419" s="26">
        <f t="shared" si="53"/>
        <v>9</v>
      </c>
    </row>
    <row r="420" spans="2:19" x14ac:dyDescent="0.3">
      <c r="B420" s="24">
        <v>120614</v>
      </c>
      <c r="C420" s="25">
        <v>37</v>
      </c>
      <c r="D420" s="25">
        <v>2</v>
      </c>
      <c r="E420" s="25">
        <v>17</v>
      </c>
      <c r="F420" s="25">
        <v>6</v>
      </c>
      <c r="G420" s="25">
        <v>123</v>
      </c>
      <c r="H420" s="25">
        <v>10.6</v>
      </c>
      <c r="I420" s="25">
        <v>3.89</v>
      </c>
      <c r="J420" s="25">
        <v>9.15</v>
      </c>
      <c r="K420" s="26">
        <v>0</v>
      </c>
      <c r="L420" s="25">
        <f t="shared" si="48"/>
        <v>-2.1929803425703822</v>
      </c>
      <c r="M420" s="25">
        <f t="shared" si="54"/>
        <v>0.10038263014341177</v>
      </c>
      <c r="N420" s="25">
        <f t="shared" si="49"/>
        <v>0.89961736985658824</v>
      </c>
      <c r="O420" s="25">
        <f t="shared" si="50"/>
        <v>-0.10578575066120705</v>
      </c>
      <c r="P420" s="25">
        <f t="shared" si="51"/>
        <v>0</v>
      </c>
      <c r="Q420" s="25">
        <f t="shared" si="55"/>
        <v>550.3990355064916</v>
      </c>
      <c r="R420" s="25">
        <f t="shared" si="52"/>
        <v>6</v>
      </c>
      <c r="S420" s="26">
        <f t="shared" si="53"/>
        <v>11</v>
      </c>
    </row>
    <row r="421" spans="2:19" x14ac:dyDescent="0.3">
      <c r="B421" s="24">
        <v>120633</v>
      </c>
      <c r="C421" s="25">
        <v>64</v>
      </c>
      <c r="D421" s="25">
        <v>3</v>
      </c>
      <c r="E421" s="25">
        <v>15</v>
      </c>
      <c r="F421" s="25">
        <v>22</v>
      </c>
      <c r="G421" s="25">
        <v>227</v>
      </c>
      <c r="H421" s="25">
        <v>29.9</v>
      </c>
      <c r="I421" s="25">
        <v>35.97</v>
      </c>
      <c r="J421" s="25">
        <v>31.9</v>
      </c>
      <c r="K421" s="26">
        <v>1</v>
      </c>
      <c r="L421" s="25">
        <f t="shared" si="48"/>
        <v>14.816652334009744</v>
      </c>
      <c r="M421" s="25">
        <f t="shared" si="54"/>
        <v>0.99999963254049007</v>
      </c>
      <c r="N421" s="25">
        <f t="shared" si="49"/>
        <v>0.99999963254049007</v>
      </c>
      <c r="O421" s="25">
        <f t="shared" si="50"/>
        <v>-3.6745957744448502E-7</v>
      </c>
      <c r="P421" s="25">
        <f t="shared" si="51"/>
        <v>1</v>
      </c>
      <c r="Q421" s="25">
        <f t="shared" si="55"/>
        <v>59.604795221100289</v>
      </c>
      <c r="R421" s="25">
        <f t="shared" si="52"/>
        <v>8</v>
      </c>
      <c r="S421" s="26">
        <f t="shared" si="53"/>
        <v>17</v>
      </c>
    </row>
    <row r="422" spans="2:19" x14ac:dyDescent="0.3">
      <c r="B422" s="24">
        <v>120651</v>
      </c>
      <c r="C422" s="25">
        <v>39</v>
      </c>
      <c r="D422" s="25">
        <v>2</v>
      </c>
      <c r="E422" s="25">
        <v>0</v>
      </c>
      <c r="F422" s="25">
        <v>10</v>
      </c>
      <c r="G422" s="25">
        <v>38</v>
      </c>
      <c r="H422" s="25">
        <v>7.5</v>
      </c>
      <c r="I422" s="25">
        <v>0.2</v>
      </c>
      <c r="J422" s="25">
        <v>2.65</v>
      </c>
      <c r="K422" s="26">
        <v>0</v>
      </c>
      <c r="L422" s="25">
        <f t="shared" si="48"/>
        <v>-0.75946789678338722</v>
      </c>
      <c r="M422" s="25">
        <f t="shared" si="54"/>
        <v>0.31876180272480337</v>
      </c>
      <c r="N422" s="25">
        <f t="shared" si="49"/>
        <v>0.68123819727519663</v>
      </c>
      <c r="O422" s="25">
        <f t="shared" si="50"/>
        <v>-0.38384325825539328</v>
      </c>
      <c r="P422" s="25">
        <f t="shared" si="51"/>
        <v>0</v>
      </c>
      <c r="Q422" s="25">
        <f t="shared" si="55"/>
        <v>509.03661074699818</v>
      </c>
      <c r="R422" s="25">
        <f t="shared" si="52"/>
        <v>7</v>
      </c>
      <c r="S422" s="26">
        <f t="shared" si="53"/>
        <v>14</v>
      </c>
    </row>
    <row r="423" spans="2:19" x14ac:dyDescent="0.3">
      <c r="B423" s="24">
        <v>120658</v>
      </c>
      <c r="C423" s="25">
        <v>21</v>
      </c>
      <c r="D423" s="25">
        <v>2</v>
      </c>
      <c r="E423" s="25">
        <v>1</v>
      </c>
      <c r="F423" s="25">
        <v>0</v>
      </c>
      <c r="G423" s="25">
        <v>20</v>
      </c>
      <c r="H423" s="25">
        <v>20.3</v>
      </c>
      <c r="I423" s="25">
        <v>0.41</v>
      </c>
      <c r="J423" s="25">
        <v>3.65</v>
      </c>
      <c r="K423" s="26">
        <v>0</v>
      </c>
      <c r="L423" s="25">
        <f t="shared" si="48"/>
        <v>1.1246934753958653</v>
      </c>
      <c r="M423" s="25">
        <f t="shared" si="54"/>
        <v>0.75485826975999815</v>
      </c>
      <c r="N423" s="25">
        <f t="shared" si="49"/>
        <v>0.24514173024000185</v>
      </c>
      <c r="O423" s="25">
        <f t="shared" si="50"/>
        <v>-1.405918744923178</v>
      </c>
      <c r="P423" s="25">
        <f t="shared" si="51"/>
        <v>1</v>
      </c>
      <c r="Q423" s="25">
        <f t="shared" si="55"/>
        <v>454.67120693027522</v>
      </c>
      <c r="R423" s="25">
        <f t="shared" si="52"/>
        <v>8</v>
      </c>
      <c r="S423" s="26">
        <f t="shared" si="53"/>
        <v>16</v>
      </c>
    </row>
    <row r="424" spans="2:19" x14ac:dyDescent="0.3">
      <c r="B424" s="24">
        <v>120708</v>
      </c>
      <c r="C424" s="25">
        <v>30</v>
      </c>
      <c r="D424" s="25">
        <v>4</v>
      </c>
      <c r="E424" s="25">
        <v>5</v>
      </c>
      <c r="F424" s="25">
        <v>3</v>
      </c>
      <c r="G424" s="25">
        <v>62</v>
      </c>
      <c r="H424" s="25">
        <v>2.6</v>
      </c>
      <c r="I424" s="25">
        <v>0.7</v>
      </c>
      <c r="J424" s="25">
        <v>0.91</v>
      </c>
      <c r="K424" s="26">
        <v>0</v>
      </c>
      <c r="L424" s="25">
        <f t="shared" si="48"/>
        <v>-1.8648250379934028</v>
      </c>
      <c r="M424" s="25">
        <f t="shared" si="54"/>
        <v>0.13414164510827323</v>
      </c>
      <c r="N424" s="25">
        <f t="shared" si="49"/>
        <v>0.8658583548917268</v>
      </c>
      <c r="O424" s="25">
        <f t="shared" si="50"/>
        <v>-0.14403394627818819</v>
      </c>
      <c r="P424" s="25">
        <f t="shared" si="51"/>
        <v>0</v>
      </c>
      <c r="Q424" s="25">
        <f t="shared" si="55"/>
        <v>540.93047516375782</v>
      </c>
      <c r="R424" s="25">
        <f t="shared" si="52"/>
        <v>6</v>
      </c>
      <c r="S424" s="26">
        <f t="shared" si="53"/>
        <v>11</v>
      </c>
    </row>
    <row r="425" spans="2:19" x14ac:dyDescent="0.3">
      <c r="B425" s="24">
        <v>120724</v>
      </c>
      <c r="C425" s="25">
        <v>52</v>
      </c>
      <c r="D425" s="25">
        <v>2</v>
      </c>
      <c r="E425" s="25">
        <v>9</v>
      </c>
      <c r="F425" s="25">
        <v>12</v>
      </c>
      <c r="G425" s="25">
        <v>72</v>
      </c>
      <c r="H425" s="25">
        <v>15.4</v>
      </c>
      <c r="I425" s="25">
        <v>4.08</v>
      </c>
      <c r="J425" s="25">
        <v>7.01</v>
      </c>
      <c r="K425" s="26">
        <v>0</v>
      </c>
      <c r="L425" s="25">
        <f t="shared" si="48"/>
        <v>-0.39936322704110871</v>
      </c>
      <c r="M425" s="25">
        <f t="shared" si="54"/>
        <v>0.40146534104319187</v>
      </c>
      <c r="N425" s="25">
        <f t="shared" si="49"/>
        <v>0.59853465895680813</v>
      </c>
      <c r="O425" s="25">
        <f t="shared" si="50"/>
        <v>-0.51327084595854211</v>
      </c>
      <c r="P425" s="25">
        <f t="shared" si="51"/>
        <v>1</v>
      </c>
      <c r="Q425" s="25">
        <f t="shared" si="55"/>
        <v>498.64618661672142</v>
      </c>
      <c r="R425" s="25">
        <f t="shared" si="52"/>
        <v>7</v>
      </c>
      <c r="S425" s="26">
        <f t="shared" si="53"/>
        <v>14</v>
      </c>
    </row>
    <row r="426" spans="2:19" x14ac:dyDescent="0.3">
      <c r="B426" s="24">
        <v>120769</v>
      </c>
      <c r="C426" s="25">
        <v>40</v>
      </c>
      <c r="D426" s="25">
        <v>4</v>
      </c>
      <c r="E426" s="25">
        <v>5</v>
      </c>
      <c r="F426" s="25">
        <v>9</v>
      </c>
      <c r="G426" s="25">
        <v>62</v>
      </c>
      <c r="H426" s="25">
        <v>8</v>
      </c>
      <c r="I426" s="25">
        <v>1.49</v>
      </c>
      <c r="J426" s="25">
        <v>3.47</v>
      </c>
      <c r="K426" s="26">
        <v>1</v>
      </c>
      <c r="L426" s="25">
        <f t="shared" si="48"/>
        <v>-1.2997022864301635</v>
      </c>
      <c r="M426" s="25">
        <f t="shared" si="54"/>
        <v>0.21421512592748027</v>
      </c>
      <c r="N426" s="25">
        <f t="shared" si="49"/>
        <v>0.21421512592748027</v>
      </c>
      <c r="O426" s="25">
        <f t="shared" si="50"/>
        <v>-1.5407745075537367</v>
      </c>
      <c r="P426" s="25">
        <f t="shared" si="51"/>
        <v>0</v>
      </c>
      <c r="Q426" s="25">
        <f t="shared" si="55"/>
        <v>524.62447980242723</v>
      </c>
      <c r="R426" s="25">
        <f t="shared" si="52"/>
        <v>6</v>
      </c>
      <c r="S426" s="26">
        <f t="shared" si="53"/>
        <v>13</v>
      </c>
    </row>
    <row r="427" spans="2:19" x14ac:dyDescent="0.3">
      <c r="B427" s="24">
        <v>120806</v>
      </c>
      <c r="C427" s="25">
        <v>23</v>
      </c>
      <c r="D427" s="25">
        <v>2</v>
      </c>
      <c r="E427" s="25">
        <v>3</v>
      </c>
      <c r="F427" s="25">
        <v>2</v>
      </c>
      <c r="G427" s="25">
        <v>25</v>
      </c>
      <c r="H427" s="25">
        <v>2.5</v>
      </c>
      <c r="I427" s="25">
        <v>0.17</v>
      </c>
      <c r="J427" s="25">
        <v>0.45</v>
      </c>
      <c r="K427" s="26">
        <v>0</v>
      </c>
      <c r="L427" s="25">
        <f t="shared" si="48"/>
        <v>-1.4025025315783484</v>
      </c>
      <c r="M427" s="25">
        <f t="shared" si="54"/>
        <v>0.19741929776183623</v>
      </c>
      <c r="N427" s="25">
        <f t="shared" si="49"/>
        <v>0.8025807022381638</v>
      </c>
      <c r="O427" s="25">
        <f t="shared" si="50"/>
        <v>-0.21992286549748688</v>
      </c>
      <c r="P427" s="25">
        <f t="shared" si="51"/>
        <v>0</v>
      </c>
      <c r="Q427" s="25">
        <f t="shared" si="55"/>
        <v>527.59066779590853</v>
      </c>
      <c r="R427" s="25">
        <f t="shared" si="52"/>
        <v>6</v>
      </c>
      <c r="S427" s="26">
        <f t="shared" si="53"/>
        <v>12</v>
      </c>
    </row>
    <row r="428" spans="2:19" x14ac:dyDescent="0.3">
      <c r="B428" s="24">
        <v>120822</v>
      </c>
      <c r="C428" s="25">
        <v>40</v>
      </c>
      <c r="D428" s="25">
        <v>2</v>
      </c>
      <c r="E428" s="25">
        <v>2</v>
      </c>
      <c r="F428" s="25">
        <v>7</v>
      </c>
      <c r="G428" s="25">
        <v>32</v>
      </c>
      <c r="H428" s="25">
        <v>3.4</v>
      </c>
      <c r="I428" s="25">
        <v>0.18</v>
      </c>
      <c r="J428" s="25">
        <v>0.91</v>
      </c>
      <c r="K428" s="26">
        <v>0</v>
      </c>
      <c r="L428" s="25">
        <f t="shared" si="48"/>
        <v>-1.5988266988843869</v>
      </c>
      <c r="M428" s="25">
        <f t="shared" si="54"/>
        <v>0.16814566376673973</v>
      </c>
      <c r="N428" s="25">
        <f t="shared" si="49"/>
        <v>0.83185433623326022</v>
      </c>
      <c r="O428" s="25">
        <f t="shared" si="50"/>
        <v>-0.18409793013134901</v>
      </c>
      <c r="P428" s="25">
        <f t="shared" si="51"/>
        <v>0</v>
      </c>
      <c r="Q428" s="25">
        <f t="shared" si="55"/>
        <v>533.25538568694014</v>
      </c>
      <c r="R428" s="25">
        <f t="shared" si="52"/>
        <v>6</v>
      </c>
      <c r="S428" s="26">
        <f t="shared" si="53"/>
        <v>12</v>
      </c>
    </row>
    <row r="429" spans="2:19" x14ac:dyDescent="0.3">
      <c r="B429" s="24">
        <v>120942</v>
      </c>
      <c r="C429" s="25">
        <v>19</v>
      </c>
      <c r="D429" s="25">
        <v>2</v>
      </c>
      <c r="E429" s="25">
        <v>0</v>
      </c>
      <c r="F429" s="25">
        <v>0</v>
      </c>
      <c r="G429" s="25">
        <v>37</v>
      </c>
      <c r="H429" s="25">
        <v>3</v>
      </c>
      <c r="I429" s="25">
        <v>0.21</v>
      </c>
      <c r="J429" s="25">
        <v>0.9</v>
      </c>
      <c r="K429" s="26">
        <v>0</v>
      </c>
      <c r="L429" s="25">
        <f t="shared" si="48"/>
        <v>-0.48949428019042412</v>
      </c>
      <c r="M429" s="25">
        <f t="shared" si="54"/>
        <v>0.38001270955449429</v>
      </c>
      <c r="N429" s="25">
        <f t="shared" si="49"/>
        <v>0.61998729044550571</v>
      </c>
      <c r="O429" s="25">
        <f t="shared" si="50"/>
        <v>-0.47805630043455538</v>
      </c>
      <c r="P429" s="25">
        <f t="shared" si="51"/>
        <v>0</v>
      </c>
      <c r="Q429" s="25">
        <f t="shared" si="55"/>
        <v>501.24681901118646</v>
      </c>
      <c r="R429" s="25">
        <f t="shared" si="52"/>
        <v>7</v>
      </c>
      <c r="S429" s="26">
        <f t="shared" si="53"/>
        <v>14</v>
      </c>
    </row>
    <row r="430" spans="2:19" x14ac:dyDescent="0.3">
      <c r="B430" s="24">
        <v>120999</v>
      </c>
      <c r="C430" s="25">
        <v>22</v>
      </c>
      <c r="D430" s="25">
        <v>4</v>
      </c>
      <c r="E430" s="25">
        <v>0</v>
      </c>
      <c r="F430" s="25">
        <v>0</v>
      </c>
      <c r="G430" s="25">
        <v>36</v>
      </c>
      <c r="H430" s="25">
        <v>3.3</v>
      </c>
      <c r="I430" s="25">
        <v>0.28000000000000003</v>
      </c>
      <c r="J430" s="25">
        <v>0.91</v>
      </c>
      <c r="K430" s="26">
        <v>0</v>
      </c>
      <c r="L430" s="25">
        <f t="shared" si="48"/>
        <v>-0.59805414250964173</v>
      </c>
      <c r="M430" s="25">
        <f t="shared" si="54"/>
        <v>0.35478900137360131</v>
      </c>
      <c r="N430" s="25">
        <f t="shared" si="49"/>
        <v>0.64521099862639875</v>
      </c>
      <c r="O430" s="25">
        <f t="shared" si="50"/>
        <v>-0.43817788602827196</v>
      </c>
      <c r="P430" s="25">
        <f t="shared" si="51"/>
        <v>0</v>
      </c>
      <c r="Q430" s="25">
        <f t="shared" si="55"/>
        <v>504.37919442255895</v>
      </c>
      <c r="R430" s="25">
        <f t="shared" si="52"/>
        <v>7</v>
      </c>
      <c r="S430" s="26">
        <f t="shared" si="53"/>
        <v>14</v>
      </c>
    </row>
    <row r="431" spans="2:19" x14ac:dyDescent="0.3">
      <c r="B431" s="24">
        <v>121027</v>
      </c>
      <c r="C431" s="25">
        <v>50</v>
      </c>
      <c r="D431" s="25">
        <v>1</v>
      </c>
      <c r="E431" s="25">
        <v>20</v>
      </c>
      <c r="F431" s="25">
        <v>11</v>
      </c>
      <c r="G431" s="25">
        <v>67</v>
      </c>
      <c r="H431" s="25">
        <v>18.399999999999999</v>
      </c>
      <c r="I431" s="25">
        <v>7.24</v>
      </c>
      <c r="J431" s="25">
        <v>5.09</v>
      </c>
      <c r="K431" s="26">
        <v>1</v>
      </c>
      <c r="L431" s="25">
        <f t="shared" si="48"/>
        <v>-1.0123606516323012</v>
      </c>
      <c r="M431" s="25">
        <f t="shared" si="54"/>
        <v>0.26651812163803623</v>
      </c>
      <c r="N431" s="25">
        <f t="shared" si="49"/>
        <v>0.26651812163803623</v>
      </c>
      <c r="O431" s="25">
        <f t="shared" si="50"/>
        <v>-1.3223130390462536</v>
      </c>
      <c r="P431" s="25">
        <f t="shared" si="51"/>
        <v>0</v>
      </c>
      <c r="Q431" s="25">
        <f t="shared" si="55"/>
        <v>516.33355300613323</v>
      </c>
      <c r="R431" s="25">
        <f t="shared" si="52"/>
        <v>7</v>
      </c>
      <c r="S431" s="26">
        <f t="shared" si="53"/>
        <v>13</v>
      </c>
    </row>
    <row r="432" spans="2:19" x14ac:dyDescent="0.3">
      <c r="B432" s="24">
        <v>121055</v>
      </c>
      <c r="C432" s="25">
        <v>36</v>
      </c>
      <c r="D432" s="25">
        <v>5</v>
      </c>
      <c r="E432" s="25">
        <v>7</v>
      </c>
      <c r="F432" s="25">
        <v>12</v>
      </c>
      <c r="G432" s="25">
        <v>67</v>
      </c>
      <c r="H432" s="25">
        <v>8.1999999999999993</v>
      </c>
      <c r="I432" s="25">
        <v>3.1</v>
      </c>
      <c r="J432" s="25">
        <v>2.4</v>
      </c>
      <c r="K432" s="26">
        <v>0</v>
      </c>
      <c r="L432" s="25">
        <f t="shared" si="48"/>
        <v>-1.0601152712661757</v>
      </c>
      <c r="M432" s="25">
        <f t="shared" si="54"/>
        <v>0.25728742682484479</v>
      </c>
      <c r="N432" s="25">
        <f t="shared" si="49"/>
        <v>0.74271257317515516</v>
      </c>
      <c r="O432" s="25">
        <f t="shared" si="50"/>
        <v>-0.29744615544095032</v>
      </c>
      <c r="P432" s="25">
        <f t="shared" si="51"/>
        <v>0</v>
      </c>
      <c r="Q432" s="25">
        <f t="shared" si="55"/>
        <v>517.71146002558714</v>
      </c>
      <c r="R432" s="25">
        <f t="shared" si="52"/>
        <v>6</v>
      </c>
      <c r="S432" s="26">
        <f t="shared" si="53"/>
        <v>13</v>
      </c>
    </row>
    <row r="433" spans="2:19" x14ac:dyDescent="0.3">
      <c r="B433" s="24">
        <v>121097</v>
      </c>
      <c r="C433" s="25">
        <v>47</v>
      </c>
      <c r="D433" s="25">
        <v>3</v>
      </c>
      <c r="E433" s="25">
        <v>14</v>
      </c>
      <c r="F433" s="25">
        <v>16</v>
      </c>
      <c r="G433" s="25">
        <v>36</v>
      </c>
      <c r="H433" s="25">
        <v>0.9</v>
      </c>
      <c r="I433" s="25">
        <v>0.08</v>
      </c>
      <c r="J433" s="25">
        <v>0.24</v>
      </c>
      <c r="K433" s="26">
        <v>0</v>
      </c>
      <c r="L433" s="25">
        <f t="shared" si="48"/>
        <v>-5.1239556276322062</v>
      </c>
      <c r="M433" s="25">
        <f t="shared" si="54"/>
        <v>5.9172088898612344E-3</v>
      </c>
      <c r="N433" s="25">
        <f t="shared" si="49"/>
        <v>0.99408279111013875</v>
      </c>
      <c r="O433" s="25">
        <f t="shared" si="50"/>
        <v>-5.9347849387833326E-3</v>
      </c>
      <c r="P433" s="25">
        <f t="shared" si="51"/>
        <v>0</v>
      </c>
      <c r="Q433" s="25">
        <f t="shared" si="55"/>
        <v>634.96910328413696</v>
      </c>
      <c r="R433" s="25">
        <f t="shared" si="52"/>
        <v>3</v>
      </c>
      <c r="S433" s="26">
        <f t="shared" si="53"/>
        <v>4</v>
      </c>
    </row>
    <row r="434" spans="2:19" x14ac:dyDescent="0.3">
      <c r="B434" s="24">
        <v>121113</v>
      </c>
      <c r="C434" s="25">
        <v>19</v>
      </c>
      <c r="D434" s="25">
        <v>2</v>
      </c>
      <c r="E434" s="25">
        <v>0</v>
      </c>
      <c r="F434" s="25">
        <v>0</v>
      </c>
      <c r="G434" s="25">
        <v>50</v>
      </c>
      <c r="H434" s="25">
        <v>1.8</v>
      </c>
      <c r="I434" s="25">
        <v>0.49</v>
      </c>
      <c r="J434" s="25">
        <v>0.41</v>
      </c>
      <c r="K434" s="26">
        <v>0</v>
      </c>
      <c r="L434" s="25">
        <f t="shared" si="48"/>
        <v>-0.4858478412110262</v>
      </c>
      <c r="M434" s="25">
        <f t="shared" si="54"/>
        <v>0.38087219679611134</v>
      </c>
      <c r="N434" s="25">
        <f t="shared" si="49"/>
        <v>0.61912780320388872</v>
      </c>
      <c r="O434" s="25">
        <f t="shared" si="50"/>
        <v>-0.4794435603975104</v>
      </c>
      <c r="P434" s="25">
        <f t="shared" si="51"/>
        <v>0</v>
      </c>
      <c r="Q434" s="25">
        <f t="shared" si="55"/>
        <v>501.1416050255188</v>
      </c>
      <c r="R434" s="25">
        <f t="shared" si="52"/>
        <v>7</v>
      </c>
      <c r="S434" s="26">
        <f t="shared" si="53"/>
        <v>14</v>
      </c>
    </row>
    <row r="435" spans="2:19" x14ac:dyDescent="0.3">
      <c r="B435" s="24">
        <v>121151</v>
      </c>
      <c r="C435" s="25">
        <v>32</v>
      </c>
      <c r="D435" s="25">
        <v>3</v>
      </c>
      <c r="E435" s="25">
        <v>10</v>
      </c>
      <c r="F435" s="25">
        <v>7</v>
      </c>
      <c r="G435" s="25">
        <v>70</v>
      </c>
      <c r="H435" s="25">
        <v>3.2</v>
      </c>
      <c r="I435" s="25">
        <v>0.85</v>
      </c>
      <c r="J435" s="25">
        <v>1.39</v>
      </c>
      <c r="K435" s="26">
        <v>1</v>
      </c>
      <c r="L435" s="25">
        <f t="shared" si="48"/>
        <v>-2.9714604040013017</v>
      </c>
      <c r="M435" s="25">
        <f t="shared" si="54"/>
        <v>4.8731978164554372E-2</v>
      </c>
      <c r="N435" s="25">
        <f t="shared" si="49"/>
        <v>4.8731978164554372E-2</v>
      </c>
      <c r="O435" s="25">
        <f t="shared" si="50"/>
        <v>-3.0214198285620952</v>
      </c>
      <c r="P435" s="25">
        <f t="shared" si="51"/>
        <v>0</v>
      </c>
      <c r="Q435" s="25">
        <f t="shared" si="55"/>
        <v>572.86122135101311</v>
      </c>
      <c r="R435" s="25">
        <f t="shared" si="52"/>
        <v>5</v>
      </c>
      <c r="S435" s="26">
        <f t="shared" si="53"/>
        <v>9</v>
      </c>
    </row>
    <row r="436" spans="2:19" x14ac:dyDescent="0.3">
      <c r="B436" s="24">
        <v>121201</v>
      </c>
      <c r="C436" s="25">
        <v>20</v>
      </c>
      <c r="D436" s="25">
        <v>3</v>
      </c>
      <c r="E436" s="25">
        <v>0</v>
      </c>
      <c r="F436" s="25">
        <v>0</v>
      </c>
      <c r="G436" s="25">
        <v>32</v>
      </c>
      <c r="H436" s="25">
        <v>8.5</v>
      </c>
      <c r="I436" s="25">
        <v>1.1100000000000001</v>
      </c>
      <c r="J436" s="25">
        <v>1.61</v>
      </c>
      <c r="K436" s="26">
        <v>0</v>
      </c>
      <c r="L436" s="25">
        <f t="shared" si="48"/>
        <v>0.42652199631241811</v>
      </c>
      <c r="M436" s="25">
        <f t="shared" si="54"/>
        <v>0.60504284817127518</v>
      </c>
      <c r="N436" s="25">
        <f t="shared" si="49"/>
        <v>0.39495715182872482</v>
      </c>
      <c r="O436" s="25">
        <f t="shared" si="50"/>
        <v>-0.92897799634797873</v>
      </c>
      <c r="P436" s="25">
        <f t="shared" si="51"/>
        <v>1</v>
      </c>
      <c r="Q436" s="25">
        <f t="shared" si="55"/>
        <v>474.81617697060113</v>
      </c>
      <c r="R436" s="25">
        <f t="shared" si="52"/>
        <v>7</v>
      </c>
      <c r="S436" s="26">
        <f t="shared" si="53"/>
        <v>15</v>
      </c>
    </row>
    <row r="437" spans="2:19" x14ac:dyDescent="0.3">
      <c r="B437" s="24">
        <v>121202</v>
      </c>
      <c r="C437" s="25">
        <v>20</v>
      </c>
      <c r="D437" s="25">
        <v>2</v>
      </c>
      <c r="E437" s="25">
        <v>0</v>
      </c>
      <c r="F437" s="25">
        <v>0</v>
      </c>
      <c r="G437" s="25">
        <v>26</v>
      </c>
      <c r="H437" s="25">
        <v>4</v>
      </c>
      <c r="I437" s="25">
        <v>0.39</v>
      </c>
      <c r="J437" s="25">
        <v>0.65</v>
      </c>
      <c r="K437" s="26">
        <v>1</v>
      </c>
      <c r="L437" s="25">
        <f t="shared" si="48"/>
        <v>-0.3349137415798874</v>
      </c>
      <c r="M437" s="25">
        <f t="shared" si="54"/>
        <v>0.41704551667107176</v>
      </c>
      <c r="N437" s="25">
        <f t="shared" si="49"/>
        <v>0.41704551667107176</v>
      </c>
      <c r="O437" s="25">
        <f t="shared" si="50"/>
        <v>-0.87455991045163539</v>
      </c>
      <c r="P437" s="25">
        <f t="shared" si="51"/>
        <v>1</v>
      </c>
      <c r="Q437" s="25">
        <f t="shared" si="55"/>
        <v>496.78656760817188</v>
      </c>
      <c r="R437" s="25">
        <f t="shared" si="52"/>
        <v>7</v>
      </c>
      <c r="S437" s="26">
        <f t="shared" si="53"/>
        <v>14</v>
      </c>
    </row>
    <row r="438" spans="2:19" x14ac:dyDescent="0.3">
      <c r="B438" s="24">
        <v>121206</v>
      </c>
      <c r="C438" s="25">
        <v>22</v>
      </c>
      <c r="D438" s="25">
        <v>4</v>
      </c>
      <c r="E438" s="25">
        <v>0</v>
      </c>
      <c r="F438" s="25">
        <v>2</v>
      </c>
      <c r="G438" s="25">
        <v>31</v>
      </c>
      <c r="H438" s="25">
        <v>7.6</v>
      </c>
      <c r="I438" s="25">
        <v>0.2</v>
      </c>
      <c r="J438" s="25">
        <v>2.16</v>
      </c>
      <c r="K438" s="26">
        <v>0</v>
      </c>
      <c r="L438" s="25">
        <f t="shared" si="48"/>
        <v>-0.24240064265652814</v>
      </c>
      <c r="M438" s="25">
        <f t="shared" si="54"/>
        <v>0.43969483516649582</v>
      </c>
      <c r="N438" s="25">
        <f t="shared" si="49"/>
        <v>0.56030516483350423</v>
      </c>
      <c r="O438" s="25">
        <f t="shared" si="50"/>
        <v>-0.57927370647461462</v>
      </c>
      <c r="P438" s="25">
        <f t="shared" si="51"/>
        <v>1</v>
      </c>
      <c r="Q438" s="25">
        <f t="shared" si="55"/>
        <v>494.11720390314719</v>
      </c>
      <c r="R438" s="25">
        <f t="shared" si="52"/>
        <v>7</v>
      </c>
      <c r="S438" s="26">
        <f t="shared" si="53"/>
        <v>14</v>
      </c>
    </row>
    <row r="439" spans="2:19" x14ac:dyDescent="0.3">
      <c r="B439" s="24">
        <v>121261</v>
      </c>
      <c r="C439" s="25">
        <v>23</v>
      </c>
      <c r="D439" s="25">
        <v>4</v>
      </c>
      <c r="E439" s="25">
        <v>0</v>
      </c>
      <c r="F439" s="25">
        <v>2</v>
      </c>
      <c r="G439" s="25">
        <v>45</v>
      </c>
      <c r="H439" s="25">
        <v>10.7</v>
      </c>
      <c r="I439" s="25">
        <v>0.61</v>
      </c>
      <c r="J439" s="25">
        <v>4.2</v>
      </c>
      <c r="K439" s="26">
        <v>1</v>
      </c>
      <c r="L439" s="25">
        <f t="shared" si="48"/>
        <v>0.29344895756084549</v>
      </c>
      <c r="M439" s="25">
        <f t="shared" si="54"/>
        <v>0.57284028439686852</v>
      </c>
      <c r="N439" s="25">
        <f t="shared" si="49"/>
        <v>0.57284028439686852</v>
      </c>
      <c r="O439" s="25">
        <f t="shared" si="50"/>
        <v>-0.55714833690351517</v>
      </c>
      <c r="P439" s="25">
        <f t="shared" si="51"/>
        <v>1</v>
      </c>
      <c r="Q439" s="25">
        <f t="shared" si="55"/>
        <v>478.65585312343512</v>
      </c>
      <c r="R439" s="25">
        <f t="shared" si="52"/>
        <v>7</v>
      </c>
      <c r="S439" s="26">
        <f t="shared" si="53"/>
        <v>15</v>
      </c>
    </row>
    <row r="440" spans="2:19" x14ac:dyDescent="0.3">
      <c r="B440" s="24">
        <v>121266</v>
      </c>
      <c r="C440" s="25">
        <v>62</v>
      </c>
      <c r="D440" s="25">
        <v>2</v>
      </c>
      <c r="E440" s="25">
        <v>4</v>
      </c>
      <c r="F440" s="25">
        <v>5</v>
      </c>
      <c r="G440" s="25">
        <v>38</v>
      </c>
      <c r="H440" s="25">
        <v>11.3</v>
      </c>
      <c r="I440" s="25">
        <v>0.94</v>
      </c>
      <c r="J440" s="25">
        <v>3.35</v>
      </c>
      <c r="K440" s="26">
        <v>0</v>
      </c>
      <c r="L440" s="25">
        <f t="shared" si="48"/>
        <v>-1.2516010419372194</v>
      </c>
      <c r="M440" s="25">
        <f t="shared" si="54"/>
        <v>0.22242311385139554</v>
      </c>
      <c r="N440" s="25">
        <f t="shared" si="49"/>
        <v>0.77757688614860443</v>
      </c>
      <c r="O440" s="25">
        <f t="shared" si="50"/>
        <v>-0.25157275088082465</v>
      </c>
      <c r="P440" s="25">
        <f t="shared" si="51"/>
        <v>0</v>
      </c>
      <c r="Q440" s="25">
        <f t="shared" si="55"/>
        <v>523.23657130395236</v>
      </c>
      <c r="R440" s="25">
        <f t="shared" si="52"/>
        <v>6</v>
      </c>
      <c r="S440" s="26">
        <f t="shared" si="53"/>
        <v>13</v>
      </c>
    </row>
    <row r="441" spans="2:19" x14ac:dyDescent="0.3">
      <c r="B441" s="24">
        <v>121285</v>
      </c>
      <c r="C441" s="25">
        <v>29</v>
      </c>
      <c r="D441" s="25">
        <v>2</v>
      </c>
      <c r="E441" s="25">
        <v>9</v>
      </c>
      <c r="F441" s="25">
        <v>3</v>
      </c>
      <c r="G441" s="25">
        <v>69</v>
      </c>
      <c r="H441" s="25">
        <v>6.7</v>
      </c>
      <c r="I441" s="25">
        <v>1.07</v>
      </c>
      <c r="J441" s="25">
        <v>3.55</v>
      </c>
      <c r="K441" s="26">
        <v>0</v>
      </c>
      <c r="L441" s="25">
        <f t="shared" si="48"/>
        <v>-1.9896927739834827</v>
      </c>
      <c r="M441" s="25">
        <f t="shared" si="54"/>
        <v>0.12028936928231358</v>
      </c>
      <c r="N441" s="25">
        <f t="shared" si="49"/>
        <v>0.8797106307176864</v>
      </c>
      <c r="O441" s="25">
        <f t="shared" si="50"/>
        <v>-0.12816225431580833</v>
      </c>
      <c r="P441" s="25">
        <f t="shared" si="51"/>
        <v>0</v>
      </c>
      <c r="Q441" s="25">
        <f t="shared" si="55"/>
        <v>544.53339633124199</v>
      </c>
      <c r="R441" s="25">
        <f t="shared" si="52"/>
        <v>6</v>
      </c>
      <c r="S441" s="26">
        <f t="shared" si="53"/>
        <v>11</v>
      </c>
    </row>
    <row r="442" spans="2:19" x14ac:dyDescent="0.3">
      <c r="B442" s="24">
        <v>121287</v>
      </c>
      <c r="C442" s="25">
        <v>34</v>
      </c>
      <c r="D442" s="25">
        <v>1</v>
      </c>
      <c r="E442" s="25">
        <v>6</v>
      </c>
      <c r="F442" s="25">
        <v>6</v>
      </c>
      <c r="G442" s="25">
        <v>33</v>
      </c>
      <c r="H442" s="25">
        <v>6.4</v>
      </c>
      <c r="I442" s="25">
        <v>0.53</v>
      </c>
      <c r="J442" s="25">
        <v>1.59</v>
      </c>
      <c r="K442" s="26">
        <v>0</v>
      </c>
      <c r="L442" s="25">
        <f t="shared" si="48"/>
        <v>-1.8062085749463985</v>
      </c>
      <c r="M442" s="25">
        <f t="shared" si="54"/>
        <v>0.14109697837307419</v>
      </c>
      <c r="N442" s="25">
        <f t="shared" si="49"/>
        <v>0.85890302162692578</v>
      </c>
      <c r="O442" s="25">
        <f t="shared" si="50"/>
        <v>-0.15209926019667272</v>
      </c>
      <c r="P442" s="25">
        <f t="shared" si="51"/>
        <v>0</v>
      </c>
      <c r="Q442" s="25">
        <f t="shared" si="55"/>
        <v>539.23916160064584</v>
      </c>
      <c r="R442" s="25">
        <f t="shared" si="52"/>
        <v>6</v>
      </c>
      <c r="S442" s="26">
        <f t="shared" si="53"/>
        <v>12</v>
      </c>
    </row>
    <row r="443" spans="2:19" x14ac:dyDescent="0.3">
      <c r="B443" s="24">
        <v>121349</v>
      </c>
      <c r="C443" s="25">
        <v>18</v>
      </c>
      <c r="D443" s="25">
        <v>2</v>
      </c>
      <c r="E443" s="25">
        <v>0</v>
      </c>
      <c r="F443" s="25">
        <v>0</v>
      </c>
      <c r="G443" s="25">
        <v>25</v>
      </c>
      <c r="H443" s="25">
        <v>6.2</v>
      </c>
      <c r="I443" s="25">
        <v>0.62</v>
      </c>
      <c r="J443" s="25">
        <v>0.93</v>
      </c>
      <c r="K443" s="26">
        <v>1</v>
      </c>
      <c r="L443" s="25">
        <f t="shared" si="48"/>
        <v>4.3234565299013872E-2</v>
      </c>
      <c r="M443" s="25">
        <f t="shared" si="54"/>
        <v>0.51080695798848352</v>
      </c>
      <c r="N443" s="25">
        <f t="shared" si="49"/>
        <v>0.51080695798848352</v>
      </c>
      <c r="O443" s="25">
        <f t="shared" si="50"/>
        <v>-0.67176353316930104</v>
      </c>
      <c r="P443" s="25">
        <f t="shared" si="51"/>
        <v>1</v>
      </c>
      <c r="Q443" s="25">
        <f t="shared" si="55"/>
        <v>485.87551417631875</v>
      </c>
      <c r="R443" s="25">
        <f t="shared" si="52"/>
        <v>7</v>
      </c>
      <c r="S443" s="26">
        <f t="shared" si="53"/>
        <v>15</v>
      </c>
    </row>
    <row r="444" spans="2:19" x14ac:dyDescent="0.3">
      <c r="B444" s="24">
        <v>121353</v>
      </c>
      <c r="C444" s="25">
        <v>23</v>
      </c>
      <c r="D444" s="25">
        <v>3</v>
      </c>
      <c r="E444" s="25">
        <v>2</v>
      </c>
      <c r="F444" s="25">
        <v>2</v>
      </c>
      <c r="G444" s="25">
        <v>47</v>
      </c>
      <c r="H444" s="25">
        <v>14.6</v>
      </c>
      <c r="I444" s="25">
        <v>2.94</v>
      </c>
      <c r="J444" s="25">
        <v>3.93</v>
      </c>
      <c r="K444" s="26">
        <v>1</v>
      </c>
      <c r="L444" s="25">
        <f t="shared" si="48"/>
        <v>1.3803603740438379</v>
      </c>
      <c r="M444" s="25">
        <f t="shared" si="54"/>
        <v>0.79904887166379723</v>
      </c>
      <c r="N444" s="25">
        <f t="shared" si="49"/>
        <v>0.79904887166379723</v>
      </c>
      <c r="O444" s="25">
        <f t="shared" si="50"/>
        <v>-0.224333169049135</v>
      </c>
      <c r="P444" s="25">
        <f t="shared" si="51"/>
        <v>1</v>
      </c>
      <c r="Q444" s="25">
        <f t="shared" si="55"/>
        <v>447.29421980337651</v>
      </c>
      <c r="R444" s="25">
        <f t="shared" si="52"/>
        <v>8</v>
      </c>
      <c r="S444" s="26">
        <f t="shared" si="53"/>
        <v>16</v>
      </c>
    </row>
    <row r="445" spans="2:19" x14ac:dyDescent="0.3">
      <c r="B445" s="24">
        <v>121366</v>
      </c>
      <c r="C445" s="25">
        <v>35</v>
      </c>
      <c r="D445" s="25">
        <v>1</v>
      </c>
      <c r="E445" s="25">
        <v>5</v>
      </c>
      <c r="F445" s="25">
        <v>8</v>
      </c>
      <c r="G445" s="25">
        <v>62</v>
      </c>
      <c r="H445" s="25">
        <v>8.5</v>
      </c>
      <c r="I445" s="25">
        <v>1.99</v>
      </c>
      <c r="J445" s="25">
        <v>3.28</v>
      </c>
      <c r="K445" s="26">
        <v>1</v>
      </c>
      <c r="L445" s="25">
        <f t="shared" si="48"/>
        <v>-0.71696692000518469</v>
      </c>
      <c r="M445" s="25">
        <f t="shared" si="54"/>
        <v>0.32806123716503205</v>
      </c>
      <c r="N445" s="25">
        <f t="shared" si="49"/>
        <v>0.32806123716503205</v>
      </c>
      <c r="O445" s="25">
        <f t="shared" si="50"/>
        <v>-1.1145549893501436</v>
      </c>
      <c r="P445" s="25">
        <f t="shared" si="51"/>
        <v>0</v>
      </c>
      <c r="Q445" s="25">
        <f t="shared" si="55"/>
        <v>507.81029181313761</v>
      </c>
      <c r="R445" s="25">
        <f t="shared" si="52"/>
        <v>7</v>
      </c>
      <c r="S445" s="26">
        <f t="shared" si="53"/>
        <v>14</v>
      </c>
    </row>
    <row r="446" spans="2:19" x14ac:dyDescent="0.3">
      <c r="B446" s="24">
        <v>121378</v>
      </c>
      <c r="C446" s="25">
        <v>30</v>
      </c>
      <c r="D446" s="25">
        <v>3</v>
      </c>
      <c r="E446" s="25">
        <v>5</v>
      </c>
      <c r="F446" s="25">
        <v>3</v>
      </c>
      <c r="G446" s="25">
        <v>27</v>
      </c>
      <c r="H446" s="25">
        <v>6.2</v>
      </c>
      <c r="I446" s="25">
        <v>0.86</v>
      </c>
      <c r="J446" s="25">
        <v>0.81</v>
      </c>
      <c r="K446" s="26">
        <v>0</v>
      </c>
      <c r="L446" s="25">
        <f t="shared" si="48"/>
        <v>-1.3872064430338533</v>
      </c>
      <c r="M446" s="25">
        <f t="shared" si="54"/>
        <v>0.19985410682383811</v>
      </c>
      <c r="N446" s="25">
        <f t="shared" si="49"/>
        <v>0.80014589317616192</v>
      </c>
      <c r="O446" s="25">
        <f t="shared" si="50"/>
        <v>-0.22296120147075069</v>
      </c>
      <c r="P446" s="25">
        <f t="shared" si="51"/>
        <v>0</v>
      </c>
      <c r="Q446" s="25">
        <f t="shared" si="55"/>
        <v>527.14931598665453</v>
      </c>
      <c r="R446" s="25">
        <f t="shared" si="52"/>
        <v>6</v>
      </c>
      <c r="S446" s="26">
        <f t="shared" si="53"/>
        <v>12</v>
      </c>
    </row>
    <row r="447" spans="2:19" x14ac:dyDescent="0.3">
      <c r="B447" s="24">
        <v>121380</v>
      </c>
      <c r="C447" s="25">
        <v>36</v>
      </c>
      <c r="D447" s="25">
        <v>3</v>
      </c>
      <c r="E447" s="25">
        <v>7</v>
      </c>
      <c r="F447" s="25">
        <v>10</v>
      </c>
      <c r="G447" s="25">
        <v>118</v>
      </c>
      <c r="H447" s="25">
        <v>11.2</v>
      </c>
      <c r="I447" s="25">
        <v>8.48</v>
      </c>
      <c r="J447" s="25">
        <v>4.7300000000000004</v>
      </c>
      <c r="K447" s="26">
        <v>1</v>
      </c>
      <c r="L447" s="25">
        <f t="shared" si="48"/>
        <v>2.0292704190918451</v>
      </c>
      <c r="M447" s="25">
        <f t="shared" si="54"/>
        <v>0.88383619299596639</v>
      </c>
      <c r="N447" s="25">
        <f t="shared" si="49"/>
        <v>0.88383619299596639</v>
      </c>
      <c r="O447" s="25">
        <f t="shared" si="50"/>
        <v>-0.12348353555579997</v>
      </c>
      <c r="P447" s="25">
        <f t="shared" si="51"/>
        <v>1</v>
      </c>
      <c r="Q447" s="25">
        <f t="shared" si="55"/>
        <v>428.57063425456579</v>
      </c>
      <c r="R447" s="25">
        <f t="shared" si="52"/>
        <v>8</v>
      </c>
      <c r="S447" s="26">
        <f t="shared" si="53"/>
        <v>16</v>
      </c>
    </row>
    <row r="448" spans="2:19" x14ac:dyDescent="0.3">
      <c r="B448" s="24">
        <v>121382</v>
      </c>
      <c r="C448" s="25">
        <v>18</v>
      </c>
      <c r="D448" s="25">
        <v>2</v>
      </c>
      <c r="E448" s="25">
        <v>0</v>
      </c>
      <c r="F448" s="25">
        <v>0</v>
      </c>
      <c r="G448" s="25">
        <v>28</v>
      </c>
      <c r="H448" s="25">
        <v>2.4</v>
      </c>
      <c r="I448" s="25">
        <v>0.22</v>
      </c>
      <c r="J448" s="25">
        <v>0.45</v>
      </c>
      <c r="K448" s="26">
        <v>1</v>
      </c>
      <c r="L448" s="25">
        <f t="shared" si="48"/>
        <v>-0.53623448569138155</v>
      </c>
      <c r="M448" s="25">
        <f t="shared" si="54"/>
        <v>0.36906397081449277</v>
      </c>
      <c r="N448" s="25">
        <f t="shared" si="49"/>
        <v>0.36906397081449277</v>
      </c>
      <c r="O448" s="25">
        <f t="shared" si="50"/>
        <v>-0.99678528732627414</v>
      </c>
      <c r="P448" s="25">
        <f t="shared" si="51"/>
        <v>0</v>
      </c>
      <c r="Q448" s="25">
        <f t="shared" si="55"/>
        <v>502.59545622669054</v>
      </c>
      <c r="R448" s="25">
        <f t="shared" si="52"/>
        <v>7</v>
      </c>
      <c r="S448" s="26">
        <f t="shared" si="53"/>
        <v>14</v>
      </c>
    </row>
    <row r="449" spans="2:19" x14ac:dyDescent="0.3">
      <c r="B449" s="24">
        <v>121498</v>
      </c>
      <c r="C449" s="25">
        <v>26</v>
      </c>
      <c r="D449" s="25">
        <v>2</v>
      </c>
      <c r="E449" s="25">
        <v>2</v>
      </c>
      <c r="F449" s="25">
        <v>4</v>
      </c>
      <c r="G449" s="25">
        <v>30</v>
      </c>
      <c r="H449" s="25">
        <v>40.700000000000003</v>
      </c>
      <c r="I449" s="25">
        <v>5.49</v>
      </c>
      <c r="J449" s="25">
        <v>6.72</v>
      </c>
      <c r="K449" s="26">
        <v>1</v>
      </c>
      <c r="L449" s="25">
        <f t="shared" si="48"/>
        <v>5.1784170969270784</v>
      </c>
      <c r="M449" s="25">
        <f t="shared" si="54"/>
        <v>0.99439467472419685</v>
      </c>
      <c r="N449" s="25">
        <f t="shared" si="49"/>
        <v>0.99439467472419685</v>
      </c>
      <c r="O449" s="25">
        <f t="shared" si="50"/>
        <v>-5.6210940652639488E-3</v>
      </c>
      <c r="P449" s="25">
        <f t="shared" si="51"/>
        <v>1</v>
      </c>
      <c r="Q449" s="25">
        <f t="shared" si="55"/>
        <v>337.70547092697598</v>
      </c>
      <c r="R449" s="25">
        <f t="shared" si="52"/>
        <v>8</v>
      </c>
      <c r="S449" s="26">
        <f t="shared" si="53"/>
        <v>17</v>
      </c>
    </row>
    <row r="450" spans="2:19" x14ac:dyDescent="0.3">
      <c r="B450" s="24">
        <v>121541</v>
      </c>
      <c r="C450" s="25">
        <v>18</v>
      </c>
      <c r="D450" s="25">
        <v>2</v>
      </c>
      <c r="E450" s="25">
        <v>0</v>
      </c>
      <c r="F450" s="25">
        <v>0</v>
      </c>
      <c r="G450" s="25">
        <v>33</v>
      </c>
      <c r="H450" s="25">
        <v>8.1999999999999993</v>
      </c>
      <c r="I450" s="25">
        <v>0.84</v>
      </c>
      <c r="J450" s="25">
        <v>1.87</v>
      </c>
      <c r="K450" s="26">
        <v>1</v>
      </c>
      <c r="L450" s="25">
        <f t="shared" si="48"/>
        <v>0.37210500128232865</v>
      </c>
      <c r="M450" s="25">
        <f t="shared" si="54"/>
        <v>0.59196752286156762</v>
      </c>
      <c r="N450" s="25">
        <f t="shared" si="49"/>
        <v>0.59196752286156762</v>
      </c>
      <c r="O450" s="25">
        <f t="shared" si="50"/>
        <v>-0.52430350563413375</v>
      </c>
      <c r="P450" s="25">
        <f t="shared" si="51"/>
        <v>1</v>
      </c>
      <c r="Q450" s="25">
        <f t="shared" si="55"/>
        <v>476.38631950349981</v>
      </c>
      <c r="R450" s="25">
        <f t="shared" si="52"/>
        <v>7</v>
      </c>
      <c r="S450" s="26">
        <f t="shared" si="53"/>
        <v>15</v>
      </c>
    </row>
    <row r="451" spans="2:19" x14ac:dyDescent="0.3">
      <c r="B451" s="24">
        <v>121565</v>
      </c>
      <c r="C451" s="25">
        <v>31</v>
      </c>
      <c r="D451" s="25">
        <v>2</v>
      </c>
      <c r="E451" s="25">
        <v>11</v>
      </c>
      <c r="F451" s="25">
        <v>8</v>
      </c>
      <c r="G451" s="25">
        <v>47</v>
      </c>
      <c r="H451" s="25">
        <v>26.9</v>
      </c>
      <c r="I451" s="25">
        <v>3.51</v>
      </c>
      <c r="J451" s="25">
        <v>9.1300000000000008</v>
      </c>
      <c r="K451" s="26">
        <v>0</v>
      </c>
      <c r="L451" s="25">
        <f t="shared" si="48"/>
        <v>0.6554794018643646</v>
      </c>
      <c r="M451" s="25">
        <f t="shared" si="54"/>
        <v>0.65824416888800141</v>
      </c>
      <c r="N451" s="25">
        <f t="shared" si="49"/>
        <v>0.34175583111199859</v>
      </c>
      <c r="O451" s="25">
        <f t="shared" si="50"/>
        <v>-1.0736587410159641</v>
      </c>
      <c r="P451" s="25">
        <f t="shared" si="51"/>
        <v>1</v>
      </c>
      <c r="Q451" s="25">
        <f t="shared" si="55"/>
        <v>468.20986288654581</v>
      </c>
      <c r="R451" s="25">
        <f t="shared" si="52"/>
        <v>7</v>
      </c>
      <c r="S451" s="26">
        <f t="shared" si="53"/>
        <v>15</v>
      </c>
    </row>
    <row r="452" spans="2:19" x14ac:dyDescent="0.3">
      <c r="B452" s="24">
        <v>121595</v>
      </c>
      <c r="C452" s="25">
        <v>33</v>
      </c>
      <c r="D452" s="25">
        <v>3</v>
      </c>
      <c r="E452" s="25">
        <v>3</v>
      </c>
      <c r="F452" s="25">
        <v>2</v>
      </c>
      <c r="G452" s="25">
        <v>46</v>
      </c>
      <c r="H452" s="25">
        <v>3.8</v>
      </c>
      <c r="I452" s="25">
        <v>0.41</v>
      </c>
      <c r="J452" s="25">
        <v>1.34</v>
      </c>
      <c r="K452" s="26">
        <v>0</v>
      </c>
      <c r="L452" s="25">
        <f t="shared" si="48"/>
        <v>-1.401693412452617</v>
      </c>
      <c r="M452" s="25">
        <f t="shared" si="54"/>
        <v>0.1975475299631804</v>
      </c>
      <c r="N452" s="25">
        <f t="shared" si="49"/>
        <v>0.80245247003681963</v>
      </c>
      <c r="O452" s="25">
        <f t="shared" si="50"/>
        <v>-0.22008265310042502</v>
      </c>
      <c r="P452" s="25">
        <f t="shared" si="51"/>
        <v>0</v>
      </c>
      <c r="Q452" s="25">
        <f t="shared" si="55"/>
        <v>527.56732155356656</v>
      </c>
      <c r="R452" s="25">
        <f t="shared" si="52"/>
        <v>6</v>
      </c>
      <c r="S452" s="26">
        <f t="shared" si="53"/>
        <v>12</v>
      </c>
    </row>
    <row r="453" spans="2:19" x14ac:dyDescent="0.3">
      <c r="B453" s="24">
        <v>121735</v>
      </c>
      <c r="C453" s="25">
        <v>20</v>
      </c>
      <c r="D453" s="25">
        <v>1</v>
      </c>
      <c r="E453" s="25">
        <v>2</v>
      </c>
      <c r="F453" s="25">
        <v>0</v>
      </c>
      <c r="G453" s="25">
        <v>20</v>
      </c>
      <c r="H453" s="25">
        <v>18.8</v>
      </c>
      <c r="I453" s="25">
        <v>1.19</v>
      </c>
      <c r="J453" s="25">
        <v>2.57</v>
      </c>
      <c r="K453" s="26">
        <v>1</v>
      </c>
      <c r="L453" s="25">
        <f t="shared" ref="L453:L516" si="56">$Y$4+SUMPRODUCT($Z$4:$AG$4,C453:J453)</f>
        <v>1.1663885260527191</v>
      </c>
      <c r="M453" s="25">
        <f t="shared" si="54"/>
        <v>0.76249160458098231</v>
      </c>
      <c r="N453" s="25">
        <f t="shared" ref="N453:N516" si="57">IF(K453=1,M453,(1-M453))</f>
        <v>0.76249160458098231</v>
      </c>
      <c r="O453" s="25">
        <f t="shared" ref="O453:O516" si="58">LN(N453)</f>
        <v>-0.27116378094678206</v>
      </c>
      <c r="P453" s="25">
        <f t="shared" ref="P453:P516" si="59">IF(M453&gt;0.4,1,0)</f>
        <v>1</v>
      </c>
      <c r="Q453" s="25">
        <f t="shared" si="55"/>
        <v>453.46814210812744</v>
      </c>
      <c r="R453" s="25">
        <f t="shared" ref="R453:R516" si="60">VLOOKUP(M453,$U$9:$W$16,3,TRUE)</f>
        <v>8</v>
      </c>
      <c r="S453" s="26">
        <f t="shared" ref="S453:S516" si="61">VLOOKUP(M453,$U$21:$W$37,3,TRUE)</f>
        <v>16</v>
      </c>
    </row>
    <row r="454" spans="2:19" x14ac:dyDescent="0.3">
      <c r="B454" s="24">
        <v>121758</v>
      </c>
      <c r="C454" s="25">
        <v>22</v>
      </c>
      <c r="D454" s="25">
        <v>4</v>
      </c>
      <c r="E454" s="25">
        <v>0</v>
      </c>
      <c r="F454" s="25">
        <v>1</v>
      </c>
      <c r="G454" s="25">
        <v>36</v>
      </c>
      <c r="H454" s="25">
        <v>10.7</v>
      </c>
      <c r="I454" s="25">
        <v>1.67</v>
      </c>
      <c r="J454" s="25">
        <v>2.1800000000000002</v>
      </c>
      <c r="K454" s="26">
        <v>1</v>
      </c>
      <c r="L454" s="25">
        <f t="shared" si="56"/>
        <v>0.79700167099230756</v>
      </c>
      <c r="M454" s="25">
        <f t="shared" ref="M454:M517" si="62">EXP(L454)/(1+EXP(L454))</f>
        <v>0.68933274442319969</v>
      </c>
      <c r="N454" s="25">
        <f t="shared" si="57"/>
        <v>0.68933274442319969</v>
      </c>
      <c r="O454" s="25">
        <f t="shared" si="58"/>
        <v>-0.37203118634066762</v>
      </c>
      <c r="P454" s="25">
        <f t="shared" si="59"/>
        <v>1</v>
      </c>
      <c r="Q454" s="25">
        <f t="shared" si="55"/>
        <v>464.12639348535504</v>
      </c>
      <c r="R454" s="25">
        <f t="shared" si="60"/>
        <v>8</v>
      </c>
      <c r="S454" s="26">
        <f t="shared" si="61"/>
        <v>15</v>
      </c>
    </row>
    <row r="455" spans="2:19" x14ac:dyDescent="0.3">
      <c r="B455" s="24">
        <v>121775</v>
      </c>
      <c r="C455" s="25">
        <v>22</v>
      </c>
      <c r="D455" s="25">
        <v>2</v>
      </c>
      <c r="E455" s="25">
        <v>3</v>
      </c>
      <c r="F455" s="25">
        <v>1</v>
      </c>
      <c r="G455" s="25">
        <v>45</v>
      </c>
      <c r="H455" s="25">
        <v>11.1</v>
      </c>
      <c r="I455" s="25">
        <v>1.85</v>
      </c>
      <c r="J455" s="25">
        <v>3.15</v>
      </c>
      <c r="K455" s="26">
        <v>0</v>
      </c>
      <c r="L455" s="25">
        <f t="shared" si="56"/>
        <v>0.37661204428589651</v>
      </c>
      <c r="M455" s="25">
        <f t="shared" si="62"/>
        <v>0.59305571003151214</v>
      </c>
      <c r="N455" s="25">
        <f t="shared" si="57"/>
        <v>0.40694428996848786</v>
      </c>
      <c r="O455" s="25">
        <f t="shared" si="58"/>
        <v>-0.89907898259272601</v>
      </c>
      <c r="P455" s="25">
        <f t="shared" si="59"/>
        <v>1</v>
      </c>
      <c r="Q455" s="25">
        <f t="shared" si="55"/>
        <v>476.25627373537918</v>
      </c>
      <c r="R455" s="25">
        <f t="shared" si="60"/>
        <v>7</v>
      </c>
      <c r="S455" s="26">
        <f t="shared" si="61"/>
        <v>15</v>
      </c>
    </row>
    <row r="456" spans="2:19" x14ac:dyDescent="0.3">
      <c r="B456" s="24">
        <v>121777</v>
      </c>
      <c r="C456" s="25">
        <v>22</v>
      </c>
      <c r="D456" s="25">
        <v>1</v>
      </c>
      <c r="E456" s="25">
        <v>4</v>
      </c>
      <c r="F456" s="25">
        <v>1</v>
      </c>
      <c r="G456" s="25">
        <v>24</v>
      </c>
      <c r="H456" s="25">
        <v>4.4000000000000004</v>
      </c>
      <c r="I456" s="25">
        <v>0.53</v>
      </c>
      <c r="J456" s="25">
        <v>0.52</v>
      </c>
      <c r="K456" s="26">
        <v>0</v>
      </c>
      <c r="L456" s="25">
        <f t="shared" si="56"/>
        <v>-1.159780388771517</v>
      </c>
      <c r="M456" s="25">
        <f t="shared" si="62"/>
        <v>0.23870719195210657</v>
      </c>
      <c r="N456" s="25">
        <f t="shared" si="57"/>
        <v>0.76129280804789345</v>
      </c>
      <c r="O456" s="25">
        <f t="shared" si="58"/>
        <v>-0.27273722765023772</v>
      </c>
      <c r="P456" s="25">
        <f t="shared" si="59"/>
        <v>0</v>
      </c>
      <c r="Q456" s="25">
        <f t="shared" si="55"/>
        <v>520.5871873595745</v>
      </c>
      <c r="R456" s="25">
        <f t="shared" si="60"/>
        <v>6</v>
      </c>
      <c r="S456" s="26">
        <f t="shared" si="61"/>
        <v>13</v>
      </c>
    </row>
    <row r="457" spans="2:19" x14ac:dyDescent="0.3">
      <c r="B457" s="24">
        <v>121795</v>
      </c>
      <c r="C457" s="25">
        <v>26</v>
      </c>
      <c r="D457" s="25">
        <v>4</v>
      </c>
      <c r="E457" s="25">
        <v>0</v>
      </c>
      <c r="F457" s="25">
        <v>2</v>
      </c>
      <c r="G457" s="25">
        <v>103</v>
      </c>
      <c r="H457" s="25">
        <v>14.3</v>
      </c>
      <c r="I457" s="25">
        <v>8.5399999999999991</v>
      </c>
      <c r="J457" s="25">
        <v>6.19</v>
      </c>
      <c r="K457" s="26">
        <v>1</v>
      </c>
      <c r="L457" s="25">
        <f t="shared" si="56"/>
        <v>4.4068229380835922</v>
      </c>
      <c r="M457" s="25">
        <f t="shared" si="62"/>
        <v>0.98795304140179985</v>
      </c>
      <c r="N457" s="25">
        <f t="shared" si="57"/>
        <v>0.98795304140179985</v>
      </c>
      <c r="O457" s="25">
        <f t="shared" si="58"/>
        <v>-1.2120111309352073E-2</v>
      </c>
      <c r="P457" s="25">
        <f t="shared" si="59"/>
        <v>1</v>
      </c>
      <c r="Q457" s="25">
        <f t="shared" ref="Q457:Q520" si="63">28.8539*LN((1-M457)/(M457))+487.123</f>
        <v>359.96897162682978</v>
      </c>
      <c r="R457" s="25">
        <f t="shared" si="60"/>
        <v>8</v>
      </c>
      <c r="S457" s="26">
        <f t="shared" si="61"/>
        <v>17</v>
      </c>
    </row>
    <row r="458" spans="2:19" x14ac:dyDescent="0.3">
      <c r="B458" s="24">
        <v>121826</v>
      </c>
      <c r="C458" s="25">
        <v>34</v>
      </c>
      <c r="D458" s="25">
        <v>1</v>
      </c>
      <c r="E458" s="25">
        <v>10</v>
      </c>
      <c r="F458" s="25">
        <v>7</v>
      </c>
      <c r="G458" s="25">
        <v>96</v>
      </c>
      <c r="H458" s="25">
        <v>5.4</v>
      </c>
      <c r="I458" s="25">
        <v>1.65</v>
      </c>
      <c r="J458" s="25">
        <v>3.53</v>
      </c>
      <c r="K458" s="26">
        <v>0</v>
      </c>
      <c r="L458" s="25">
        <f t="shared" si="56"/>
        <v>-2.2501112087521729</v>
      </c>
      <c r="M458" s="25">
        <f t="shared" si="62"/>
        <v>9.5339872692408775E-2</v>
      </c>
      <c r="N458" s="25">
        <f t="shared" si="57"/>
        <v>0.90466012730759127</v>
      </c>
      <c r="O458" s="25">
        <f t="shared" si="58"/>
        <v>-0.10019595575511207</v>
      </c>
      <c r="P458" s="25">
        <f t="shared" si="59"/>
        <v>0</v>
      </c>
      <c r="Q458" s="25">
        <f t="shared" si="63"/>
        <v>552.04748380621436</v>
      </c>
      <c r="R458" s="25">
        <f t="shared" si="60"/>
        <v>6</v>
      </c>
      <c r="S458" s="26">
        <f t="shared" si="61"/>
        <v>11</v>
      </c>
    </row>
    <row r="459" spans="2:19" x14ac:dyDescent="0.3">
      <c r="B459" s="24">
        <v>121865</v>
      </c>
      <c r="C459" s="25">
        <v>30</v>
      </c>
      <c r="D459" s="25">
        <v>1</v>
      </c>
      <c r="E459" s="25">
        <v>13</v>
      </c>
      <c r="F459" s="25">
        <v>2</v>
      </c>
      <c r="G459" s="25">
        <v>42</v>
      </c>
      <c r="H459" s="25">
        <v>15.3</v>
      </c>
      <c r="I459" s="25">
        <v>0.94</v>
      </c>
      <c r="J459" s="25">
        <v>5.48</v>
      </c>
      <c r="K459" s="26">
        <v>0</v>
      </c>
      <c r="L459" s="25">
        <f t="shared" si="56"/>
        <v>-1.9925207057860512</v>
      </c>
      <c r="M459" s="25">
        <f t="shared" si="62"/>
        <v>0.1199904391892309</v>
      </c>
      <c r="N459" s="25">
        <f t="shared" si="57"/>
        <v>0.88000956081076909</v>
      </c>
      <c r="O459" s="25">
        <f t="shared" si="58"/>
        <v>-0.12782250701121164</v>
      </c>
      <c r="P459" s="25">
        <f t="shared" si="59"/>
        <v>0</v>
      </c>
      <c r="Q459" s="25">
        <f t="shared" si="63"/>
        <v>544.61499319268012</v>
      </c>
      <c r="R459" s="25">
        <f t="shared" si="60"/>
        <v>6</v>
      </c>
      <c r="S459" s="26">
        <f t="shared" si="61"/>
        <v>11</v>
      </c>
    </row>
    <row r="460" spans="2:19" x14ac:dyDescent="0.3">
      <c r="B460" s="24">
        <v>121921</v>
      </c>
      <c r="C460" s="25">
        <v>40</v>
      </c>
      <c r="D460" s="25">
        <v>3</v>
      </c>
      <c r="E460" s="25">
        <v>15</v>
      </c>
      <c r="F460" s="25">
        <v>5</v>
      </c>
      <c r="G460" s="25">
        <v>53</v>
      </c>
      <c r="H460" s="25">
        <v>23.5</v>
      </c>
      <c r="I460" s="25">
        <v>1.91</v>
      </c>
      <c r="J460" s="25">
        <v>10.55</v>
      </c>
      <c r="K460" s="26">
        <v>1</v>
      </c>
      <c r="L460" s="25">
        <f t="shared" si="56"/>
        <v>-1.4592315568398113</v>
      </c>
      <c r="M460" s="25">
        <f t="shared" si="62"/>
        <v>0.1885848847288791</v>
      </c>
      <c r="N460" s="25">
        <f t="shared" si="57"/>
        <v>0.1885848847288791</v>
      </c>
      <c r="O460" s="25">
        <f t="shared" si="58"/>
        <v>-1.6682070565922016</v>
      </c>
      <c r="P460" s="25">
        <f t="shared" si="59"/>
        <v>0</v>
      </c>
      <c r="Q460" s="25">
        <f t="shared" si="63"/>
        <v>529.22752141790022</v>
      </c>
      <c r="R460" s="25">
        <f t="shared" si="60"/>
        <v>6</v>
      </c>
      <c r="S460" s="26">
        <f t="shared" si="61"/>
        <v>12</v>
      </c>
    </row>
    <row r="461" spans="2:19" x14ac:dyDescent="0.3">
      <c r="B461" s="24">
        <v>121925</v>
      </c>
      <c r="C461" s="25">
        <v>21</v>
      </c>
      <c r="D461" s="25">
        <v>2</v>
      </c>
      <c r="E461" s="25">
        <v>1</v>
      </c>
      <c r="F461" s="25">
        <v>0</v>
      </c>
      <c r="G461" s="25">
        <v>43</v>
      </c>
      <c r="H461" s="25">
        <v>14.1</v>
      </c>
      <c r="I461" s="25">
        <v>3.38</v>
      </c>
      <c r="J461" s="25">
        <v>2.69</v>
      </c>
      <c r="K461" s="26">
        <v>1</v>
      </c>
      <c r="L461" s="25">
        <f t="shared" si="56"/>
        <v>1.8949458330819866</v>
      </c>
      <c r="M461" s="25">
        <f t="shared" si="62"/>
        <v>0.86931842352415822</v>
      </c>
      <c r="N461" s="25">
        <f t="shared" si="57"/>
        <v>0.86931842352415822</v>
      </c>
      <c r="O461" s="25">
        <f t="shared" si="58"/>
        <v>-0.14004579560489322</v>
      </c>
      <c r="P461" s="25">
        <f t="shared" si="59"/>
        <v>1</v>
      </c>
      <c r="Q461" s="25">
        <f t="shared" si="63"/>
        <v>432.44642242683568</v>
      </c>
      <c r="R461" s="25">
        <f t="shared" si="60"/>
        <v>8</v>
      </c>
      <c r="S461" s="26">
        <f t="shared" si="61"/>
        <v>16</v>
      </c>
    </row>
    <row r="462" spans="2:19" x14ac:dyDescent="0.3">
      <c r="B462" s="24">
        <v>121968</v>
      </c>
      <c r="C462" s="25">
        <v>20</v>
      </c>
      <c r="D462" s="25">
        <v>2</v>
      </c>
      <c r="E462" s="25">
        <v>0</v>
      </c>
      <c r="F462" s="25">
        <v>0</v>
      </c>
      <c r="G462" s="25">
        <v>28</v>
      </c>
      <c r="H462" s="25">
        <v>18</v>
      </c>
      <c r="I462" s="25">
        <v>3.07</v>
      </c>
      <c r="J462" s="25">
        <v>1.97</v>
      </c>
      <c r="K462" s="26">
        <v>1</v>
      </c>
      <c r="L462" s="25">
        <f t="shared" si="56"/>
        <v>2.3630480213437597</v>
      </c>
      <c r="M462" s="25">
        <f t="shared" si="62"/>
        <v>0.91396578114030314</v>
      </c>
      <c r="N462" s="25">
        <f t="shared" si="57"/>
        <v>0.91396578114030314</v>
      </c>
      <c r="O462" s="25">
        <f t="shared" si="58"/>
        <v>-8.9962146806176937E-2</v>
      </c>
      <c r="P462" s="25">
        <f t="shared" si="59"/>
        <v>1</v>
      </c>
      <c r="Q462" s="25">
        <f t="shared" si="63"/>
        <v>418.93984869694924</v>
      </c>
      <c r="R462" s="25">
        <f t="shared" si="60"/>
        <v>8</v>
      </c>
      <c r="S462" s="26">
        <f t="shared" si="61"/>
        <v>16</v>
      </c>
    </row>
    <row r="463" spans="2:19" x14ac:dyDescent="0.3">
      <c r="B463" s="24">
        <v>121979</v>
      </c>
      <c r="C463" s="25">
        <v>18</v>
      </c>
      <c r="D463" s="25">
        <v>2</v>
      </c>
      <c r="E463" s="25">
        <v>0</v>
      </c>
      <c r="F463" s="25">
        <v>0</v>
      </c>
      <c r="G463" s="25">
        <v>20</v>
      </c>
      <c r="H463" s="25">
        <v>14.5</v>
      </c>
      <c r="I463" s="25">
        <v>0.33</v>
      </c>
      <c r="J463" s="25">
        <v>2.57</v>
      </c>
      <c r="K463" s="26">
        <v>0</v>
      </c>
      <c r="L463" s="25">
        <f t="shared" si="56"/>
        <v>0.77286226116014634</v>
      </c>
      <c r="M463" s="25">
        <f t="shared" si="62"/>
        <v>0.6841397328147264</v>
      </c>
      <c r="N463" s="25">
        <f t="shared" si="57"/>
        <v>0.3158602671852736</v>
      </c>
      <c r="O463" s="25">
        <f t="shared" si="58"/>
        <v>-1.1524553556428037</v>
      </c>
      <c r="P463" s="25">
        <f t="shared" si="59"/>
        <v>1</v>
      </c>
      <c r="Q463" s="25">
        <f t="shared" si="63"/>
        <v>464.82290960271126</v>
      </c>
      <c r="R463" s="25">
        <f t="shared" si="60"/>
        <v>8</v>
      </c>
      <c r="S463" s="26">
        <f t="shared" si="61"/>
        <v>15</v>
      </c>
    </row>
    <row r="464" spans="2:19" x14ac:dyDescent="0.3">
      <c r="B464" s="24">
        <v>122000</v>
      </c>
      <c r="C464" s="25">
        <v>53</v>
      </c>
      <c r="D464" s="25">
        <v>2</v>
      </c>
      <c r="E464" s="25">
        <v>24</v>
      </c>
      <c r="F464" s="25">
        <v>8</v>
      </c>
      <c r="G464" s="25">
        <v>129</v>
      </c>
      <c r="H464" s="25">
        <v>2.7</v>
      </c>
      <c r="I464" s="25">
        <v>1.01</v>
      </c>
      <c r="J464" s="25">
        <v>2.48</v>
      </c>
      <c r="K464" s="26">
        <v>0</v>
      </c>
      <c r="L464" s="25">
        <f t="shared" si="56"/>
        <v>-6.5051816222574788</v>
      </c>
      <c r="M464" s="25">
        <f t="shared" si="62"/>
        <v>1.4934354020892304E-3</v>
      </c>
      <c r="N464" s="25">
        <f t="shared" si="57"/>
        <v>0.99850656459791076</v>
      </c>
      <c r="O464" s="25">
        <f t="shared" si="58"/>
        <v>-1.4945516882786485E-3</v>
      </c>
      <c r="P464" s="25">
        <f t="shared" si="59"/>
        <v>0</v>
      </c>
      <c r="Q464" s="25">
        <f t="shared" si="63"/>
        <v>674.82286001045509</v>
      </c>
      <c r="R464" s="25">
        <f t="shared" si="60"/>
        <v>1</v>
      </c>
      <c r="S464" s="26">
        <f t="shared" si="61"/>
        <v>1</v>
      </c>
    </row>
    <row r="465" spans="2:19" x14ac:dyDescent="0.3">
      <c r="B465" s="24">
        <v>122036</v>
      </c>
      <c r="C465" s="25">
        <v>70</v>
      </c>
      <c r="D465" s="25">
        <v>2</v>
      </c>
      <c r="E465" s="25">
        <v>27</v>
      </c>
      <c r="F465" s="25">
        <v>21</v>
      </c>
      <c r="G465" s="25">
        <v>92</v>
      </c>
      <c r="H465" s="25">
        <v>9.3000000000000007</v>
      </c>
      <c r="I465" s="25">
        <v>3.01</v>
      </c>
      <c r="J465" s="25">
        <v>5.54</v>
      </c>
      <c r="K465" s="26">
        <v>0</v>
      </c>
      <c r="L465" s="25">
        <f t="shared" si="56"/>
        <v>-6.3008668058900223</v>
      </c>
      <c r="M465" s="25">
        <f t="shared" si="62"/>
        <v>1.8313537370123556E-3</v>
      </c>
      <c r="N465" s="25">
        <f t="shared" si="57"/>
        <v>0.99816864626298762</v>
      </c>
      <c r="O465" s="25">
        <f t="shared" si="58"/>
        <v>-1.8330327154495092E-3</v>
      </c>
      <c r="P465" s="25">
        <f t="shared" si="59"/>
        <v>0</v>
      </c>
      <c r="Q465" s="25">
        <f t="shared" si="63"/>
        <v>668.92758073047014</v>
      </c>
      <c r="R465" s="25">
        <f t="shared" si="60"/>
        <v>2</v>
      </c>
      <c r="S465" s="26">
        <f t="shared" si="61"/>
        <v>1</v>
      </c>
    </row>
    <row r="466" spans="2:19" x14ac:dyDescent="0.3">
      <c r="B466" s="24">
        <v>122060</v>
      </c>
      <c r="C466" s="25">
        <v>26</v>
      </c>
      <c r="D466" s="25">
        <v>5</v>
      </c>
      <c r="E466" s="25">
        <v>0</v>
      </c>
      <c r="F466" s="25">
        <v>3</v>
      </c>
      <c r="G466" s="25">
        <v>49</v>
      </c>
      <c r="H466" s="25">
        <v>4.4000000000000004</v>
      </c>
      <c r="I466" s="25">
        <v>0.95</v>
      </c>
      <c r="J466" s="25">
        <v>1.21</v>
      </c>
      <c r="K466" s="26">
        <v>0</v>
      </c>
      <c r="L466" s="25">
        <f t="shared" si="56"/>
        <v>-0.3982062199169254</v>
      </c>
      <c r="M466" s="25">
        <f t="shared" si="62"/>
        <v>0.4017433910188008</v>
      </c>
      <c r="N466" s="25">
        <f t="shared" si="57"/>
        <v>0.59825660898119914</v>
      </c>
      <c r="O466" s="25">
        <f t="shared" si="58"/>
        <v>-0.51373550506503907</v>
      </c>
      <c r="P466" s="25">
        <f t="shared" si="59"/>
        <v>1</v>
      </c>
      <c r="Q466" s="25">
        <f t="shared" si="63"/>
        <v>498.61280244886098</v>
      </c>
      <c r="R466" s="25">
        <f t="shared" si="60"/>
        <v>7</v>
      </c>
      <c r="S466" s="26">
        <f t="shared" si="61"/>
        <v>14</v>
      </c>
    </row>
    <row r="467" spans="2:19" x14ac:dyDescent="0.3">
      <c r="B467" s="24">
        <v>122066</v>
      </c>
      <c r="C467" s="25">
        <v>43</v>
      </c>
      <c r="D467" s="25">
        <v>2</v>
      </c>
      <c r="E467" s="25">
        <v>16</v>
      </c>
      <c r="F467" s="25">
        <v>7</v>
      </c>
      <c r="G467" s="25">
        <v>119</v>
      </c>
      <c r="H467" s="25">
        <v>18.100000000000001</v>
      </c>
      <c r="I467" s="25">
        <v>8.16</v>
      </c>
      <c r="J467" s="25">
        <v>13.38</v>
      </c>
      <c r="K467" s="26">
        <v>1</v>
      </c>
      <c r="L467" s="25">
        <f t="shared" si="56"/>
        <v>0.7465707313228156</v>
      </c>
      <c r="M467" s="25">
        <f t="shared" si="62"/>
        <v>0.67843102001820921</v>
      </c>
      <c r="N467" s="25">
        <f t="shared" si="57"/>
        <v>0.67843102001820921</v>
      </c>
      <c r="O467" s="25">
        <f t="shared" si="58"/>
        <v>-0.38797247028712123</v>
      </c>
      <c r="P467" s="25">
        <f t="shared" si="59"/>
        <v>1</v>
      </c>
      <c r="Q467" s="25">
        <f t="shared" si="63"/>
        <v>465.58152277548459</v>
      </c>
      <c r="R467" s="25">
        <f t="shared" si="60"/>
        <v>8</v>
      </c>
      <c r="S467" s="26">
        <f t="shared" si="61"/>
        <v>15</v>
      </c>
    </row>
    <row r="468" spans="2:19" x14ac:dyDescent="0.3">
      <c r="B468" s="24">
        <v>122084</v>
      </c>
      <c r="C468" s="25">
        <v>38</v>
      </c>
      <c r="D468" s="25">
        <v>3</v>
      </c>
      <c r="E468" s="25">
        <v>3</v>
      </c>
      <c r="F468" s="25">
        <v>3</v>
      </c>
      <c r="G468" s="25">
        <v>34</v>
      </c>
      <c r="H468" s="25">
        <v>3.9</v>
      </c>
      <c r="I468" s="25">
        <v>0.86</v>
      </c>
      <c r="J468" s="25">
        <v>0.46</v>
      </c>
      <c r="K468" s="26">
        <v>0</v>
      </c>
      <c r="L468" s="25">
        <f t="shared" si="56"/>
        <v>-1.3439039116482221</v>
      </c>
      <c r="M468" s="25">
        <f t="shared" si="62"/>
        <v>0.206868794761943</v>
      </c>
      <c r="N468" s="25">
        <f t="shared" si="57"/>
        <v>0.79313120523805702</v>
      </c>
      <c r="O468" s="25">
        <f t="shared" si="58"/>
        <v>-0.23176661676088234</v>
      </c>
      <c r="P468" s="25">
        <f t="shared" si="59"/>
        <v>0</v>
      </c>
      <c r="Q468" s="25">
        <f t="shared" si="63"/>
        <v>525.89986907630657</v>
      </c>
      <c r="R468" s="25">
        <f t="shared" si="60"/>
        <v>6</v>
      </c>
      <c r="S468" s="26">
        <f t="shared" si="61"/>
        <v>13</v>
      </c>
    </row>
    <row r="469" spans="2:19" x14ac:dyDescent="0.3">
      <c r="B469" s="24">
        <v>122157</v>
      </c>
      <c r="C469" s="25">
        <v>31</v>
      </c>
      <c r="D469" s="25">
        <v>2</v>
      </c>
      <c r="E469" s="25">
        <v>3</v>
      </c>
      <c r="F469" s="25">
        <v>6</v>
      </c>
      <c r="G469" s="25">
        <v>45</v>
      </c>
      <c r="H469" s="25">
        <v>0.7</v>
      </c>
      <c r="I469" s="25">
        <v>0.13</v>
      </c>
      <c r="J469" s="25">
        <v>0.19</v>
      </c>
      <c r="K469" s="26">
        <v>0</v>
      </c>
      <c r="L469" s="25">
        <f t="shared" si="56"/>
        <v>-1.9060014163538044</v>
      </c>
      <c r="M469" s="25">
        <f t="shared" si="62"/>
        <v>0.12943073902471353</v>
      </c>
      <c r="N469" s="25">
        <f t="shared" si="57"/>
        <v>0.87056926097528642</v>
      </c>
      <c r="O469" s="25">
        <f t="shared" si="58"/>
        <v>-0.13860795834934189</v>
      </c>
      <c r="P469" s="25">
        <f t="shared" si="59"/>
        <v>0</v>
      </c>
      <c r="Q469" s="25">
        <f t="shared" si="63"/>
        <v>542.11857426733104</v>
      </c>
      <c r="R469" s="25">
        <f t="shared" si="60"/>
        <v>6</v>
      </c>
      <c r="S469" s="26">
        <f t="shared" si="61"/>
        <v>11</v>
      </c>
    </row>
    <row r="470" spans="2:19" x14ac:dyDescent="0.3">
      <c r="B470" s="24">
        <v>122192</v>
      </c>
      <c r="C470" s="25">
        <v>24</v>
      </c>
      <c r="D470" s="25">
        <v>4</v>
      </c>
      <c r="E470" s="25">
        <v>0</v>
      </c>
      <c r="F470" s="25">
        <v>1</v>
      </c>
      <c r="G470" s="25">
        <v>35</v>
      </c>
      <c r="H470" s="25">
        <v>1.2</v>
      </c>
      <c r="I470" s="25">
        <v>0.04</v>
      </c>
      <c r="J470" s="25">
        <v>0.38</v>
      </c>
      <c r="K470" s="26">
        <v>1</v>
      </c>
      <c r="L470" s="25">
        <f t="shared" si="56"/>
        <v>-1.0102831598458204</v>
      </c>
      <c r="M470" s="25">
        <f t="shared" si="62"/>
        <v>0.26692443957992223</v>
      </c>
      <c r="N470" s="25">
        <f t="shared" si="57"/>
        <v>0.26692443957992223</v>
      </c>
      <c r="O470" s="25">
        <f t="shared" si="58"/>
        <v>-1.3207896584613359</v>
      </c>
      <c r="P470" s="25">
        <f t="shared" si="59"/>
        <v>0</v>
      </c>
      <c r="Q470" s="25">
        <f t="shared" si="63"/>
        <v>516.27360926587528</v>
      </c>
      <c r="R470" s="25">
        <f t="shared" si="60"/>
        <v>7</v>
      </c>
      <c r="S470" s="26">
        <f t="shared" si="61"/>
        <v>13</v>
      </c>
    </row>
    <row r="471" spans="2:19" x14ac:dyDescent="0.3">
      <c r="B471" s="24">
        <v>122205</v>
      </c>
      <c r="C471" s="25">
        <v>44</v>
      </c>
      <c r="D471" s="25">
        <v>4</v>
      </c>
      <c r="E471" s="25">
        <v>21</v>
      </c>
      <c r="F471" s="25">
        <v>14</v>
      </c>
      <c r="G471" s="25">
        <v>314</v>
      </c>
      <c r="H471" s="25">
        <v>4.7</v>
      </c>
      <c r="I471" s="25">
        <v>3.5</v>
      </c>
      <c r="J471" s="25">
        <v>11.26</v>
      </c>
      <c r="K471" s="26">
        <v>0</v>
      </c>
      <c r="L471" s="25">
        <f t="shared" si="56"/>
        <v>-4.293910438649946</v>
      </c>
      <c r="M471" s="25">
        <f t="shared" si="62"/>
        <v>1.3467585768216744E-2</v>
      </c>
      <c r="N471" s="25">
        <f t="shared" si="57"/>
        <v>0.98653241423178328</v>
      </c>
      <c r="O471" s="25">
        <f t="shared" si="58"/>
        <v>-1.3559096247024463E-2</v>
      </c>
      <c r="P471" s="25">
        <f t="shared" si="59"/>
        <v>0</v>
      </c>
      <c r="Q471" s="25">
        <f t="shared" si="63"/>
        <v>611.0190624057617</v>
      </c>
      <c r="R471" s="25">
        <f t="shared" si="60"/>
        <v>4</v>
      </c>
      <c r="S471" s="26">
        <f t="shared" si="61"/>
        <v>6</v>
      </c>
    </row>
    <row r="472" spans="2:19" x14ac:dyDescent="0.3">
      <c r="B472" s="24">
        <v>122365</v>
      </c>
      <c r="C472" s="25">
        <v>62</v>
      </c>
      <c r="D472" s="25">
        <v>5</v>
      </c>
      <c r="E472" s="25">
        <v>31</v>
      </c>
      <c r="F472" s="25">
        <v>14</v>
      </c>
      <c r="G472" s="25">
        <v>699</v>
      </c>
      <c r="H472" s="25">
        <v>5.9</v>
      </c>
      <c r="I472" s="25">
        <v>6.6</v>
      </c>
      <c r="J472" s="25">
        <v>34.64</v>
      </c>
      <c r="K472" s="26">
        <v>0</v>
      </c>
      <c r="L472" s="25">
        <f t="shared" si="56"/>
        <v>-4.7375391462052914</v>
      </c>
      <c r="M472" s="25">
        <f t="shared" si="62"/>
        <v>8.6841029172134883E-3</v>
      </c>
      <c r="N472" s="25">
        <f t="shared" si="57"/>
        <v>0.99131589708278656</v>
      </c>
      <c r="O472" s="25">
        <f t="shared" si="58"/>
        <v>-8.7220294706530262E-3</v>
      </c>
      <c r="P472" s="25">
        <f t="shared" si="59"/>
        <v>0</v>
      </c>
      <c r="Q472" s="25">
        <f t="shared" si="63"/>
        <v>623.81948077069285</v>
      </c>
      <c r="R472" s="25">
        <f t="shared" si="60"/>
        <v>3</v>
      </c>
      <c r="S472" s="26">
        <f t="shared" si="61"/>
        <v>5</v>
      </c>
    </row>
    <row r="473" spans="2:19" x14ac:dyDescent="0.3">
      <c r="B473" s="24">
        <v>122372</v>
      </c>
      <c r="C473" s="25">
        <v>52</v>
      </c>
      <c r="D473" s="25">
        <v>3</v>
      </c>
      <c r="E473" s="25">
        <v>24</v>
      </c>
      <c r="F473" s="25">
        <v>10</v>
      </c>
      <c r="G473" s="25">
        <v>403</v>
      </c>
      <c r="H473" s="25">
        <v>5.0999999999999996</v>
      </c>
      <c r="I473" s="25">
        <v>8.32</v>
      </c>
      <c r="J473" s="25">
        <v>12.23</v>
      </c>
      <c r="K473" s="26">
        <v>0</v>
      </c>
      <c r="L473" s="25">
        <f t="shared" si="56"/>
        <v>-2.5944261264707702</v>
      </c>
      <c r="M473" s="25">
        <f t="shared" si="62"/>
        <v>6.9498008006743883E-2</v>
      </c>
      <c r="N473" s="25">
        <f t="shared" si="57"/>
        <v>0.93050199199325612</v>
      </c>
      <c r="O473" s="25">
        <f t="shared" si="58"/>
        <v>-7.203106212484621E-2</v>
      </c>
      <c r="P473" s="25">
        <f t="shared" si="59"/>
        <v>0</v>
      </c>
      <c r="Q473" s="25">
        <f t="shared" si="63"/>
        <v>561.9823120105749</v>
      </c>
      <c r="R473" s="25">
        <f t="shared" si="60"/>
        <v>5</v>
      </c>
      <c r="S473" s="26">
        <f t="shared" si="61"/>
        <v>10</v>
      </c>
    </row>
    <row r="474" spans="2:19" x14ac:dyDescent="0.3">
      <c r="B474" s="24">
        <v>122460</v>
      </c>
      <c r="C474" s="25">
        <v>33</v>
      </c>
      <c r="D474" s="25">
        <v>4</v>
      </c>
      <c r="E474" s="25">
        <v>3</v>
      </c>
      <c r="F474" s="25">
        <v>2</v>
      </c>
      <c r="G474" s="25">
        <v>40</v>
      </c>
      <c r="H474" s="25">
        <v>1.2</v>
      </c>
      <c r="I474" s="25">
        <v>0.26</v>
      </c>
      <c r="J474" s="25">
        <v>0.22</v>
      </c>
      <c r="K474" s="26">
        <v>0</v>
      </c>
      <c r="L474" s="25">
        <f t="shared" si="56"/>
        <v>-1.8146816649826538</v>
      </c>
      <c r="M474" s="25">
        <f t="shared" si="62"/>
        <v>0.14007325555920683</v>
      </c>
      <c r="N474" s="25">
        <f t="shared" si="57"/>
        <v>0.8599267444407932</v>
      </c>
      <c r="O474" s="25">
        <f t="shared" si="58"/>
        <v>-0.15090807424547967</v>
      </c>
      <c r="P474" s="25">
        <f t="shared" si="59"/>
        <v>0</v>
      </c>
      <c r="Q474" s="25">
        <f t="shared" si="63"/>
        <v>539.48364329324295</v>
      </c>
      <c r="R474" s="25">
        <f t="shared" si="60"/>
        <v>6</v>
      </c>
      <c r="S474" s="26">
        <f t="shared" si="61"/>
        <v>12</v>
      </c>
    </row>
    <row r="475" spans="2:19" x14ac:dyDescent="0.3">
      <c r="B475" s="24">
        <v>122484</v>
      </c>
      <c r="C475" s="25">
        <v>26</v>
      </c>
      <c r="D475" s="25">
        <v>4</v>
      </c>
      <c r="E475" s="25">
        <v>1</v>
      </c>
      <c r="F475" s="25">
        <v>3</v>
      </c>
      <c r="G475" s="25">
        <v>39</v>
      </c>
      <c r="H475" s="25">
        <v>2</v>
      </c>
      <c r="I475" s="25">
        <v>0.33</v>
      </c>
      <c r="J475" s="25">
        <v>0.45</v>
      </c>
      <c r="K475" s="26">
        <v>0</v>
      </c>
      <c r="L475" s="25">
        <f t="shared" si="56"/>
        <v>-1.1251565250105662</v>
      </c>
      <c r="M475" s="25">
        <f t="shared" si="62"/>
        <v>0.24505605428879948</v>
      </c>
      <c r="N475" s="25">
        <f t="shared" si="57"/>
        <v>0.75494394571120049</v>
      </c>
      <c r="O475" s="25">
        <f t="shared" si="58"/>
        <v>-0.28111177658046649</v>
      </c>
      <c r="P475" s="25">
        <f t="shared" si="59"/>
        <v>0</v>
      </c>
      <c r="Q475" s="25">
        <f t="shared" si="63"/>
        <v>519.58815385700234</v>
      </c>
      <c r="R475" s="25">
        <f t="shared" si="60"/>
        <v>6</v>
      </c>
      <c r="S475" s="26">
        <f t="shared" si="61"/>
        <v>13</v>
      </c>
    </row>
    <row r="476" spans="2:19" x14ac:dyDescent="0.3">
      <c r="B476" s="24">
        <v>122575</v>
      </c>
      <c r="C476" s="25">
        <v>34</v>
      </c>
      <c r="D476" s="25">
        <v>2</v>
      </c>
      <c r="E476" s="25">
        <v>4</v>
      </c>
      <c r="F476" s="25">
        <v>8</v>
      </c>
      <c r="G476" s="25">
        <v>46</v>
      </c>
      <c r="H476" s="25">
        <v>5.5</v>
      </c>
      <c r="I476" s="25">
        <v>0.7</v>
      </c>
      <c r="J476" s="25">
        <v>1.83</v>
      </c>
      <c r="K476" s="26">
        <v>0</v>
      </c>
      <c r="L476" s="25">
        <f t="shared" si="56"/>
        <v>-1.4725209023086616</v>
      </c>
      <c r="M476" s="25">
        <f t="shared" si="62"/>
        <v>0.18655975159028787</v>
      </c>
      <c r="N476" s="25">
        <f t="shared" si="57"/>
        <v>0.81344024840971207</v>
      </c>
      <c r="O476" s="25">
        <f t="shared" si="58"/>
        <v>-0.20648280503942207</v>
      </c>
      <c r="P476" s="25">
        <f t="shared" si="59"/>
        <v>0</v>
      </c>
      <c r="Q476" s="25">
        <f t="shared" si="63"/>
        <v>529.61097086312384</v>
      </c>
      <c r="R476" s="25">
        <f t="shared" si="60"/>
        <v>6</v>
      </c>
      <c r="S476" s="26">
        <f t="shared" si="61"/>
        <v>12</v>
      </c>
    </row>
    <row r="477" spans="2:19" x14ac:dyDescent="0.3">
      <c r="B477" s="24">
        <v>122602</v>
      </c>
      <c r="C477" s="25">
        <v>54</v>
      </c>
      <c r="D477" s="25">
        <v>4</v>
      </c>
      <c r="E477" s="25">
        <v>0</v>
      </c>
      <c r="F477" s="25">
        <v>14</v>
      </c>
      <c r="G477" s="25">
        <v>66</v>
      </c>
      <c r="H477" s="25">
        <v>9.6</v>
      </c>
      <c r="I477" s="25">
        <v>1.98</v>
      </c>
      <c r="J477" s="25">
        <v>4.3499999999999996</v>
      </c>
      <c r="K477" s="26">
        <v>0</v>
      </c>
      <c r="L477" s="25">
        <f t="shared" si="56"/>
        <v>-0.21923183037452257</v>
      </c>
      <c r="M477" s="25">
        <f t="shared" si="62"/>
        <v>0.44541051017803912</v>
      </c>
      <c r="N477" s="25">
        <f t="shared" si="57"/>
        <v>0.55458948982196088</v>
      </c>
      <c r="O477" s="25">
        <f t="shared" si="58"/>
        <v>-0.5895270968960763</v>
      </c>
      <c r="P477" s="25">
        <f t="shared" si="59"/>
        <v>1</v>
      </c>
      <c r="Q477" s="25">
        <f t="shared" si="63"/>
        <v>493.44869331044345</v>
      </c>
      <c r="R477" s="25">
        <f t="shared" si="60"/>
        <v>7</v>
      </c>
      <c r="S477" s="26">
        <f t="shared" si="61"/>
        <v>14</v>
      </c>
    </row>
    <row r="478" spans="2:19" x14ac:dyDescent="0.3">
      <c r="B478" s="24">
        <v>122609</v>
      </c>
      <c r="C478" s="25">
        <v>61</v>
      </c>
      <c r="D478" s="25">
        <v>1</v>
      </c>
      <c r="E478" s="25">
        <v>0</v>
      </c>
      <c r="F478" s="25">
        <v>24</v>
      </c>
      <c r="G478" s="25">
        <v>25</v>
      </c>
      <c r="H478" s="25">
        <v>33</v>
      </c>
      <c r="I478" s="25">
        <v>3.42</v>
      </c>
      <c r="J478" s="25">
        <v>4.83</v>
      </c>
      <c r="K478" s="26">
        <v>1</v>
      </c>
      <c r="L478" s="25">
        <f t="shared" si="56"/>
        <v>2.4804361578109191</v>
      </c>
      <c r="M478" s="25">
        <f t="shared" si="62"/>
        <v>0.92275889070926731</v>
      </c>
      <c r="N478" s="25">
        <f t="shared" si="57"/>
        <v>0.92275889070926731</v>
      </c>
      <c r="O478" s="25">
        <f t="shared" si="58"/>
        <v>-8.0387302104338462E-2</v>
      </c>
      <c r="P478" s="25">
        <f t="shared" si="59"/>
        <v>1</v>
      </c>
      <c r="Q478" s="25">
        <f t="shared" si="63"/>
        <v>415.55274314613951</v>
      </c>
      <c r="R478" s="25">
        <f t="shared" si="60"/>
        <v>8</v>
      </c>
      <c r="S478" s="26">
        <f t="shared" si="61"/>
        <v>16</v>
      </c>
    </row>
    <row r="479" spans="2:19" x14ac:dyDescent="0.3">
      <c r="B479" s="24">
        <v>122620</v>
      </c>
      <c r="C479" s="25">
        <v>44</v>
      </c>
      <c r="D479" s="25">
        <v>5</v>
      </c>
      <c r="E479" s="25">
        <v>2</v>
      </c>
      <c r="F479" s="25">
        <v>13</v>
      </c>
      <c r="G479" s="25">
        <v>91</v>
      </c>
      <c r="H479" s="25">
        <v>4.8</v>
      </c>
      <c r="I479" s="25">
        <v>1.02</v>
      </c>
      <c r="J479" s="25">
        <v>3.35</v>
      </c>
      <c r="K479" s="26">
        <v>1</v>
      </c>
      <c r="L479" s="25">
        <f t="shared" si="56"/>
        <v>-1.4291651039804747</v>
      </c>
      <c r="M479" s="25">
        <f t="shared" si="62"/>
        <v>0.19322880403627013</v>
      </c>
      <c r="N479" s="25">
        <f t="shared" si="57"/>
        <v>0.19322880403627013</v>
      </c>
      <c r="O479" s="25">
        <f t="shared" si="58"/>
        <v>-1.6438802791017633</v>
      </c>
      <c r="P479" s="25">
        <f t="shared" si="59"/>
        <v>0</v>
      </c>
      <c r="Q479" s="25">
        <f t="shared" si="63"/>
        <v>528.35998699374215</v>
      </c>
      <c r="R479" s="25">
        <f t="shared" si="60"/>
        <v>6</v>
      </c>
      <c r="S479" s="26">
        <f t="shared" si="61"/>
        <v>12</v>
      </c>
    </row>
    <row r="480" spans="2:19" x14ac:dyDescent="0.3">
      <c r="B480" s="24">
        <v>122653</v>
      </c>
      <c r="C480" s="25">
        <v>22</v>
      </c>
      <c r="D480" s="25">
        <v>2</v>
      </c>
      <c r="E480" s="25">
        <v>0</v>
      </c>
      <c r="F480" s="25">
        <v>2</v>
      </c>
      <c r="G480" s="25">
        <v>16</v>
      </c>
      <c r="H480" s="25">
        <v>9.8000000000000007</v>
      </c>
      <c r="I480" s="25">
        <v>0.31</v>
      </c>
      <c r="J480" s="25">
        <v>1.26</v>
      </c>
      <c r="K480" s="26">
        <v>1</v>
      </c>
      <c r="L480" s="25">
        <f t="shared" si="56"/>
        <v>0.10978047453828149</v>
      </c>
      <c r="M480" s="25">
        <f t="shared" si="62"/>
        <v>0.52741758833130292</v>
      </c>
      <c r="N480" s="25">
        <f t="shared" si="57"/>
        <v>0.52741758833130292</v>
      </c>
      <c r="O480" s="25">
        <f t="shared" si="58"/>
        <v>-0.63976265648875341</v>
      </c>
      <c r="P480" s="25">
        <f t="shared" si="59"/>
        <v>1</v>
      </c>
      <c r="Q480" s="25">
        <f t="shared" si="63"/>
        <v>483.95540516571987</v>
      </c>
      <c r="R480" s="25">
        <f t="shared" si="60"/>
        <v>7</v>
      </c>
      <c r="S480" s="26">
        <f t="shared" si="61"/>
        <v>15</v>
      </c>
    </row>
    <row r="481" spans="2:19" x14ac:dyDescent="0.3">
      <c r="B481" s="24">
        <v>122655</v>
      </c>
      <c r="C481" s="25">
        <v>19</v>
      </c>
      <c r="D481" s="25">
        <v>1</v>
      </c>
      <c r="E481" s="25">
        <v>3</v>
      </c>
      <c r="F481" s="25">
        <v>0</v>
      </c>
      <c r="G481" s="25">
        <v>21</v>
      </c>
      <c r="H481" s="25">
        <v>7.1</v>
      </c>
      <c r="I481" s="25">
        <v>0.48</v>
      </c>
      <c r="J481" s="25">
        <v>1.01</v>
      </c>
      <c r="K481" s="26">
        <v>0</v>
      </c>
      <c r="L481" s="25">
        <f t="shared" si="56"/>
        <v>-0.57920579523920734</v>
      </c>
      <c r="M481" s="25">
        <f t="shared" si="62"/>
        <v>0.35911536063716115</v>
      </c>
      <c r="N481" s="25">
        <f t="shared" si="57"/>
        <v>0.6408846393628389</v>
      </c>
      <c r="O481" s="25">
        <f t="shared" si="58"/>
        <v>-0.44490580805073648</v>
      </c>
      <c r="P481" s="25">
        <f t="shared" si="59"/>
        <v>0</v>
      </c>
      <c r="Q481" s="25">
        <f t="shared" si="63"/>
        <v>503.83534609525253</v>
      </c>
      <c r="R481" s="25">
        <f t="shared" si="60"/>
        <v>7</v>
      </c>
      <c r="S481" s="26">
        <f t="shared" si="61"/>
        <v>14</v>
      </c>
    </row>
    <row r="482" spans="2:19" x14ac:dyDescent="0.3">
      <c r="B482" s="24">
        <v>122694</v>
      </c>
      <c r="C482" s="25">
        <v>20</v>
      </c>
      <c r="D482" s="25">
        <v>2</v>
      </c>
      <c r="E482" s="25">
        <v>0</v>
      </c>
      <c r="F482" s="25">
        <v>0</v>
      </c>
      <c r="G482" s="25">
        <v>26</v>
      </c>
      <c r="H482" s="25">
        <v>8.9</v>
      </c>
      <c r="I482" s="25">
        <v>0.5</v>
      </c>
      <c r="J482" s="25">
        <v>1.81</v>
      </c>
      <c r="K482" s="26">
        <v>0</v>
      </c>
      <c r="L482" s="25">
        <f t="shared" si="56"/>
        <v>0.23452023947550077</v>
      </c>
      <c r="M482" s="25">
        <f t="shared" si="62"/>
        <v>0.55836280979052655</v>
      </c>
      <c r="N482" s="25">
        <f t="shared" si="57"/>
        <v>0.44163719020947345</v>
      </c>
      <c r="O482" s="25">
        <f t="shared" si="58"/>
        <v>-0.81726657060544217</v>
      </c>
      <c r="P482" s="25">
        <f t="shared" si="59"/>
        <v>1</v>
      </c>
      <c r="Q482" s="25">
        <f t="shared" si="63"/>
        <v>480.35617646219782</v>
      </c>
      <c r="R482" s="25">
        <f t="shared" si="60"/>
        <v>7</v>
      </c>
      <c r="S482" s="26">
        <f t="shared" si="61"/>
        <v>15</v>
      </c>
    </row>
    <row r="483" spans="2:19" x14ac:dyDescent="0.3">
      <c r="B483" s="24">
        <v>122889</v>
      </c>
      <c r="C483" s="25">
        <v>35</v>
      </c>
      <c r="D483" s="25">
        <v>4</v>
      </c>
      <c r="E483" s="25">
        <v>10</v>
      </c>
      <c r="F483" s="25">
        <v>7</v>
      </c>
      <c r="G483" s="25">
        <v>44</v>
      </c>
      <c r="H483" s="25">
        <v>0.5</v>
      </c>
      <c r="I483" s="25">
        <v>0.11</v>
      </c>
      <c r="J483" s="25">
        <v>0.11</v>
      </c>
      <c r="K483" s="26">
        <v>0</v>
      </c>
      <c r="L483" s="25">
        <f t="shared" si="56"/>
        <v>-3.7471497905437903</v>
      </c>
      <c r="M483" s="25">
        <f t="shared" si="62"/>
        <v>2.3041442502427331E-2</v>
      </c>
      <c r="N483" s="25">
        <f t="shared" si="57"/>
        <v>0.97695855749757265</v>
      </c>
      <c r="O483" s="25">
        <f t="shared" si="58"/>
        <v>-2.3311045958196386E-2</v>
      </c>
      <c r="P483" s="25">
        <f t="shared" si="59"/>
        <v>0</v>
      </c>
      <c r="Q483" s="25">
        <f t="shared" si="63"/>
        <v>595.24288534137145</v>
      </c>
      <c r="R483" s="25">
        <f t="shared" si="60"/>
        <v>4</v>
      </c>
      <c r="S483" s="26">
        <f t="shared" si="61"/>
        <v>7</v>
      </c>
    </row>
    <row r="484" spans="2:19" x14ac:dyDescent="0.3">
      <c r="B484" s="24">
        <v>122943</v>
      </c>
      <c r="C484" s="25">
        <v>24</v>
      </c>
      <c r="D484" s="25">
        <v>4</v>
      </c>
      <c r="E484" s="25">
        <v>0</v>
      </c>
      <c r="F484" s="25">
        <v>2</v>
      </c>
      <c r="G484" s="25">
        <v>28</v>
      </c>
      <c r="H484" s="25">
        <v>4</v>
      </c>
      <c r="I484" s="25">
        <v>0.7</v>
      </c>
      <c r="J484" s="25">
        <v>0.42</v>
      </c>
      <c r="K484" s="26">
        <v>0</v>
      </c>
      <c r="L484" s="25">
        <f t="shared" si="56"/>
        <v>-0.45179293717238767</v>
      </c>
      <c r="M484" s="25">
        <f t="shared" si="62"/>
        <v>0.38893456383304936</v>
      </c>
      <c r="N484" s="25">
        <f t="shared" si="57"/>
        <v>0.61106543616695064</v>
      </c>
      <c r="O484" s="25">
        <f t="shared" si="58"/>
        <v>-0.4925512287087454</v>
      </c>
      <c r="P484" s="25">
        <f t="shared" si="59"/>
        <v>0</v>
      </c>
      <c r="Q484" s="25">
        <f t="shared" si="63"/>
        <v>500.15898822987833</v>
      </c>
      <c r="R484" s="25">
        <f t="shared" si="60"/>
        <v>7</v>
      </c>
      <c r="S484" s="26">
        <f t="shared" si="61"/>
        <v>14</v>
      </c>
    </row>
    <row r="485" spans="2:19" x14ac:dyDescent="0.3">
      <c r="B485" s="24">
        <v>122999</v>
      </c>
      <c r="C485" s="25">
        <v>30</v>
      </c>
      <c r="D485" s="25">
        <v>5</v>
      </c>
      <c r="E485" s="25">
        <v>1</v>
      </c>
      <c r="F485" s="25">
        <v>6</v>
      </c>
      <c r="G485" s="25">
        <v>33</v>
      </c>
      <c r="H485" s="25">
        <v>7.4</v>
      </c>
      <c r="I485" s="25">
        <v>0.63</v>
      </c>
      <c r="J485" s="25">
        <v>1.81</v>
      </c>
      <c r="K485" s="26">
        <v>0</v>
      </c>
      <c r="L485" s="25">
        <f t="shared" si="56"/>
        <v>-0.64975002262739845</v>
      </c>
      <c r="M485" s="25">
        <f t="shared" si="62"/>
        <v>0.34304587136688641</v>
      </c>
      <c r="N485" s="25">
        <f t="shared" si="57"/>
        <v>0.65695412863311353</v>
      </c>
      <c r="O485" s="25">
        <f t="shared" si="58"/>
        <v>-0.42014108236711162</v>
      </c>
      <c r="P485" s="25">
        <f t="shared" si="59"/>
        <v>0</v>
      </c>
      <c r="Q485" s="25">
        <f t="shared" si="63"/>
        <v>505.87082217788867</v>
      </c>
      <c r="R485" s="25">
        <f t="shared" si="60"/>
        <v>7</v>
      </c>
      <c r="S485" s="26">
        <f t="shared" si="61"/>
        <v>14</v>
      </c>
    </row>
    <row r="486" spans="2:19" x14ac:dyDescent="0.3">
      <c r="B486" s="24">
        <v>123027</v>
      </c>
      <c r="C486" s="25">
        <v>21</v>
      </c>
      <c r="D486" s="25">
        <v>1</v>
      </c>
      <c r="E486" s="25">
        <v>1</v>
      </c>
      <c r="F486" s="25">
        <v>1</v>
      </c>
      <c r="G486" s="25">
        <v>29</v>
      </c>
      <c r="H486" s="25">
        <v>24</v>
      </c>
      <c r="I486" s="25">
        <v>2.2000000000000002</v>
      </c>
      <c r="J486" s="25">
        <v>4.76</v>
      </c>
      <c r="K486" s="26">
        <v>0</v>
      </c>
      <c r="L486" s="25">
        <f t="shared" si="56"/>
        <v>2.3920183719563326</v>
      </c>
      <c r="M486" s="25">
        <f t="shared" si="62"/>
        <v>0.91621663604259695</v>
      </c>
      <c r="N486" s="25">
        <f t="shared" si="57"/>
        <v>8.3783363957403045E-2</v>
      </c>
      <c r="O486" s="25">
        <f t="shared" si="58"/>
        <v>-2.4795208119966738</v>
      </c>
      <c r="P486" s="25">
        <f t="shared" si="59"/>
        <v>1</v>
      </c>
      <c r="Q486" s="25">
        <f t="shared" si="63"/>
        <v>418.10394109740912</v>
      </c>
      <c r="R486" s="25">
        <f t="shared" si="60"/>
        <v>8</v>
      </c>
      <c r="S486" s="26">
        <f t="shared" si="61"/>
        <v>16</v>
      </c>
    </row>
    <row r="487" spans="2:19" x14ac:dyDescent="0.3">
      <c r="B487" s="24">
        <v>123040</v>
      </c>
      <c r="C487" s="25">
        <v>45</v>
      </c>
      <c r="D487" s="25">
        <v>4</v>
      </c>
      <c r="E487" s="25">
        <v>0</v>
      </c>
      <c r="F487" s="25">
        <v>14</v>
      </c>
      <c r="G487" s="25">
        <v>81</v>
      </c>
      <c r="H487" s="25">
        <v>4.0999999999999996</v>
      </c>
      <c r="I487" s="25">
        <v>1.51</v>
      </c>
      <c r="J487" s="25">
        <v>1.81</v>
      </c>
      <c r="K487" s="26">
        <v>0</v>
      </c>
      <c r="L487" s="25">
        <f t="shared" si="56"/>
        <v>-0.85597535044387318</v>
      </c>
      <c r="M487" s="25">
        <f t="shared" si="62"/>
        <v>0.29818089555493543</v>
      </c>
      <c r="N487" s="25">
        <f t="shared" si="57"/>
        <v>0.70181910444506457</v>
      </c>
      <c r="O487" s="25">
        <f t="shared" si="58"/>
        <v>-0.35407959413875317</v>
      </c>
      <c r="P487" s="25">
        <f t="shared" si="59"/>
        <v>0</v>
      </c>
      <c r="Q487" s="25">
        <f t="shared" si="63"/>
        <v>511.82122716417246</v>
      </c>
      <c r="R487" s="25">
        <f t="shared" si="60"/>
        <v>7</v>
      </c>
      <c r="S487" s="26">
        <f t="shared" si="61"/>
        <v>13</v>
      </c>
    </row>
    <row r="488" spans="2:19" x14ac:dyDescent="0.3">
      <c r="B488" s="24">
        <v>123059</v>
      </c>
      <c r="C488" s="25">
        <v>38</v>
      </c>
      <c r="D488" s="25">
        <v>5</v>
      </c>
      <c r="E488" s="25">
        <v>9</v>
      </c>
      <c r="F488" s="25">
        <v>11</v>
      </c>
      <c r="G488" s="25">
        <v>66</v>
      </c>
      <c r="H488" s="25">
        <v>1.2</v>
      </c>
      <c r="I488" s="25">
        <v>0.59</v>
      </c>
      <c r="J488" s="25">
        <v>0.2</v>
      </c>
      <c r="K488" s="26">
        <v>0</v>
      </c>
      <c r="L488" s="25">
        <f t="shared" si="56"/>
        <v>-3.4651885148314148</v>
      </c>
      <c r="M488" s="25">
        <f t="shared" si="62"/>
        <v>3.0319119301460234E-2</v>
      </c>
      <c r="N488" s="25">
        <f t="shared" si="57"/>
        <v>0.96968088069853975</v>
      </c>
      <c r="O488" s="25">
        <f t="shared" si="58"/>
        <v>-3.0788250584029671E-2</v>
      </c>
      <c r="P488" s="25">
        <f t="shared" si="59"/>
        <v>0</v>
      </c>
      <c r="Q488" s="25">
        <f t="shared" si="63"/>
        <v>587.10720288809421</v>
      </c>
      <c r="R488" s="25">
        <f t="shared" si="60"/>
        <v>5</v>
      </c>
      <c r="S488" s="26">
        <f t="shared" si="61"/>
        <v>8</v>
      </c>
    </row>
    <row r="489" spans="2:19" x14ac:dyDescent="0.3">
      <c r="B489" s="24">
        <v>123079</v>
      </c>
      <c r="C489" s="25">
        <v>21</v>
      </c>
      <c r="D489" s="25">
        <v>2</v>
      </c>
      <c r="E489" s="25">
        <v>1</v>
      </c>
      <c r="F489" s="25">
        <v>1</v>
      </c>
      <c r="G489" s="25">
        <v>37</v>
      </c>
      <c r="H489" s="25">
        <v>8.5</v>
      </c>
      <c r="I489" s="25">
        <v>0.9</v>
      </c>
      <c r="J489" s="25">
        <v>2.25</v>
      </c>
      <c r="K489" s="26">
        <v>0</v>
      </c>
      <c r="L489" s="25">
        <f t="shared" si="56"/>
        <v>0.11723524857313444</v>
      </c>
      <c r="M489" s="25">
        <f t="shared" si="62"/>
        <v>0.52927528960393877</v>
      </c>
      <c r="N489" s="25">
        <f t="shared" si="57"/>
        <v>0.47072471039606123</v>
      </c>
      <c r="O489" s="25">
        <f t="shared" si="58"/>
        <v>-0.7534818348294029</v>
      </c>
      <c r="P489" s="25">
        <f t="shared" si="59"/>
        <v>1</v>
      </c>
      <c r="Q489" s="25">
        <f t="shared" si="63"/>
        <v>483.74030586119562</v>
      </c>
      <c r="R489" s="25">
        <f t="shared" si="60"/>
        <v>7</v>
      </c>
      <c r="S489" s="26">
        <f t="shared" si="61"/>
        <v>15</v>
      </c>
    </row>
    <row r="490" spans="2:19" x14ac:dyDescent="0.3">
      <c r="B490" s="24">
        <v>123081</v>
      </c>
      <c r="C490" s="25">
        <v>45</v>
      </c>
      <c r="D490" s="25">
        <v>4</v>
      </c>
      <c r="E490" s="25">
        <v>7</v>
      </c>
      <c r="F490" s="25">
        <v>13</v>
      </c>
      <c r="G490" s="25">
        <v>42</v>
      </c>
      <c r="H490" s="25">
        <v>36.799999999999997</v>
      </c>
      <c r="I490" s="25">
        <v>10.19</v>
      </c>
      <c r="J490" s="25">
        <v>5.27</v>
      </c>
      <c r="K490" s="26">
        <v>1</v>
      </c>
      <c r="L490" s="25">
        <f t="shared" si="56"/>
        <v>5.0409628522533527</v>
      </c>
      <c r="M490" s="25">
        <f t="shared" si="62"/>
        <v>0.99357404194471699</v>
      </c>
      <c r="N490" s="25">
        <f t="shared" si="57"/>
        <v>0.99357404194471699</v>
      </c>
      <c r="O490" s="25">
        <f t="shared" si="58"/>
        <v>-6.4466934011205472E-3</v>
      </c>
      <c r="P490" s="25">
        <f t="shared" si="59"/>
        <v>1</v>
      </c>
      <c r="Q490" s="25">
        <f t="shared" si="63"/>
        <v>341.6715619573672</v>
      </c>
      <c r="R490" s="25">
        <f t="shared" si="60"/>
        <v>8</v>
      </c>
      <c r="S490" s="26">
        <f t="shared" si="61"/>
        <v>17</v>
      </c>
    </row>
    <row r="491" spans="2:19" x14ac:dyDescent="0.3">
      <c r="B491" s="24">
        <v>123125</v>
      </c>
      <c r="C491" s="25">
        <v>40</v>
      </c>
      <c r="D491" s="25">
        <v>1</v>
      </c>
      <c r="E491" s="25">
        <v>22</v>
      </c>
      <c r="F491" s="25">
        <v>8</v>
      </c>
      <c r="G491" s="25">
        <v>141</v>
      </c>
      <c r="H491" s="25">
        <v>11</v>
      </c>
      <c r="I491" s="25">
        <v>5.0599999999999996</v>
      </c>
      <c r="J491" s="25">
        <v>10.45</v>
      </c>
      <c r="K491" s="26">
        <v>0</v>
      </c>
      <c r="L491" s="25">
        <f t="shared" si="56"/>
        <v>-2.7699522186097552</v>
      </c>
      <c r="M491" s="25">
        <f t="shared" si="62"/>
        <v>5.8969664905460829E-2</v>
      </c>
      <c r="N491" s="25">
        <f t="shared" si="57"/>
        <v>0.94103033509453915</v>
      </c>
      <c r="O491" s="25">
        <f t="shared" si="58"/>
        <v>-6.0779902833960196E-2</v>
      </c>
      <c r="P491" s="25">
        <f t="shared" si="59"/>
        <v>0</v>
      </c>
      <c r="Q491" s="25">
        <f t="shared" si="63"/>
        <v>567.04692432054401</v>
      </c>
      <c r="R491" s="25">
        <f t="shared" si="60"/>
        <v>5</v>
      </c>
      <c r="S491" s="26">
        <f t="shared" si="61"/>
        <v>9</v>
      </c>
    </row>
    <row r="492" spans="2:19" x14ac:dyDescent="0.3">
      <c r="B492" s="24">
        <v>123128</v>
      </c>
      <c r="C492" s="25">
        <v>22</v>
      </c>
      <c r="D492" s="25">
        <v>4</v>
      </c>
      <c r="E492" s="25">
        <v>0</v>
      </c>
      <c r="F492" s="25">
        <v>1</v>
      </c>
      <c r="G492" s="25">
        <v>74</v>
      </c>
      <c r="H492" s="25">
        <v>7.5</v>
      </c>
      <c r="I492" s="25">
        <v>1.86</v>
      </c>
      <c r="J492" s="25">
        <v>3.69</v>
      </c>
      <c r="K492" s="26">
        <v>1</v>
      </c>
      <c r="L492" s="25">
        <f t="shared" si="56"/>
        <v>0.61457418308551448</v>
      </c>
      <c r="M492" s="25">
        <f t="shared" si="62"/>
        <v>0.64898352764205336</v>
      </c>
      <c r="N492" s="25">
        <f t="shared" si="57"/>
        <v>0.64898352764205336</v>
      </c>
      <c r="O492" s="25">
        <f t="shared" si="58"/>
        <v>-0.43234794373720542</v>
      </c>
      <c r="P492" s="25">
        <f t="shared" si="59"/>
        <v>1</v>
      </c>
      <c r="Q492" s="25">
        <f t="shared" si="63"/>
        <v>469.39013797866886</v>
      </c>
      <c r="R492" s="25">
        <f t="shared" si="60"/>
        <v>7</v>
      </c>
      <c r="S492" s="26">
        <f t="shared" si="61"/>
        <v>15</v>
      </c>
    </row>
    <row r="493" spans="2:19" x14ac:dyDescent="0.3">
      <c r="B493" s="24">
        <v>123148</v>
      </c>
      <c r="C493" s="25">
        <v>56</v>
      </c>
      <c r="D493" s="25">
        <v>2</v>
      </c>
      <c r="E493" s="25">
        <v>34</v>
      </c>
      <c r="F493" s="25">
        <v>21</v>
      </c>
      <c r="G493" s="25">
        <v>475</v>
      </c>
      <c r="H493" s="25">
        <v>2.2999999999999998</v>
      </c>
      <c r="I493" s="25">
        <v>3.88</v>
      </c>
      <c r="J493" s="25">
        <v>7.05</v>
      </c>
      <c r="K493" s="26">
        <v>0</v>
      </c>
      <c r="L493" s="25">
        <f t="shared" si="56"/>
        <v>-7.7448437851014207</v>
      </c>
      <c r="M493" s="25">
        <f t="shared" si="62"/>
        <v>4.3278189624956889E-4</v>
      </c>
      <c r="N493" s="25">
        <f t="shared" si="57"/>
        <v>0.99956721810375038</v>
      </c>
      <c r="O493" s="25">
        <f t="shared" si="58"/>
        <v>-4.3287557336329824E-4</v>
      </c>
      <c r="P493" s="25">
        <f t="shared" si="59"/>
        <v>0</v>
      </c>
      <c r="Q493" s="25">
        <f t="shared" si="63"/>
        <v>710.59194809093788</v>
      </c>
      <c r="R493" s="25">
        <f t="shared" si="60"/>
        <v>1</v>
      </c>
      <c r="S493" s="26">
        <f t="shared" si="61"/>
        <v>1</v>
      </c>
    </row>
    <row r="494" spans="2:19" x14ac:dyDescent="0.3">
      <c r="B494" s="24">
        <v>123179</v>
      </c>
      <c r="C494" s="25">
        <v>37</v>
      </c>
      <c r="D494" s="25">
        <v>2</v>
      </c>
      <c r="E494" s="25">
        <v>9</v>
      </c>
      <c r="F494" s="25">
        <v>11</v>
      </c>
      <c r="G494" s="25">
        <v>41</v>
      </c>
      <c r="H494" s="25">
        <v>2.9</v>
      </c>
      <c r="I494" s="25">
        <v>0.11</v>
      </c>
      <c r="J494" s="25">
        <v>1.08</v>
      </c>
      <c r="K494" s="26">
        <v>0</v>
      </c>
      <c r="L494" s="25">
        <f t="shared" si="56"/>
        <v>-3.3247526044254689</v>
      </c>
      <c r="M494" s="25">
        <f t="shared" si="62"/>
        <v>3.4731722621769177E-2</v>
      </c>
      <c r="N494" s="25">
        <f t="shared" si="57"/>
        <v>0.96526827737823084</v>
      </c>
      <c r="O494" s="25">
        <f t="shared" si="58"/>
        <v>-3.5349208634280878E-2</v>
      </c>
      <c r="P494" s="25">
        <f t="shared" si="59"/>
        <v>0</v>
      </c>
      <c r="Q494" s="25">
        <f t="shared" si="63"/>
        <v>583.05507917283205</v>
      </c>
      <c r="R494" s="25">
        <f t="shared" si="60"/>
        <v>5</v>
      </c>
      <c r="S494" s="26">
        <f t="shared" si="61"/>
        <v>8</v>
      </c>
    </row>
    <row r="495" spans="2:19" x14ac:dyDescent="0.3">
      <c r="B495" s="24">
        <v>123217</v>
      </c>
      <c r="C495" s="25">
        <v>29</v>
      </c>
      <c r="D495" s="25">
        <v>2</v>
      </c>
      <c r="E495" s="25">
        <v>3</v>
      </c>
      <c r="F495" s="25">
        <v>2</v>
      </c>
      <c r="G495" s="25">
        <v>42</v>
      </c>
      <c r="H495" s="25">
        <v>9.3000000000000007</v>
      </c>
      <c r="I495" s="25">
        <v>1.77</v>
      </c>
      <c r="J495" s="25">
        <v>2.14</v>
      </c>
      <c r="K495" s="26">
        <v>0</v>
      </c>
      <c r="L495" s="25">
        <f t="shared" si="56"/>
        <v>-5.0440215125338528E-2</v>
      </c>
      <c r="M495" s="25">
        <f t="shared" si="62"/>
        <v>0.48739261909627879</v>
      </c>
      <c r="N495" s="25">
        <f t="shared" si="57"/>
        <v>0.51260738090372127</v>
      </c>
      <c r="O495" s="25">
        <f t="shared" si="58"/>
        <v>-0.66824506620202362</v>
      </c>
      <c r="P495" s="25">
        <f t="shared" si="59"/>
        <v>1</v>
      </c>
      <c r="Q495" s="25">
        <f t="shared" si="63"/>
        <v>488.57839692320499</v>
      </c>
      <c r="R495" s="25">
        <f t="shared" si="60"/>
        <v>7</v>
      </c>
      <c r="S495" s="26">
        <f t="shared" si="61"/>
        <v>15</v>
      </c>
    </row>
    <row r="496" spans="2:19" x14ac:dyDescent="0.3">
      <c r="B496" s="24">
        <v>123230</v>
      </c>
      <c r="C496" s="25">
        <v>37</v>
      </c>
      <c r="D496" s="25">
        <v>4</v>
      </c>
      <c r="E496" s="25">
        <v>10</v>
      </c>
      <c r="F496" s="25">
        <v>6</v>
      </c>
      <c r="G496" s="25">
        <v>97</v>
      </c>
      <c r="H496" s="25">
        <v>8.3000000000000007</v>
      </c>
      <c r="I496" s="25">
        <v>2.0099999999999998</v>
      </c>
      <c r="J496" s="25">
        <v>6.04</v>
      </c>
      <c r="K496" s="26">
        <v>0</v>
      </c>
      <c r="L496" s="25">
        <f t="shared" si="56"/>
        <v>-1.91980809958134</v>
      </c>
      <c r="M496" s="25">
        <f t="shared" si="62"/>
        <v>0.12788296723606399</v>
      </c>
      <c r="N496" s="25">
        <f t="shared" si="57"/>
        <v>0.87211703276393604</v>
      </c>
      <c r="O496" s="25">
        <f t="shared" si="58"/>
        <v>-0.13683165219351898</v>
      </c>
      <c r="P496" s="25">
        <f t="shared" si="59"/>
        <v>0</v>
      </c>
      <c r="Q496" s="25">
        <f t="shared" si="63"/>
        <v>542.51695092450996</v>
      </c>
      <c r="R496" s="25">
        <f t="shared" si="60"/>
        <v>6</v>
      </c>
      <c r="S496" s="26">
        <f t="shared" si="61"/>
        <v>11</v>
      </c>
    </row>
    <row r="497" spans="2:19" x14ac:dyDescent="0.3">
      <c r="B497" s="24">
        <v>123242</v>
      </c>
      <c r="C497" s="25">
        <v>20</v>
      </c>
      <c r="D497" s="25">
        <v>1</v>
      </c>
      <c r="E497" s="25">
        <v>3</v>
      </c>
      <c r="F497" s="25">
        <v>0</v>
      </c>
      <c r="G497" s="25">
        <v>21</v>
      </c>
      <c r="H497" s="25">
        <v>17.899999999999999</v>
      </c>
      <c r="I497" s="25">
        <v>0.53</v>
      </c>
      <c r="J497" s="25">
        <v>3.23</v>
      </c>
      <c r="K497" s="26">
        <v>1</v>
      </c>
      <c r="L497" s="25">
        <f t="shared" si="56"/>
        <v>0.55463817213652677</v>
      </c>
      <c r="M497" s="25">
        <f t="shared" si="62"/>
        <v>0.63521101140283509</v>
      </c>
      <c r="N497" s="25">
        <f t="shared" si="57"/>
        <v>0.63521101140283509</v>
      </c>
      <c r="O497" s="25">
        <f t="shared" si="58"/>
        <v>-0.45379803386754697</v>
      </c>
      <c r="P497" s="25">
        <f t="shared" si="59"/>
        <v>1</v>
      </c>
      <c r="Q497" s="25">
        <f t="shared" si="63"/>
        <v>471.11952564498989</v>
      </c>
      <c r="R497" s="25">
        <f t="shared" si="60"/>
        <v>7</v>
      </c>
      <c r="S497" s="26">
        <f t="shared" si="61"/>
        <v>15</v>
      </c>
    </row>
    <row r="498" spans="2:19" x14ac:dyDescent="0.3">
      <c r="B498" s="24">
        <v>123373</v>
      </c>
      <c r="C498" s="25">
        <v>30</v>
      </c>
      <c r="D498" s="25">
        <v>3</v>
      </c>
      <c r="E498" s="25">
        <v>6</v>
      </c>
      <c r="F498" s="25">
        <v>4</v>
      </c>
      <c r="G498" s="25">
        <v>20</v>
      </c>
      <c r="H498" s="25">
        <v>9.6999999999999993</v>
      </c>
      <c r="I498" s="25">
        <v>0.51</v>
      </c>
      <c r="J498" s="25">
        <v>1.43</v>
      </c>
      <c r="K498" s="26">
        <v>1</v>
      </c>
      <c r="L498" s="25">
        <f t="shared" si="56"/>
        <v>-1.4491064124864825</v>
      </c>
      <c r="M498" s="25">
        <f t="shared" si="62"/>
        <v>0.19013912809827097</v>
      </c>
      <c r="N498" s="25">
        <f t="shared" si="57"/>
        <v>0.19013912809827097</v>
      </c>
      <c r="O498" s="25">
        <f t="shared" si="58"/>
        <v>-1.6599992216393884</v>
      </c>
      <c r="P498" s="25">
        <f t="shared" si="59"/>
        <v>0</v>
      </c>
      <c r="Q498" s="25">
        <f t="shared" si="63"/>
        <v>528.93537151524367</v>
      </c>
      <c r="R498" s="25">
        <f t="shared" si="60"/>
        <v>6</v>
      </c>
      <c r="S498" s="26">
        <f t="shared" si="61"/>
        <v>12</v>
      </c>
    </row>
    <row r="499" spans="2:19" x14ac:dyDescent="0.3">
      <c r="B499" s="24">
        <v>123402</v>
      </c>
      <c r="C499" s="25">
        <v>26</v>
      </c>
      <c r="D499" s="25">
        <v>4</v>
      </c>
      <c r="E499" s="25">
        <v>0</v>
      </c>
      <c r="F499" s="25">
        <v>3</v>
      </c>
      <c r="G499" s="25">
        <v>36</v>
      </c>
      <c r="H499" s="25">
        <v>17.899999999999999</v>
      </c>
      <c r="I499" s="25">
        <v>3.02</v>
      </c>
      <c r="J499" s="25">
        <v>3.43</v>
      </c>
      <c r="K499" s="26">
        <v>1</v>
      </c>
      <c r="L499" s="25">
        <f t="shared" si="56"/>
        <v>2.0337054621983794</v>
      </c>
      <c r="M499" s="25">
        <f t="shared" si="62"/>
        <v>0.88429076330865186</v>
      </c>
      <c r="N499" s="25">
        <f t="shared" si="57"/>
        <v>0.88429076330865186</v>
      </c>
      <c r="O499" s="25">
        <f t="shared" si="58"/>
        <v>-0.12296935265611654</v>
      </c>
      <c r="P499" s="25">
        <f t="shared" si="59"/>
        <v>1</v>
      </c>
      <c r="Q499" s="25">
        <f t="shared" si="63"/>
        <v>428.44266596427417</v>
      </c>
      <c r="R499" s="25">
        <f t="shared" si="60"/>
        <v>8</v>
      </c>
      <c r="S499" s="26">
        <f t="shared" si="61"/>
        <v>16</v>
      </c>
    </row>
    <row r="500" spans="2:19" x14ac:dyDescent="0.3">
      <c r="B500" s="24">
        <v>123404</v>
      </c>
      <c r="C500" s="25">
        <v>18</v>
      </c>
      <c r="D500" s="25">
        <v>2</v>
      </c>
      <c r="E500" s="25">
        <v>0</v>
      </c>
      <c r="F500" s="25">
        <v>0</v>
      </c>
      <c r="G500" s="25">
        <v>47</v>
      </c>
      <c r="H500" s="25">
        <v>3.6</v>
      </c>
      <c r="I500" s="25">
        <v>1.21</v>
      </c>
      <c r="J500" s="25">
        <v>0.48</v>
      </c>
      <c r="K500" s="26">
        <v>0</v>
      </c>
      <c r="L500" s="25">
        <f t="shared" si="56"/>
        <v>5.7257483144790455E-2</v>
      </c>
      <c r="M500" s="25">
        <f t="shared" si="62"/>
        <v>0.5143104613586551</v>
      </c>
      <c r="N500" s="25">
        <f t="shared" si="57"/>
        <v>0.4856895386413449</v>
      </c>
      <c r="O500" s="25">
        <f t="shared" si="58"/>
        <v>-0.7221856685872402</v>
      </c>
      <c r="P500" s="25">
        <f t="shared" si="59"/>
        <v>1</v>
      </c>
      <c r="Q500" s="25">
        <f t="shared" si="63"/>
        <v>485.47089830708853</v>
      </c>
      <c r="R500" s="25">
        <f t="shared" si="60"/>
        <v>7</v>
      </c>
      <c r="S500" s="26">
        <f t="shared" si="61"/>
        <v>15</v>
      </c>
    </row>
    <row r="501" spans="2:19" x14ac:dyDescent="0.3">
      <c r="B501" s="24">
        <v>123432</v>
      </c>
      <c r="C501" s="25">
        <v>31</v>
      </c>
      <c r="D501" s="25">
        <v>1</v>
      </c>
      <c r="E501" s="25">
        <v>5</v>
      </c>
      <c r="F501" s="25">
        <v>7</v>
      </c>
      <c r="G501" s="25">
        <v>27</v>
      </c>
      <c r="H501" s="25">
        <v>4.2</v>
      </c>
      <c r="I501" s="25">
        <v>0.56000000000000005</v>
      </c>
      <c r="J501" s="25">
        <v>0.56999999999999995</v>
      </c>
      <c r="K501" s="26">
        <v>0</v>
      </c>
      <c r="L501" s="25">
        <f t="shared" si="56"/>
        <v>-1.7796783610025717</v>
      </c>
      <c r="M501" s="25">
        <f t="shared" si="62"/>
        <v>0.14434285453407464</v>
      </c>
      <c r="N501" s="25">
        <f t="shared" si="57"/>
        <v>0.85565714546592542</v>
      </c>
      <c r="O501" s="25">
        <f t="shared" si="58"/>
        <v>-0.15588551407211054</v>
      </c>
      <c r="P501" s="25">
        <f t="shared" si="59"/>
        <v>0</v>
      </c>
      <c r="Q501" s="25">
        <f t="shared" si="63"/>
        <v>538.47366146053207</v>
      </c>
      <c r="R501" s="25">
        <f t="shared" si="60"/>
        <v>6</v>
      </c>
      <c r="S501" s="26">
        <f t="shared" si="61"/>
        <v>12</v>
      </c>
    </row>
    <row r="502" spans="2:19" x14ac:dyDescent="0.3">
      <c r="B502" s="24">
        <v>123464</v>
      </c>
      <c r="C502" s="25">
        <v>44</v>
      </c>
      <c r="D502" s="25">
        <v>3</v>
      </c>
      <c r="E502" s="25">
        <v>8</v>
      </c>
      <c r="F502" s="25">
        <v>8</v>
      </c>
      <c r="G502" s="25">
        <v>49</v>
      </c>
      <c r="H502" s="25">
        <v>16.3</v>
      </c>
      <c r="I502" s="25">
        <v>2.46</v>
      </c>
      <c r="J502" s="25">
        <v>5.53</v>
      </c>
      <c r="K502" s="26">
        <v>1</v>
      </c>
      <c r="L502" s="25">
        <f t="shared" si="56"/>
        <v>-0.64350839919122871</v>
      </c>
      <c r="M502" s="25">
        <f t="shared" si="62"/>
        <v>0.34445389213302835</v>
      </c>
      <c r="N502" s="25">
        <f t="shared" si="57"/>
        <v>0.34445389213302835</v>
      </c>
      <c r="O502" s="25">
        <f t="shared" si="58"/>
        <v>-1.0657950374479725</v>
      </c>
      <c r="P502" s="25">
        <f t="shared" si="59"/>
        <v>0</v>
      </c>
      <c r="Q502" s="25">
        <f t="shared" si="63"/>
        <v>505.69072699942376</v>
      </c>
      <c r="R502" s="25">
        <f t="shared" si="60"/>
        <v>7</v>
      </c>
      <c r="S502" s="26">
        <f t="shared" si="61"/>
        <v>14</v>
      </c>
    </row>
    <row r="503" spans="2:19" x14ac:dyDescent="0.3">
      <c r="B503" s="24">
        <v>123468</v>
      </c>
      <c r="C503" s="25">
        <v>19</v>
      </c>
      <c r="D503" s="25">
        <v>2</v>
      </c>
      <c r="E503" s="25">
        <v>0</v>
      </c>
      <c r="F503" s="25">
        <v>0</v>
      </c>
      <c r="G503" s="25">
        <v>24</v>
      </c>
      <c r="H503" s="25">
        <v>12.5</v>
      </c>
      <c r="I503" s="25">
        <v>0.94</v>
      </c>
      <c r="J503" s="25">
        <v>2.06</v>
      </c>
      <c r="K503" s="26">
        <v>1</v>
      </c>
      <c r="L503" s="25">
        <f t="shared" si="56"/>
        <v>0.82905074598595285</v>
      </c>
      <c r="M503" s="25">
        <f t="shared" si="62"/>
        <v>0.69615417765091936</v>
      </c>
      <c r="N503" s="25">
        <f t="shared" si="57"/>
        <v>0.69615417765091936</v>
      </c>
      <c r="O503" s="25">
        <f t="shared" si="58"/>
        <v>-0.3621841235661743</v>
      </c>
      <c r="P503" s="25">
        <f t="shared" si="59"/>
        <v>1</v>
      </c>
      <c r="Q503" s="25">
        <f t="shared" si="63"/>
        <v>463.20165268039591</v>
      </c>
      <c r="R503" s="25">
        <f t="shared" si="60"/>
        <v>8</v>
      </c>
      <c r="S503" s="26">
        <f t="shared" si="61"/>
        <v>15</v>
      </c>
    </row>
    <row r="504" spans="2:19" x14ac:dyDescent="0.3">
      <c r="B504" s="24">
        <v>240017</v>
      </c>
      <c r="C504" s="25">
        <v>77</v>
      </c>
      <c r="D504" s="25">
        <v>5</v>
      </c>
      <c r="E504" s="25">
        <v>2</v>
      </c>
      <c r="F504" s="25">
        <v>24</v>
      </c>
      <c r="G504" s="25">
        <v>28</v>
      </c>
      <c r="H504" s="25">
        <v>10.6</v>
      </c>
      <c r="I504" s="25">
        <v>1.37</v>
      </c>
      <c r="J504" s="25">
        <v>1.6</v>
      </c>
      <c r="K504" s="26">
        <v>0</v>
      </c>
      <c r="L504" s="25">
        <f t="shared" si="56"/>
        <v>-1.8145923366631971</v>
      </c>
      <c r="M504" s="25">
        <f t="shared" si="62"/>
        <v>0.14008401574587381</v>
      </c>
      <c r="N504" s="25">
        <f t="shared" si="57"/>
        <v>0.85991598425412619</v>
      </c>
      <c r="O504" s="25">
        <f t="shared" si="58"/>
        <v>-0.15092058723458923</v>
      </c>
      <c r="P504" s="25">
        <f t="shared" si="59"/>
        <v>0</v>
      </c>
      <c r="Q504" s="25">
        <f t="shared" si="63"/>
        <v>539.48106582284618</v>
      </c>
      <c r="R504" s="25">
        <f t="shared" si="60"/>
        <v>6</v>
      </c>
      <c r="S504" s="26">
        <f t="shared" si="61"/>
        <v>12</v>
      </c>
    </row>
    <row r="505" spans="2:19" x14ac:dyDescent="0.3">
      <c r="B505" s="24">
        <v>240070</v>
      </c>
      <c r="C505" s="25">
        <v>37</v>
      </c>
      <c r="D505" s="25">
        <v>4</v>
      </c>
      <c r="E505" s="25">
        <v>0</v>
      </c>
      <c r="F505" s="25">
        <v>9</v>
      </c>
      <c r="G505" s="25">
        <v>83</v>
      </c>
      <c r="H505" s="25">
        <v>14.9</v>
      </c>
      <c r="I505" s="25">
        <v>5.9</v>
      </c>
      <c r="J505" s="25">
        <v>6.47</v>
      </c>
      <c r="K505" s="26">
        <v>1</v>
      </c>
      <c r="L505" s="25">
        <f t="shared" si="56"/>
        <v>2.7529343121256447</v>
      </c>
      <c r="M505" s="25">
        <f t="shared" si="62"/>
        <v>0.94007885499550992</v>
      </c>
      <c r="N505" s="25">
        <f t="shared" si="57"/>
        <v>0.94007885499550992</v>
      </c>
      <c r="O505" s="25">
        <f t="shared" si="58"/>
        <v>-6.179151894341791E-2</v>
      </c>
      <c r="P505" s="25">
        <f t="shared" si="59"/>
        <v>1</v>
      </c>
      <c r="Q505" s="25">
        <f t="shared" si="63"/>
        <v>407.69010865135789</v>
      </c>
      <c r="R505" s="25">
        <f t="shared" si="60"/>
        <v>8</v>
      </c>
      <c r="S505" s="26">
        <f t="shared" si="61"/>
        <v>17</v>
      </c>
    </row>
    <row r="506" spans="2:19" x14ac:dyDescent="0.3">
      <c r="B506" s="24">
        <v>240093</v>
      </c>
      <c r="C506" s="25">
        <v>35</v>
      </c>
      <c r="D506" s="25">
        <v>4</v>
      </c>
      <c r="E506" s="25">
        <v>9</v>
      </c>
      <c r="F506" s="25">
        <v>6</v>
      </c>
      <c r="G506" s="25">
        <v>123</v>
      </c>
      <c r="H506" s="25">
        <v>6.1</v>
      </c>
      <c r="I506" s="25">
        <v>1.7</v>
      </c>
      <c r="J506" s="25">
        <v>5.8</v>
      </c>
      <c r="K506" s="26">
        <v>0</v>
      </c>
      <c r="L506" s="25">
        <f t="shared" si="56"/>
        <v>-2.0166876257078488</v>
      </c>
      <c r="M506" s="25">
        <f t="shared" si="62"/>
        <v>0.11746193206235343</v>
      </c>
      <c r="N506" s="25">
        <f t="shared" si="57"/>
        <v>0.88253806793764655</v>
      </c>
      <c r="O506" s="25">
        <f t="shared" si="58"/>
        <v>-0.12495335463178224</v>
      </c>
      <c r="P506" s="25">
        <f t="shared" si="59"/>
        <v>0</v>
      </c>
      <c r="Q506" s="25">
        <f t="shared" si="63"/>
        <v>545.31230308341173</v>
      </c>
      <c r="R506" s="25">
        <f t="shared" si="60"/>
        <v>6</v>
      </c>
      <c r="S506" s="26">
        <f t="shared" si="61"/>
        <v>11</v>
      </c>
    </row>
    <row r="507" spans="2:19" x14ac:dyDescent="0.3">
      <c r="B507" s="24">
        <v>240152</v>
      </c>
      <c r="C507" s="25">
        <v>24</v>
      </c>
      <c r="D507" s="25">
        <v>4</v>
      </c>
      <c r="E507" s="25">
        <v>0</v>
      </c>
      <c r="F507" s="25">
        <v>0</v>
      </c>
      <c r="G507" s="25">
        <v>64</v>
      </c>
      <c r="H507" s="25">
        <v>13</v>
      </c>
      <c r="I507" s="25">
        <v>3.98</v>
      </c>
      <c r="J507" s="25">
        <v>4.34</v>
      </c>
      <c r="K507" s="26">
        <v>1</v>
      </c>
      <c r="L507" s="25">
        <f t="shared" si="56"/>
        <v>2.1703275401573343</v>
      </c>
      <c r="M507" s="25">
        <f t="shared" si="62"/>
        <v>0.89755308830045244</v>
      </c>
      <c r="N507" s="25">
        <f t="shared" si="57"/>
        <v>0.89755308830045244</v>
      </c>
      <c r="O507" s="25">
        <f t="shared" si="58"/>
        <v>-0.10808300905937654</v>
      </c>
      <c r="P507" s="25">
        <f t="shared" si="59"/>
        <v>1</v>
      </c>
      <c r="Q507" s="25">
        <f t="shared" si="63"/>
        <v>424.50058618905427</v>
      </c>
      <c r="R507" s="25">
        <f t="shared" si="60"/>
        <v>8</v>
      </c>
      <c r="S507" s="26">
        <f t="shared" si="61"/>
        <v>16</v>
      </c>
    </row>
    <row r="508" spans="2:19" x14ac:dyDescent="0.3">
      <c r="B508" s="24">
        <v>240198</v>
      </c>
      <c r="C508" s="25">
        <v>31</v>
      </c>
      <c r="D508" s="25">
        <v>4</v>
      </c>
      <c r="E508" s="25">
        <v>1</v>
      </c>
      <c r="F508" s="25">
        <v>4</v>
      </c>
      <c r="G508" s="25">
        <v>43</v>
      </c>
      <c r="H508" s="25">
        <v>7.9</v>
      </c>
      <c r="I508" s="25">
        <v>2.4900000000000002</v>
      </c>
      <c r="J508" s="25">
        <v>0.9</v>
      </c>
      <c r="K508" s="26">
        <v>0</v>
      </c>
      <c r="L508" s="25">
        <f t="shared" si="56"/>
        <v>0.35750475724331493</v>
      </c>
      <c r="M508" s="25">
        <f t="shared" si="62"/>
        <v>0.58843627223267414</v>
      </c>
      <c r="N508" s="25">
        <f t="shared" si="57"/>
        <v>0.41156372776732586</v>
      </c>
      <c r="O508" s="25">
        <f t="shared" si="58"/>
        <v>-0.88779140386338085</v>
      </c>
      <c r="P508" s="25">
        <f t="shared" si="59"/>
        <v>1</v>
      </c>
      <c r="Q508" s="25">
        <f t="shared" si="63"/>
        <v>476.80759348497713</v>
      </c>
      <c r="R508" s="25">
        <f t="shared" si="60"/>
        <v>7</v>
      </c>
      <c r="S508" s="26">
        <f t="shared" si="61"/>
        <v>15</v>
      </c>
    </row>
    <row r="509" spans="2:19" x14ac:dyDescent="0.3">
      <c r="B509" s="24">
        <v>240202</v>
      </c>
      <c r="C509" s="25">
        <v>59</v>
      </c>
      <c r="D509" s="25">
        <v>4</v>
      </c>
      <c r="E509" s="25">
        <v>19</v>
      </c>
      <c r="F509" s="25">
        <v>21</v>
      </c>
      <c r="G509" s="25">
        <v>174</v>
      </c>
      <c r="H509" s="25">
        <v>27.9</v>
      </c>
      <c r="I509" s="25">
        <v>16.41</v>
      </c>
      <c r="J509" s="25">
        <v>32.14</v>
      </c>
      <c r="K509" s="26">
        <v>1</v>
      </c>
      <c r="L509" s="25">
        <f t="shared" si="56"/>
        <v>4.5277548449933356</v>
      </c>
      <c r="M509" s="25">
        <f t="shared" si="62"/>
        <v>0.98931059052800341</v>
      </c>
      <c r="N509" s="25">
        <f t="shared" si="57"/>
        <v>0.98931059052800341</v>
      </c>
      <c r="O509" s="25">
        <f t="shared" si="58"/>
        <v>-1.0746951637982271E-2</v>
      </c>
      <c r="P509" s="25">
        <f t="shared" si="59"/>
        <v>1</v>
      </c>
      <c r="Q509" s="25">
        <f t="shared" si="63"/>
        <v>356.47961447804693</v>
      </c>
      <c r="R509" s="25">
        <f t="shared" si="60"/>
        <v>8</v>
      </c>
      <c r="S509" s="26">
        <f t="shared" si="61"/>
        <v>17</v>
      </c>
    </row>
    <row r="510" spans="2:19" x14ac:dyDescent="0.3">
      <c r="B510" s="24">
        <v>240252</v>
      </c>
      <c r="C510" s="25">
        <v>18</v>
      </c>
      <c r="D510" s="25">
        <v>2</v>
      </c>
      <c r="E510" s="25">
        <v>0</v>
      </c>
      <c r="F510" s="25">
        <v>0</v>
      </c>
      <c r="G510" s="25">
        <v>27</v>
      </c>
      <c r="H510" s="25">
        <v>4.0999999999999996</v>
      </c>
      <c r="I510" s="25">
        <v>0.17</v>
      </c>
      <c r="J510" s="25">
        <v>0.94</v>
      </c>
      <c r="K510" s="26">
        <v>1</v>
      </c>
      <c r="L510" s="25">
        <f t="shared" si="56"/>
        <v>-0.37846082569415768</v>
      </c>
      <c r="M510" s="25">
        <f t="shared" si="62"/>
        <v>0.40649818076530031</v>
      </c>
      <c r="N510" s="25">
        <f t="shared" si="57"/>
        <v>0.40649818076530031</v>
      </c>
      <c r="O510" s="25">
        <f t="shared" si="58"/>
        <v>-0.90017582536640106</v>
      </c>
      <c r="P510" s="25">
        <f t="shared" si="59"/>
        <v>1</v>
      </c>
      <c r="Q510" s="25">
        <f t="shared" si="63"/>
        <v>498.04307081849663</v>
      </c>
      <c r="R510" s="25">
        <f t="shared" si="60"/>
        <v>7</v>
      </c>
      <c r="S510" s="26">
        <f t="shared" si="61"/>
        <v>14</v>
      </c>
    </row>
    <row r="511" spans="2:19" x14ac:dyDescent="0.3">
      <c r="B511" s="24">
        <v>240289</v>
      </c>
      <c r="C511" s="25">
        <v>29</v>
      </c>
      <c r="D511" s="25">
        <v>2</v>
      </c>
      <c r="E511" s="25">
        <v>8</v>
      </c>
      <c r="F511" s="25">
        <v>5</v>
      </c>
      <c r="G511" s="25">
        <v>35</v>
      </c>
      <c r="H511" s="25">
        <v>21.1</v>
      </c>
      <c r="I511" s="25">
        <v>1.65</v>
      </c>
      <c r="J511" s="25">
        <v>5.73</v>
      </c>
      <c r="K511" s="26">
        <v>1</v>
      </c>
      <c r="L511" s="25">
        <f t="shared" si="56"/>
        <v>-7.1954945523889646E-2</v>
      </c>
      <c r="M511" s="25">
        <f t="shared" si="62"/>
        <v>0.48201902101413246</v>
      </c>
      <c r="N511" s="25">
        <f t="shared" si="57"/>
        <v>0.48201902101413246</v>
      </c>
      <c r="O511" s="25">
        <f t="shared" si="58"/>
        <v>-0.72977170302524585</v>
      </c>
      <c r="P511" s="25">
        <f t="shared" si="59"/>
        <v>1</v>
      </c>
      <c r="Q511" s="25">
        <f t="shared" si="63"/>
        <v>489.19918080265177</v>
      </c>
      <c r="R511" s="25">
        <f t="shared" si="60"/>
        <v>7</v>
      </c>
      <c r="S511" s="26">
        <f t="shared" si="61"/>
        <v>15</v>
      </c>
    </row>
    <row r="512" spans="2:19" x14ac:dyDescent="0.3">
      <c r="B512" s="24">
        <v>240302</v>
      </c>
      <c r="C512" s="25">
        <v>38</v>
      </c>
      <c r="D512" s="25">
        <v>4</v>
      </c>
      <c r="E512" s="25">
        <v>6</v>
      </c>
      <c r="F512" s="25">
        <v>7</v>
      </c>
      <c r="G512" s="25">
        <v>25</v>
      </c>
      <c r="H512" s="25">
        <v>31.3</v>
      </c>
      <c r="I512" s="25">
        <v>2.21</v>
      </c>
      <c r="J512" s="25">
        <v>5.61</v>
      </c>
      <c r="K512" s="26">
        <v>1</v>
      </c>
      <c r="L512" s="25">
        <f t="shared" si="56"/>
        <v>1.2903662502989179</v>
      </c>
      <c r="M512" s="25">
        <f t="shared" si="62"/>
        <v>0.78420917438894966</v>
      </c>
      <c r="N512" s="25">
        <f t="shared" si="57"/>
        <v>0.78420917438894966</v>
      </c>
      <c r="O512" s="25">
        <f t="shared" si="58"/>
        <v>-0.24307949015006711</v>
      </c>
      <c r="P512" s="25">
        <f t="shared" si="59"/>
        <v>1</v>
      </c>
      <c r="Q512" s="25">
        <f t="shared" si="63"/>
        <v>449.89090125050006</v>
      </c>
      <c r="R512" s="25">
        <f t="shared" si="60"/>
        <v>8</v>
      </c>
      <c r="S512" s="26">
        <f t="shared" si="61"/>
        <v>16</v>
      </c>
    </row>
    <row r="513" spans="2:19" x14ac:dyDescent="0.3">
      <c r="B513" s="24">
        <v>240360</v>
      </c>
      <c r="C513" s="25">
        <v>27</v>
      </c>
      <c r="D513" s="25">
        <v>3</v>
      </c>
      <c r="E513" s="25">
        <v>3</v>
      </c>
      <c r="F513" s="25">
        <v>5</v>
      </c>
      <c r="G513" s="25">
        <v>26</v>
      </c>
      <c r="H513" s="25">
        <v>2</v>
      </c>
      <c r="I513" s="25">
        <v>0.04</v>
      </c>
      <c r="J513" s="25">
        <v>0.48</v>
      </c>
      <c r="K513" s="26">
        <v>1</v>
      </c>
      <c r="L513" s="25">
        <f t="shared" si="56"/>
        <v>-1.7504759436354798</v>
      </c>
      <c r="M513" s="25">
        <f t="shared" si="62"/>
        <v>0.14798717768483693</v>
      </c>
      <c r="N513" s="25">
        <f t="shared" si="57"/>
        <v>0.14798717768483693</v>
      </c>
      <c r="O513" s="25">
        <f t="shared" si="58"/>
        <v>-1.9106296462358618</v>
      </c>
      <c r="P513" s="25">
        <f t="shared" si="59"/>
        <v>0</v>
      </c>
      <c r="Q513" s="25">
        <f t="shared" si="63"/>
        <v>537.63105783006381</v>
      </c>
      <c r="R513" s="25">
        <f t="shared" si="60"/>
        <v>6</v>
      </c>
      <c r="S513" s="26">
        <f t="shared" si="61"/>
        <v>12</v>
      </c>
    </row>
    <row r="514" spans="2:19" x14ac:dyDescent="0.3">
      <c r="B514" s="24">
        <v>240403</v>
      </c>
      <c r="C514" s="25">
        <v>49</v>
      </c>
      <c r="D514" s="25">
        <v>2</v>
      </c>
      <c r="E514" s="25">
        <v>15</v>
      </c>
      <c r="F514" s="25">
        <v>11</v>
      </c>
      <c r="G514" s="25">
        <v>35</v>
      </c>
      <c r="H514" s="25">
        <v>3</v>
      </c>
      <c r="I514" s="25">
        <v>0.74</v>
      </c>
      <c r="J514" s="25">
        <v>0.32</v>
      </c>
      <c r="K514" s="26">
        <v>0</v>
      </c>
      <c r="L514" s="25">
        <f t="shared" si="56"/>
        <v>-4.6534237555137059</v>
      </c>
      <c r="M514" s="25">
        <f t="shared" si="62"/>
        <v>9.4389780412478669E-3</v>
      </c>
      <c r="N514" s="25">
        <f t="shared" si="57"/>
        <v>0.99056102195875217</v>
      </c>
      <c r="O514" s="25">
        <f t="shared" si="58"/>
        <v>-9.4838075137661324E-3</v>
      </c>
      <c r="P514" s="25">
        <f t="shared" si="59"/>
        <v>0</v>
      </c>
      <c r="Q514" s="25">
        <f t="shared" si="63"/>
        <v>621.39242369921692</v>
      </c>
      <c r="R514" s="25">
        <f t="shared" si="60"/>
        <v>3</v>
      </c>
      <c r="S514" s="26">
        <f t="shared" si="61"/>
        <v>5</v>
      </c>
    </row>
    <row r="515" spans="2:19" x14ac:dyDescent="0.3">
      <c r="B515" s="24">
        <v>240497</v>
      </c>
      <c r="C515" s="25">
        <v>24</v>
      </c>
      <c r="D515" s="25">
        <v>3</v>
      </c>
      <c r="E515" s="25">
        <v>1</v>
      </c>
      <c r="F515" s="25">
        <v>2</v>
      </c>
      <c r="G515" s="25">
        <v>23</v>
      </c>
      <c r="H515" s="25">
        <v>14.8</v>
      </c>
      <c r="I515" s="25">
        <v>0.8</v>
      </c>
      <c r="J515" s="25">
        <v>2.61</v>
      </c>
      <c r="K515" s="26">
        <v>1</v>
      </c>
      <c r="L515" s="25">
        <f t="shared" si="56"/>
        <v>0.55265570829504762</v>
      </c>
      <c r="M515" s="25">
        <f t="shared" si="62"/>
        <v>0.63475151586359502</v>
      </c>
      <c r="N515" s="25">
        <f t="shared" si="57"/>
        <v>0.63475151586359502</v>
      </c>
      <c r="O515" s="25">
        <f t="shared" si="58"/>
        <v>-0.45452167027322954</v>
      </c>
      <c r="P515" s="25">
        <f t="shared" si="59"/>
        <v>1</v>
      </c>
      <c r="Q515" s="25">
        <f t="shared" si="63"/>
        <v>471.17672745842549</v>
      </c>
      <c r="R515" s="25">
        <f t="shared" si="60"/>
        <v>7</v>
      </c>
      <c r="S515" s="26">
        <f t="shared" si="61"/>
        <v>15</v>
      </c>
    </row>
    <row r="516" spans="2:19" x14ac:dyDescent="0.3">
      <c r="B516" s="24">
        <v>240505</v>
      </c>
      <c r="C516" s="25">
        <v>27</v>
      </c>
      <c r="D516" s="25">
        <v>4</v>
      </c>
      <c r="E516" s="25">
        <v>3</v>
      </c>
      <c r="F516" s="25">
        <v>5</v>
      </c>
      <c r="G516" s="25">
        <v>36</v>
      </c>
      <c r="H516" s="25">
        <v>16.2</v>
      </c>
      <c r="I516" s="25">
        <v>1.39</v>
      </c>
      <c r="J516" s="25">
        <v>4.4400000000000004</v>
      </c>
      <c r="K516" s="26">
        <v>1</v>
      </c>
      <c r="L516" s="25">
        <f t="shared" si="56"/>
        <v>0.35207607105055433</v>
      </c>
      <c r="M516" s="25">
        <f t="shared" si="62"/>
        <v>0.58712093004344346</v>
      </c>
      <c r="N516" s="25">
        <f t="shared" si="57"/>
        <v>0.58712093004344346</v>
      </c>
      <c r="O516" s="25">
        <f t="shared" si="58"/>
        <v>-0.53252446666931996</v>
      </c>
      <c r="P516" s="25">
        <f t="shared" si="59"/>
        <v>1</v>
      </c>
      <c r="Q516" s="25">
        <f t="shared" si="63"/>
        <v>476.96423225351441</v>
      </c>
      <c r="R516" s="25">
        <f t="shared" si="60"/>
        <v>7</v>
      </c>
      <c r="S516" s="26">
        <f t="shared" si="61"/>
        <v>15</v>
      </c>
    </row>
    <row r="517" spans="2:19" x14ac:dyDescent="0.3">
      <c r="B517" s="24">
        <v>240612</v>
      </c>
      <c r="C517" s="25">
        <v>26</v>
      </c>
      <c r="D517" s="25">
        <v>2</v>
      </c>
      <c r="E517" s="25">
        <v>2</v>
      </c>
      <c r="F517" s="25">
        <v>4</v>
      </c>
      <c r="G517" s="25">
        <v>26</v>
      </c>
      <c r="H517" s="25">
        <v>14.5</v>
      </c>
      <c r="I517" s="25">
        <v>0.56000000000000005</v>
      </c>
      <c r="J517" s="25">
        <v>3.21</v>
      </c>
      <c r="K517" s="26">
        <v>0</v>
      </c>
      <c r="L517" s="25">
        <f t="shared" ref="L517:L580" si="64">$Y$4+SUMPRODUCT($Z$4:$AG$4,C517:J517)</f>
        <v>0.14364509181779289</v>
      </c>
      <c r="M517" s="25">
        <f t="shared" si="62"/>
        <v>0.53584965092996828</v>
      </c>
      <c r="N517" s="25">
        <f t="shared" ref="N517:N580" si="65">IF(K517=1,M517,(1-M517))</f>
        <v>0.46415034907003172</v>
      </c>
      <c r="O517" s="25">
        <f t="shared" ref="O517:O580" si="66">LN(N517)</f>
        <v>-0.76754675107349923</v>
      </c>
      <c r="P517" s="25">
        <f t="shared" ref="P517:P580" si="67">IF(M517&gt;0.4,1,0)</f>
        <v>1</v>
      </c>
      <c r="Q517" s="25">
        <f t="shared" si="63"/>
        <v>482.97827888519856</v>
      </c>
      <c r="R517" s="25">
        <f t="shared" ref="R517:R580" si="68">VLOOKUP(M517,$U$9:$W$16,3,TRUE)</f>
        <v>7</v>
      </c>
      <c r="S517" s="26">
        <f t="shared" ref="S517:S580" si="69">VLOOKUP(M517,$U$21:$W$37,3,TRUE)</f>
        <v>15</v>
      </c>
    </row>
    <row r="518" spans="2:19" x14ac:dyDescent="0.3">
      <c r="B518" s="24">
        <v>240623</v>
      </c>
      <c r="C518" s="25">
        <v>32</v>
      </c>
      <c r="D518" s="25">
        <v>4</v>
      </c>
      <c r="E518" s="25">
        <v>0</v>
      </c>
      <c r="F518" s="25">
        <v>6</v>
      </c>
      <c r="G518" s="25">
        <v>37</v>
      </c>
      <c r="H518" s="25">
        <v>3.1</v>
      </c>
      <c r="I518" s="25">
        <v>0.59</v>
      </c>
      <c r="J518" s="25">
        <v>0.55000000000000004</v>
      </c>
      <c r="K518" s="26">
        <v>1</v>
      </c>
      <c r="L518" s="25">
        <f t="shared" si="64"/>
        <v>-0.89141476260212582</v>
      </c>
      <c r="M518" s="25">
        <f t="shared" ref="M518:M581" si="70">EXP(L518)/(1+EXP(L518))</f>
        <v>0.29081795640223324</v>
      </c>
      <c r="N518" s="25">
        <f t="shared" si="65"/>
        <v>0.29081795640223324</v>
      </c>
      <c r="O518" s="25">
        <f t="shared" si="66"/>
        <v>-1.235057786940835</v>
      </c>
      <c r="P518" s="25">
        <f t="shared" si="67"/>
        <v>0</v>
      </c>
      <c r="Q518" s="25">
        <f t="shared" si="63"/>
        <v>512.84379241864542</v>
      </c>
      <c r="R518" s="25">
        <f t="shared" si="68"/>
        <v>7</v>
      </c>
      <c r="S518" s="26">
        <f t="shared" si="69"/>
        <v>13</v>
      </c>
    </row>
    <row r="519" spans="2:19" x14ac:dyDescent="0.3">
      <c r="B519" s="24">
        <v>240675</v>
      </c>
      <c r="C519" s="25">
        <v>53</v>
      </c>
      <c r="D519" s="25">
        <v>5</v>
      </c>
      <c r="E519" s="25">
        <v>16</v>
      </c>
      <c r="F519" s="25">
        <v>13</v>
      </c>
      <c r="G519" s="25">
        <v>51</v>
      </c>
      <c r="H519" s="25">
        <v>4.0999999999999996</v>
      </c>
      <c r="I519" s="25">
        <v>0.95</v>
      </c>
      <c r="J519" s="25">
        <v>1.1399999999999999</v>
      </c>
      <c r="K519" s="26">
        <v>0</v>
      </c>
      <c r="L519" s="25">
        <f t="shared" si="64"/>
        <v>-4.9582599816769806</v>
      </c>
      <c r="M519" s="25">
        <f t="shared" si="70"/>
        <v>6.9761327612391042E-3</v>
      </c>
      <c r="N519" s="25">
        <f t="shared" si="65"/>
        <v>0.9930238672387609</v>
      </c>
      <c r="O519" s="25">
        <f t="shared" si="66"/>
        <v>-7.0005797386410509E-3</v>
      </c>
      <c r="P519" s="25">
        <f t="shared" si="67"/>
        <v>0</v>
      </c>
      <c r="Q519" s="25">
        <f t="shared" si="63"/>
        <v>630.18813768530936</v>
      </c>
      <c r="R519" s="25">
        <f t="shared" si="68"/>
        <v>3</v>
      </c>
      <c r="S519" s="26">
        <f t="shared" si="69"/>
        <v>4</v>
      </c>
    </row>
    <row r="520" spans="2:19" x14ac:dyDescent="0.3">
      <c r="B520" s="24">
        <v>240676</v>
      </c>
      <c r="C520" s="25">
        <v>19</v>
      </c>
      <c r="D520" s="25">
        <v>2</v>
      </c>
      <c r="E520" s="25">
        <v>0</v>
      </c>
      <c r="F520" s="25">
        <v>0</v>
      </c>
      <c r="G520" s="25">
        <v>17</v>
      </c>
      <c r="H520" s="25">
        <v>14.1</v>
      </c>
      <c r="I520" s="25">
        <v>1.04</v>
      </c>
      <c r="J520" s="25">
        <v>1.36</v>
      </c>
      <c r="K520" s="26">
        <v>1</v>
      </c>
      <c r="L520" s="25">
        <f t="shared" si="64"/>
        <v>1.0166750533652853</v>
      </c>
      <c r="M520" s="25">
        <f t="shared" si="70"/>
        <v>0.73432443437305861</v>
      </c>
      <c r="N520" s="25">
        <f t="shared" si="65"/>
        <v>0.73432443437305861</v>
      </c>
      <c r="O520" s="25">
        <f t="shared" si="66"/>
        <v>-0.30880433934204227</v>
      </c>
      <c r="P520" s="25">
        <f t="shared" si="67"/>
        <v>1</v>
      </c>
      <c r="Q520" s="25">
        <f t="shared" si="63"/>
        <v>457.78795967770338</v>
      </c>
      <c r="R520" s="25">
        <f t="shared" si="68"/>
        <v>8</v>
      </c>
      <c r="S520" s="26">
        <f t="shared" si="69"/>
        <v>16</v>
      </c>
    </row>
    <row r="521" spans="2:19" x14ac:dyDescent="0.3">
      <c r="B521" s="24">
        <v>240680</v>
      </c>
      <c r="C521" s="25">
        <v>18</v>
      </c>
      <c r="D521" s="25">
        <v>2</v>
      </c>
      <c r="E521" s="25">
        <v>0</v>
      </c>
      <c r="F521" s="25">
        <v>0</v>
      </c>
      <c r="G521" s="25">
        <v>19</v>
      </c>
      <c r="H521" s="25">
        <v>6.4</v>
      </c>
      <c r="I521" s="25">
        <v>0.4</v>
      </c>
      <c r="J521" s="25">
        <v>0.82</v>
      </c>
      <c r="K521" s="26">
        <v>1</v>
      </c>
      <c r="L521" s="25">
        <f t="shared" si="64"/>
        <v>-4.5152276849609485E-2</v>
      </c>
      <c r="M521" s="25">
        <f t="shared" si="70"/>
        <v>0.48871384817202534</v>
      </c>
      <c r="N521" s="25">
        <f t="shared" si="65"/>
        <v>0.48871384817202534</v>
      </c>
      <c r="O521" s="25">
        <f t="shared" si="66"/>
        <v>-0.71597813835279911</v>
      </c>
      <c r="P521" s="25">
        <f t="shared" si="67"/>
        <v>1</v>
      </c>
      <c r="Q521" s="25">
        <f t="shared" ref="Q521:Q584" si="71">28.8539*LN((1-M521)/(M521))+487.123</f>
        <v>488.42581928099094</v>
      </c>
      <c r="R521" s="25">
        <f t="shared" si="68"/>
        <v>7</v>
      </c>
      <c r="S521" s="26">
        <f t="shared" si="69"/>
        <v>15</v>
      </c>
    </row>
    <row r="522" spans="2:19" x14ac:dyDescent="0.3">
      <c r="B522" s="24">
        <v>240694</v>
      </c>
      <c r="C522" s="25">
        <v>19</v>
      </c>
      <c r="D522" s="25">
        <v>2</v>
      </c>
      <c r="E522" s="25">
        <v>1</v>
      </c>
      <c r="F522" s="25">
        <v>0</v>
      </c>
      <c r="G522" s="25">
        <v>21</v>
      </c>
      <c r="H522" s="25">
        <v>7.9</v>
      </c>
      <c r="I522" s="25">
        <v>1.1000000000000001</v>
      </c>
      <c r="J522" s="25">
        <v>0.55000000000000004</v>
      </c>
      <c r="K522" s="26">
        <v>1</v>
      </c>
      <c r="L522" s="25">
        <f t="shared" si="64"/>
        <v>0.18170513327524301</v>
      </c>
      <c r="M522" s="25">
        <f t="shared" si="70"/>
        <v>0.54530170889965268</v>
      </c>
      <c r="N522" s="25">
        <f t="shared" si="65"/>
        <v>0.54530170889965268</v>
      </c>
      <c r="O522" s="25">
        <f t="shared" si="66"/>
        <v>-0.60641604318440512</v>
      </c>
      <c r="P522" s="25">
        <f t="shared" si="67"/>
        <v>1</v>
      </c>
      <c r="Q522" s="25">
        <f t="shared" si="71"/>
        <v>481.88009825498943</v>
      </c>
      <c r="R522" s="25">
        <f t="shared" si="68"/>
        <v>7</v>
      </c>
      <c r="S522" s="26">
        <f t="shared" si="69"/>
        <v>15</v>
      </c>
    </row>
    <row r="523" spans="2:19" x14ac:dyDescent="0.3">
      <c r="B523" s="24">
        <v>240697</v>
      </c>
      <c r="C523" s="25">
        <v>51</v>
      </c>
      <c r="D523" s="25">
        <v>2</v>
      </c>
      <c r="E523" s="25">
        <v>25</v>
      </c>
      <c r="F523" s="25">
        <v>16</v>
      </c>
      <c r="G523" s="25">
        <v>96</v>
      </c>
      <c r="H523" s="25">
        <v>21.5</v>
      </c>
      <c r="I523" s="25">
        <v>7.31</v>
      </c>
      <c r="J523" s="25">
        <v>13.33</v>
      </c>
      <c r="K523" s="26">
        <v>0</v>
      </c>
      <c r="L523" s="25">
        <f t="shared" si="64"/>
        <v>-1.8258992044431461</v>
      </c>
      <c r="M523" s="25">
        <f t="shared" si="70"/>
        <v>0.1387275197202216</v>
      </c>
      <c r="N523" s="25">
        <f t="shared" si="65"/>
        <v>0.86127248027977843</v>
      </c>
      <c r="O523" s="25">
        <f t="shared" si="66"/>
        <v>-0.14934435507354968</v>
      </c>
      <c r="P523" s="25">
        <f t="shared" si="67"/>
        <v>0</v>
      </c>
      <c r="Q523" s="25">
        <f t="shared" si="71"/>
        <v>539.80731305508209</v>
      </c>
      <c r="R523" s="25">
        <f t="shared" si="68"/>
        <v>6</v>
      </c>
      <c r="S523" s="26">
        <f t="shared" si="69"/>
        <v>12</v>
      </c>
    </row>
    <row r="524" spans="2:19" x14ac:dyDescent="0.3">
      <c r="B524" s="24">
        <v>240705</v>
      </c>
      <c r="C524" s="25">
        <v>30</v>
      </c>
      <c r="D524" s="25">
        <v>5</v>
      </c>
      <c r="E524" s="25">
        <v>3</v>
      </c>
      <c r="F524" s="25">
        <v>2</v>
      </c>
      <c r="G524" s="25">
        <v>40</v>
      </c>
      <c r="H524" s="25">
        <v>16.899999999999999</v>
      </c>
      <c r="I524" s="25">
        <v>2.2200000000000002</v>
      </c>
      <c r="J524" s="25">
        <v>4.54</v>
      </c>
      <c r="K524" s="26">
        <v>1</v>
      </c>
      <c r="L524" s="25">
        <f t="shared" si="64"/>
        <v>0.79792253810970548</v>
      </c>
      <c r="M524" s="25">
        <f t="shared" si="70"/>
        <v>0.6895299165910671</v>
      </c>
      <c r="N524" s="25">
        <f t="shared" si="65"/>
        <v>0.6895299165910671</v>
      </c>
      <c r="O524" s="25">
        <f t="shared" si="66"/>
        <v>-0.37174519387051647</v>
      </c>
      <c r="P524" s="25">
        <f t="shared" si="67"/>
        <v>1</v>
      </c>
      <c r="Q524" s="25">
        <f t="shared" si="71"/>
        <v>464.09982287763637</v>
      </c>
      <c r="R524" s="25">
        <f t="shared" si="68"/>
        <v>8</v>
      </c>
      <c r="S524" s="26">
        <f t="shared" si="69"/>
        <v>15</v>
      </c>
    </row>
    <row r="525" spans="2:19" x14ac:dyDescent="0.3">
      <c r="B525" s="24">
        <v>240722</v>
      </c>
      <c r="C525" s="25">
        <v>63</v>
      </c>
      <c r="D525" s="25">
        <v>1</v>
      </c>
      <c r="E525" s="25">
        <v>22</v>
      </c>
      <c r="F525" s="25">
        <v>21</v>
      </c>
      <c r="G525" s="25">
        <v>61</v>
      </c>
      <c r="H525" s="25">
        <v>13.5</v>
      </c>
      <c r="I525" s="25">
        <v>1.83</v>
      </c>
      <c r="J525" s="25">
        <v>6.41</v>
      </c>
      <c r="K525" s="26">
        <v>0</v>
      </c>
      <c r="L525" s="25">
        <f t="shared" si="64"/>
        <v>-5.0905895765588491</v>
      </c>
      <c r="M525" s="25">
        <f t="shared" si="70"/>
        <v>6.1167454937134094E-3</v>
      </c>
      <c r="N525" s="25">
        <f t="shared" si="65"/>
        <v>0.99388325450628656</v>
      </c>
      <c r="O525" s="25">
        <f t="shared" si="66"/>
        <v>-6.135529418259995E-3</v>
      </c>
      <c r="P525" s="25">
        <f t="shared" si="67"/>
        <v>0</v>
      </c>
      <c r="Q525" s="25">
        <f t="shared" si="71"/>
        <v>634.00636258307134</v>
      </c>
      <c r="R525" s="25">
        <f t="shared" si="68"/>
        <v>3</v>
      </c>
      <c r="S525" s="26">
        <f t="shared" si="69"/>
        <v>4</v>
      </c>
    </row>
    <row r="526" spans="2:19" x14ac:dyDescent="0.3">
      <c r="B526" s="24">
        <v>240764</v>
      </c>
      <c r="C526" s="25">
        <v>30</v>
      </c>
      <c r="D526" s="25">
        <v>4</v>
      </c>
      <c r="E526" s="25">
        <v>1</v>
      </c>
      <c r="F526" s="25">
        <v>4</v>
      </c>
      <c r="G526" s="25">
        <v>73</v>
      </c>
      <c r="H526" s="25">
        <v>29.8</v>
      </c>
      <c r="I526" s="25">
        <v>7.05</v>
      </c>
      <c r="J526" s="25">
        <v>14.71</v>
      </c>
      <c r="K526" s="26">
        <v>1</v>
      </c>
      <c r="L526" s="25">
        <f t="shared" si="64"/>
        <v>5.0749389704094661</v>
      </c>
      <c r="M526" s="25">
        <f t="shared" si="70"/>
        <v>0.9937873701041785</v>
      </c>
      <c r="N526" s="25">
        <f t="shared" si="65"/>
        <v>0.9937873701041785</v>
      </c>
      <c r="O526" s="25">
        <f t="shared" si="66"/>
        <v>-6.2320085843705535E-3</v>
      </c>
      <c r="P526" s="25">
        <f t="shared" si="67"/>
        <v>1</v>
      </c>
      <c r="Q526" s="25">
        <f t="shared" si="71"/>
        <v>340.69121844170246</v>
      </c>
      <c r="R526" s="25">
        <f t="shared" si="68"/>
        <v>8</v>
      </c>
      <c r="S526" s="26">
        <f t="shared" si="69"/>
        <v>17</v>
      </c>
    </row>
    <row r="527" spans="2:19" x14ac:dyDescent="0.3">
      <c r="B527" s="24">
        <v>240789</v>
      </c>
      <c r="C527" s="25">
        <v>27</v>
      </c>
      <c r="D527" s="25">
        <v>4</v>
      </c>
      <c r="E527" s="25">
        <v>3</v>
      </c>
      <c r="F527" s="25">
        <v>3</v>
      </c>
      <c r="G527" s="25">
        <v>43</v>
      </c>
      <c r="H527" s="25">
        <v>4.5</v>
      </c>
      <c r="I527" s="25">
        <v>0.57999999999999996</v>
      </c>
      <c r="J527" s="25">
        <v>1.36</v>
      </c>
      <c r="K527" s="26">
        <v>0</v>
      </c>
      <c r="L527" s="25">
        <f t="shared" si="64"/>
        <v>-1.2079851833056721</v>
      </c>
      <c r="M527" s="25">
        <f t="shared" si="70"/>
        <v>0.23005774368824108</v>
      </c>
      <c r="N527" s="25">
        <f t="shared" si="65"/>
        <v>0.76994225631175894</v>
      </c>
      <c r="O527" s="25">
        <f t="shared" si="66"/>
        <v>-0.26143975874934383</v>
      </c>
      <c r="P527" s="25">
        <f t="shared" si="67"/>
        <v>0</v>
      </c>
      <c r="Q527" s="25">
        <f t="shared" si="71"/>
        <v>521.9780836805835</v>
      </c>
      <c r="R527" s="25">
        <f t="shared" si="68"/>
        <v>6</v>
      </c>
      <c r="S527" s="26">
        <f t="shared" si="69"/>
        <v>13</v>
      </c>
    </row>
    <row r="528" spans="2:19" x14ac:dyDescent="0.3">
      <c r="B528" s="24">
        <v>240792</v>
      </c>
      <c r="C528" s="25">
        <v>42</v>
      </c>
      <c r="D528" s="25">
        <v>2</v>
      </c>
      <c r="E528" s="25">
        <v>15</v>
      </c>
      <c r="F528" s="25">
        <v>9</v>
      </c>
      <c r="G528" s="25">
        <v>46</v>
      </c>
      <c r="H528" s="25">
        <v>13.1</v>
      </c>
      <c r="I528" s="25">
        <v>1.06</v>
      </c>
      <c r="J528" s="25">
        <v>4.97</v>
      </c>
      <c r="K528" s="26">
        <v>0</v>
      </c>
      <c r="L528" s="25">
        <f t="shared" si="64"/>
        <v>-3.1599296325761776</v>
      </c>
      <c r="M528" s="25">
        <f t="shared" si="70"/>
        <v>4.0701800990300387E-2</v>
      </c>
      <c r="N528" s="25">
        <f t="shared" si="65"/>
        <v>0.95929819900969959</v>
      </c>
      <c r="O528" s="25">
        <f t="shared" si="66"/>
        <v>-4.1553304560498265E-2</v>
      </c>
      <c r="P528" s="25">
        <f t="shared" si="67"/>
        <v>0</v>
      </c>
      <c r="Q528" s="25">
        <f t="shared" si="71"/>
        <v>578.29929362538974</v>
      </c>
      <c r="R528" s="25">
        <f t="shared" si="68"/>
        <v>5</v>
      </c>
      <c r="S528" s="26">
        <f t="shared" si="69"/>
        <v>8</v>
      </c>
    </row>
    <row r="529" spans="2:19" x14ac:dyDescent="0.3">
      <c r="B529" s="24">
        <v>240895</v>
      </c>
      <c r="C529" s="25">
        <v>24</v>
      </c>
      <c r="D529" s="25">
        <v>4</v>
      </c>
      <c r="E529" s="25">
        <v>0</v>
      </c>
      <c r="F529" s="25">
        <v>3</v>
      </c>
      <c r="G529" s="25">
        <v>44</v>
      </c>
      <c r="H529" s="25">
        <v>13.5</v>
      </c>
      <c r="I529" s="25">
        <v>2.38</v>
      </c>
      <c r="J529" s="25">
        <v>3.56</v>
      </c>
      <c r="K529" s="26">
        <v>1</v>
      </c>
      <c r="L529" s="25">
        <f t="shared" si="64"/>
        <v>1.3404075653805383</v>
      </c>
      <c r="M529" s="25">
        <f t="shared" si="70"/>
        <v>0.79255695742826726</v>
      </c>
      <c r="N529" s="25">
        <f t="shared" si="65"/>
        <v>0.79255695742826726</v>
      </c>
      <c r="O529" s="25">
        <f t="shared" si="66"/>
        <v>-0.23249090524132113</v>
      </c>
      <c r="P529" s="25">
        <f t="shared" si="67"/>
        <v>1</v>
      </c>
      <c r="Q529" s="25">
        <f t="shared" si="71"/>
        <v>448.44701414926647</v>
      </c>
      <c r="R529" s="25">
        <f t="shared" si="68"/>
        <v>8</v>
      </c>
      <c r="S529" s="26">
        <f t="shared" si="69"/>
        <v>16</v>
      </c>
    </row>
    <row r="530" spans="2:19" x14ac:dyDescent="0.3">
      <c r="B530" s="24">
        <v>241000</v>
      </c>
      <c r="C530" s="25">
        <v>20</v>
      </c>
      <c r="D530" s="25">
        <v>2</v>
      </c>
      <c r="E530" s="25">
        <v>0</v>
      </c>
      <c r="F530" s="25">
        <v>0</v>
      </c>
      <c r="G530" s="25">
        <v>23</v>
      </c>
      <c r="H530" s="25">
        <v>23.6</v>
      </c>
      <c r="I530" s="25">
        <v>3.54</v>
      </c>
      <c r="J530" s="25">
        <v>1.89</v>
      </c>
      <c r="K530" s="26">
        <v>1</v>
      </c>
      <c r="L530" s="25">
        <f t="shared" si="64"/>
        <v>3.1404786743145858</v>
      </c>
      <c r="M530" s="25">
        <f t="shared" si="70"/>
        <v>0.95853191145432992</v>
      </c>
      <c r="N530" s="25">
        <f t="shared" si="65"/>
        <v>0.95853191145432992</v>
      </c>
      <c r="O530" s="25">
        <f t="shared" si="66"/>
        <v>-4.235242393188305E-2</v>
      </c>
      <c r="P530" s="25">
        <f t="shared" si="67"/>
        <v>1</v>
      </c>
      <c r="Q530" s="25">
        <f t="shared" si="71"/>
        <v>396.50794237919439</v>
      </c>
      <c r="R530" s="25">
        <f t="shared" si="68"/>
        <v>8</v>
      </c>
      <c r="S530" s="26">
        <f t="shared" si="69"/>
        <v>17</v>
      </c>
    </row>
    <row r="531" spans="2:19" x14ac:dyDescent="0.3">
      <c r="B531" s="24">
        <v>241089</v>
      </c>
      <c r="C531" s="25">
        <v>28</v>
      </c>
      <c r="D531" s="25">
        <v>3</v>
      </c>
      <c r="E531" s="25">
        <v>4</v>
      </c>
      <c r="F531" s="25">
        <v>5</v>
      </c>
      <c r="G531" s="25">
        <v>20</v>
      </c>
      <c r="H531" s="25">
        <v>6.2</v>
      </c>
      <c r="I531" s="25">
        <v>0.56999999999999995</v>
      </c>
      <c r="J531" s="25">
        <v>0.67</v>
      </c>
      <c r="K531" s="26">
        <v>0</v>
      </c>
      <c r="L531" s="25">
        <f t="shared" si="64"/>
        <v>-1.3253689970325255</v>
      </c>
      <c r="M531" s="25">
        <f t="shared" si="70"/>
        <v>0.20992641916482854</v>
      </c>
      <c r="N531" s="25">
        <f t="shared" si="65"/>
        <v>0.79007358083517143</v>
      </c>
      <c r="O531" s="25">
        <f t="shared" si="66"/>
        <v>-0.23562919756067274</v>
      </c>
      <c r="P531" s="25">
        <f t="shared" si="67"/>
        <v>0</v>
      </c>
      <c r="Q531" s="25">
        <f t="shared" si="71"/>
        <v>525.36506450347679</v>
      </c>
      <c r="R531" s="25">
        <f t="shared" si="68"/>
        <v>6</v>
      </c>
      <c r="S531" s="26">
        <f t="shared" si="69"/>
        <v>13</v>
      </c>
    </row>
    <row r="532" spans="2:19" x14ac:dyDescent="0.3">
      <c r="B532" s="24">
        <v>241132</v>
      </c>
      <c r="C532" s="25">
        <v>25</v>
      </c>
      <c r="D532" s="25">
        <v>2</v>
      </c>
      <c r="E532" s="25">
        <v>3</v>
      </c>
      <c r="F532" s="25">
        <v>2</v>
      </c>
      <c r="G532" s="25">
        <v>23</v>
      </c>
      <c r="H532" s="25">
        <v>5</v>
      </c>
      <c r="I532" s="25">
        <v>0.28000000000000003</v>
      </c>
      <c r="J532" s="25">
        <v>0.87</v>
      </c>
      <c r="K532" s="26">
        <v>0</v>
      </c>
      <c r="L532" s="25">
        <f t="shared" si="64"/>
        <v>-1.1344124940492504</v>
      </c>
      <c r="M532" s="25">
        <f t="shared" si="70"/>
        <v>0.24334771030505895</v>
      </c>
      <c r="N532" s="25">
        <f t="shared" si="65"/>
        <v>0.75665228969494103</v>
      </c>
      <c r="O532" s="25">
        <f t="shared" si="66"/>
        <v>-0.27885145775846998</v>
      </c>
      <c r="P532" s="25">
        <f t="shared" si="67"/>
        <v>0</v>
      </c>
      <c r="Q532" s="25">
        <f t="shared" si="71"/>
        <v>519.8552246620477</v>
      </c>
      <c r="R532" s="25">
        <f t="shared" si="68"/>
        <v>6</v>
      </c>
      <c r="S532" s="26">
        <f t="shared" si="69"/>
        <v>13</v>
      </c>
    </row>
    <row r="533" spans="2:19" x14ac:dyDescent="0.3">
      <c r="B533" s="24">
        <v>241163</v>
      </c>
      <c r="C533" s="25">
        <v>24</v>
      </c>
      <c r="D533" s="25">
        <v>4</v>
      </c>
      <c r="E533" s="25">
        <v>0</v>
      </c>
      <c r="F533" s="25">
        <v>3</v>
      </c>
      <c r="G533" s="25">
        <v>49</v>
      </c>
      <c r="H533" s="25">
        <v>5</v>
      </c>
      <c r="I533" s="25">
        <v>0.87</v>
      </c>
      <c r="J533" s="25">
        <v>1.58</v>
      </c>
      <c r="K533" s="26">
        <v>1</v>
      </c>
      <c r="L533" s="25">
        <f t="shared" si="64"/>
        <v>-0.27040808447902343</v>
      </c>
      <c r="M533" s="25">
        <f t="shared" si="70"/>
        <v>0.4328069136342047</v>
      </c>
      <c r="N533" s="25">
        <f t="shared" si="65"/>
        <v>0.4328069136342047</v>
      </c>
      <c r="O533" s="25">
        <f t="shared" si="66"/>
        <v>-0.83746357737642396</v>
      </c>
      <c r="P533" s="25">
        <f t="shared" si="67"/>
        <v>1</v>
      </c>
      <c r="Q533" s="25">
        <f t="shared" si="71"/>
        <v>494.92532782874929</v>
      </c>
      <c r="R533" s="25">
        <f t="shared" si="68"/>
        <v>7</v>
      </c>
      <c r="S533" s="26">
        <f t="shared" si="69"/>
        <v>14</v>
      </c>
    </row>
    <row r="534" spans="2:19" x14ac:dyDescent="0.3">
      <c r="B534" s="24">
        <v>241191</v>
      </c>
      <c r="C534" s="25">
        <v>36</v>
      </c>
      <c r="D534" s="25">
        <v>3</v>
      </c>
      <c r="E534" s="25">
        <v>9</v>
      </c>
      <c r="F534" s="25">
        <v>7</v>
      </c>
      <c r="G534" s="25">
        <v>76</v>
      </c>
      <c r="H534" s="25">
        <v>5.7</v>
      </c>
      <c r="I534" s="25">
        <v>0.28999999999999998</v>
      </c>
      <c r="J534" s="25">
        <v>4.04</v>
      </c>
      <c r="K534" s="26">
        <v>0</v>
      </c>
      <c r="L534" s="25">
        <f t="shared" si="64"/>
        <v>-2.7798872004512383</v>
      </c>
      <c r="M534" s="25">
        <f t="shared" si="70"/>
        <v>5.842076008552622E-2</v>
      </c>
      <c r="N534" s="25">
        <f t="shared" si="65"/>
        <v>0.94157923991447379</v>
      </c>
      <c r="O534" s="25">
        <f t="shared" si="66"/>
        <v>-6.0196770948543886E-2</v>
      </c>
      <c r="P534" s="25">
        <f t="shared" si="67"/>
        <v>0</v>
      </c>
      <c r="Q534" s="25">
        <f t="shared" si="71"/>
        <v>567.33358729309998</v>
      </c>
      <c r="R534" s="25">
        <f t="shared" si="68"/>
        <v>5</v>
      </c>
      <c r="S534" s="26">
        <f t="shared" si="69"/>
        <v>9</v>
      </c>
    </row>
    <row r="535" spans="2:19" x14ac:dyDescent="0.3">
      <c r="B535" s="24">
        <v>241279</v>
      </c>
      <c r="C535" s="25">
        <v>44</v>
      </c>
      <c r="D535" s="25">
        <v>2</v>
      </c>
      <c r="E535" s="25">
        <v>11</v>
      </c>
      <c r="F535" s="25">
        <v>12</v>
      </c>
      <c r="G535" s="25">
        <v>50</v>
      </c>
      <c r="H535" s="25">
        <v>22</v>
      </c>
      <c r="I535" s="25">
        <v>2.11</v>
      </c>
      <c r="J535" s="25">
        <v>8.89</v>
      </c>
      <c r="K535" s="26">
        <v>0</v>
      </c>
      <c r="L535" s="25">
        <f t="shared" si="64"/>
        <v>-0.91237428497231732</v>
      </c>
      <c r="M535" s="25">
        <f t="shared" si="70"/>
        <v>0.28651423091461914</v>
      </c>
      <c r="N535" s="25">
        <f t="shared" si="65"/>
        <v>0.71348576908538086</v>
      </c>
      <c r="O535" s="25">
        <f t="shared" si="66"/>
        <v>-0.3375927874843635</v>
      </c>
      <c r="P535" s="25">
        <f t="shared" si="67"/>
        <v>0</v>
      </c>
      <c r="Q535" s="25">
        <f t="shared" si="71"/>
        <v>513.44855638116269</v>
      </c>
      <c r="R535" s="25">
        <f t="shared" si="68"/>
        <v>7</v>
      </c>
      <c r="S535" s="26">
        <f t="shared" si="69"/>
        <v>13</v>
      </c>
    </row>
    <row r="536" spans="2:19" x14ac:dyDescent="0.3">
      <c r="B536" s="24">
        <v>241350</v>
      </c>
      <c r="C536" s="25">
        <v>23</v>
      </c>
      <c r="D536" s="25">
        <v>3</v>
      </c>
      <c r="E536" s="25">
        <v>0</v>
      </c>
      <c r="F536" s="25">
        <v>1</v>
      </c>
      <c r="G536" s="25">
        <v>45</v>
      </c>
      <c r="H536" s="25">
        <v>15.8</v>
      </c>
      <c r="I536" s="25">
        <v>1.1200000000000001</v>
      </c>
      <c r="J536" s="25">
        <v>5.99</v>
      </c>
      <c r="K536" s="26">
        <v>0</v>
      </c>
      <c r="L536" s="25">
        <f t="shared" si="64"/>
        <v>1.1741389845880548</v>
      </c>
      <c r="M536" s="25">
        <f t="shared" si="70"/>
        <v>0.76389234162801156</v>
      </c>
      <c r="N536" s="25">
        <f t="shared" si="65"/>
        <v>0.23610765837198844</v>
      </c>
      <c r="O536" s="25">
        <f t="shared" si="66"/>
        <v>-1.4434673984324577</v>
      </c>
      <c r="P536" s="25">
        <f t="shared" si="67"/>
        <v>1</v>
      </c>
      <c r="Q536" s="25">
        <f t="shared" si="71"/>
        <v>453.24451115259467</v>
      </c>
      <c r="R536" s="25">
        <f t="shared" si="68"/>
        <v>8</v>
      </c>
      <c r="S536" s="26">
        <f t="shared" si="69"/>
        <v>16</v>
      </c>
    </row>
    <row r="537" spans="2:19" x14ac:dyDescent="0.3">
      <c r="B537" s="24">
        <v>241424</v>
      </c>
      <c r="C537" s="25">
        <v>32</v>
      </c>
      <c r="D537" s="25">
        <v>3</v>
      </c>
      <c r="E537" s="25">
        <v>1</v>
      </c>
      <c r="F537" s="25">
        <v>4</v>
      </c>
      <c r="G537" s="25">
        <v>26</v>
      </c>
      <c r="H537" s="25">
        <v>3.3</v>
      </c>
      <c r="I537" s="25">
        <v>0.24</v>
      </c>
      <c r="J537" s="25">
        <v>0.62</v>
      </c>
      <c r="K537" s="26">
        <v>0</v>
      </c>
      <c r="L537" s="25">
        <f t="shared" si="64"/>
        <v>-1.1456312281987693</v>
      </c>
      <c r="M537" s="25">
        <f t="shared" si="70"/>
        <v>0.24128796151539869</v>
      </c>
      <c r="N537" s="25">
        <f t="shared" si="65"/>
        <v>0.75871203848460134</v>
      </c>
      <c r="O537" s="25">
        <f t="shared" si="66"/>
        <v>-0.2761329695113206</v>
      </c>
      <c r="P537" s="25">
        <f t="shared" si="67"/>
        <v>0</v>
      </c>
      <c r="Q537" s="25">
        <f t="shared" si="71"/>
        <v>520.17892889532447</v>
      </c>
      <c r="R537" s="25">
        <f t="shared" si="68"/>
        <v>6</v>
      </c>
      <c r="S537" s="26">
        <f t="shared" si="69"/>
        <v>13</v>
      </c>
    </row>
    <row r="538" spans="2:19" x14ac:dyDescent="0.3">
      <c r="B538" s="24">
        <v>241525</v>
      </c>
      <c r="C538" s="25">
        <v>32</v>
      </c>
      <c r="D538" s="25">
        <v>2</v>
      </c>
      <c r="E538" s="25">
        <v>9</v>
      </c>
      <c r="F538" s="25">
        <v>7</v>
      </c>
      <c r="G538" s="25">
        <v>53</v>
      </c>
      <c r="H538" s="25">
        <v>14.9</v>
      </c>
      <c r="I538" s="25">
        <v>5.81</v>
      </c>
      <c r="J538" s="25">
        <v>2.08</v>
      </c>
      <c r="K538" s="26">
        <v>1</v>
      </c>
      <c r="L538" s="25">
        <f t="shared" si="64"/>
        <v>0.83709771189109516</v>
      </c>
      <c r="M538" s="25">
        <f t="shared" si="70"/>
        <v>0.69785360872358915</v>
      </c>
      <c r="N538" s="25">
        <f t="shared" si="65"/>
        <v>0.69785360872358915</v>
      </c>
      <c r="O538" s="25">
        <f t="shared" si="66"/>
        <v>-0.35974592783846254</v>
      </c>
      <c r="P538" s="25">
        <f t="shared" si="67"/>
        <v>1</v>
      </c>
      <c r="Q538" s="25">
        <f t="shared" si="71"/>
        <v>462.96946633086554</v>
      </c>
      <c r="R538" s="25">
        <f t="shared" si="68"/>
        <v>8</v>
      </c>
      <c r="S538" s="26">
        <f t="shared" si="69"/>
        <v>16</v>
      </c>
    </row>
    <row r="539" spans="2:19" x14ac:dyDescent="0.3">
      <c r="B539" s="24">
        <v>241564</v>
      </c>
      <c r="C539" s="25">
        <v>35</v>
      </c>
      <c r="D539" s="25">
        <v>4</v>
      </c>
      <c r="E539" s="25">
        <v>7</v>
      </c>
      <c r="F539" s="25">
        <v>6</v>
      </c>
      <c r="G539" s="25">
        <v>76</v>
      </c>
      <c r="H539" s="25">
        <v>7</v>
      </c>
      <c r="I539" s="25">
        <v>0.56000000000000005</v>
      </c>
      <c r="J539" s="25">
        <v>4.76</v>
      </c>
      <c r="K539" s="26">
        <v>0</v>
      </c>
      <c r="L539" s="25">
        <f t="shared" si="64"/>
        <v>-2.051122645675072</v>
      </c>
      <c r="M539" s="25">
        <f t="shared" si="70"/>
        <v>0.11393899332208787</v>
      </c>
      <c r="N539" s="25">
        <f t="shared" si="65"/>
        <v>0.8860610066779121</v>
      </c>
      <c r="O539" s="25">
        <f t="shared" si="66"/>
        <v>-0.12096947445193017</v>
      </c>
      <c r="P539" s="25">
        <f t="shared" si="67"/>
        <v>0</v>
      </c>
      <c r="Q539" s="25">
        <f t="shared" si="71"/>
        <v>546.3058877060439</v>
      </c>
      <c r="R539" s="25">
        <f t="shared" si="68"/>
        <v>6</v>
      </c>
      <c r="S539" s="26">
        <f t="shared" si="69"/>
        <v>11</v>
      </c>
    </row>
    <row r="540" spans="2:19" x14ac:dyDescent="0.3">
      <c r="B540" s="24">
        <v>241582</v>
      </c>
      <c r="C540" s="25">
        <v>30</v>
      </c>
      <c r="D540" s="25">
        <v>3</v>
      </c>
      <c r="E540" s="25">
        <v>3</v>
      </c>
      <c r="F540" s="25">
        <v>6</v>
      </c>
      <c r="G540" s="25">
        <v>34</v>
      </c>
      <c r="H540" s="25">
        <v>14.3</v>
      </c>
      <c r="I540" s="25">
        <v>2.2599999999999998</v>
      </c>
      <c r="J540" s="25">
        <v>2.61</v>
      </c>
      <c r="K540" s="26">
        <v>1</v>
      </c>
      <c r="L540" s="25">
        <f t="shared" si="64"/>
        <v>0.48452536682548258</v>
      </c>
      <c r="M540" s="25">
        <f t="shared" si="70"/>
        <v>0.61881590332246428</v>
      </c>
      <c r="N540" s="25">
        <f t="shared" si="65"/>
        <v>0.61881590332246428</v>
      </c>
      <c r="O540" s="25">
        <f t="shared" si="66"/>
        <v>-0.47994746035092478</v>
      </c>
      <c r="P540" s="25">
        <f t="shared" si="67"/>
        <v>1</v>
      </c>
      <c r="Q540" s="25">
        <f t="shared" si="71"/>
        <v>473.14255351815422</v>
      </c>
      <c r="R540" s="25">
        <f t="shared" si="68"/>
        <v>7</v>
      </c>
      <c r="S540" s="26">
        <f t="shared" si="69"/>
        <v>15</v>
      </c>
    </row>
    <row r="541" spans="2:19" x14ac:dyDescent="0.3">
      <c r="B541" s="24">
        <v>241594</v>
      </c>
      <c r="C541" s="25">
        <v>30</v>
      </c>
      <c r="D541" s="25">
        <v>1</v>
      </c>
      <c r="E541" s="25">
        <v>4</v>
      </c>
      <c r="F541" s="25">
        <v>3</v>
      </c>
      <c r="G541" s="25">
        <v>36</v>
      </c>
      <c r="H541" s="25">
        <v>9.6</v>
      </c>
      <c r="I541" s="25">
        <v>0.83</v>
      </c>
      <c r="J541" s="25">
        <v>2.63</v>
      </c>
      <c r="K541" s="26">
        <v>1</v>
      </c>
      <c r="L541" s="25">
        <f t="shared" si="64"/>
        <v>-0.68186382952620939</v>
      </c>
      <c r="M541" s="25">
        <f t="shared" si="70"/>
        <v>0.33584544218967582</v>
      </c>
      <c r="N541" s="25">
        <f t="shared" si="65"/>
        <v>0.33584544218967582</v>
      </c>
      <c r="O541" s="25">
        <f t="shared" si="66"/>
        <v>-1.0911042183314978</v>
      </c>
      <c r="P541" s="25">
        <f t="shared" si="67"/>
        <v>0</v>
      </c>
      <c r="Q541" s="25">
        <f t="shared" si="71"/>
        <v>506.7974307507663</v>
      </c>
      <c r="R541" s="25">
        <f t="shared" si="68"/>
        <v>7</v>
      </c>
      <c r="S541" s="26">
        <f t="shared" si="69"/>
        <v>14</v>
      </c>
    </row>
    <row r="542" spans="2:19" x14ac:dyDescent="0.3">
      <c r="B542" s="24">
        <v>241652</v>
      </c>
      <c r="C542" s="25">
        <v>31</v>
      </c>
      <c r="D542" s="25">
        <v>2</v>
      </c>
      <c r="E542" s="25">
        <v>6</v>
      </c>
      <c r="F542" s="25">
        <v>5</v>
      </c>
      <c r="G542" s="25">
        <v>26</v>
      </c>
      <c r="H542" s="25">
        <v>6.5</v>
      </c>
      <c r="I542" s="25">
        <v>0.33</v>
      </c>
      <c r="J542" s="25">
        <v>1.36</v>
      </c>
      <c r="K542" s="26">
        <v>0</v>
      </c>
      <c r="L542" s="25">
        <f t="shared" si="64"/>
        <v>-1.8543658642132259</v>
      </c>
      <c r="M542" s="25">
        <f t="shared" si="70"/>
        <v>0.1353611089662633</v>
      </c>
      <c r="N542" s="25">
        <f t="shared" si="65"/>
        <v>0.8646388910337367</v>
      </c>
      <c r="O542" s="25">
        <f t="shared" si="66"/>
        <v>-0.14544332622689182</v>
      </c>
      <c r="P542" s="25">
        <f t="shared" si="67"/>
        <v>0</v>
      </c>
      <c r="Q542" s="25">
        <f t="shared" si="71"/>
        <v>540.62868720942197</v>
      </c>
      <c r="R542" s="25">
        <f t="shared" si="68"/>
        <v>6</v>
      </c>
      <c r="S542" s="26">
        <f t="shared" si="69"/>
        <v>11</v>
      </c>
    </row>
    <row r="543" spans="2:19" x14ac:dyDescent="0.3">
      <c r="B543" s="24">
        <v>241732</v>
      </c>
      <c r="C543" s="25">
        <v>23</v>
      </c>
      <c r="D543" s="25">
        <v>1</v>
      </c>
      <c r="E543" s="25">
        <v>0</v>
      </c>
      <c r="F543" s="25">
        <v>2</v>
      </c>
      <c r="G543" s="25">
        <v>16</v>
      </c>
      <c r="H543" s="25">
        <v>17.2</v>
      </c>
      <c r="I543" s="25">
        <v>0.91</v>
      </c>
      <c r="J543" s="25">
        <v>1.84</v>
      </c>
      <c r="K543" s="26">
        <v>1</v>
      </c>
      <c r="L543" s="25">
        <f t="shared" si="64"/>
        <v>1.1776393665518161</v>
      </c>
      <c r="M543" s="25">
        <f t="shared" si="70"/>
        <v>0.76452309014984576</v>
      </c>
      <c r="N543" s="25">
        <f t="shared" si="65"/>
        <v>0.76452309014984576</v>
      </c>
      <c r="O543" s="25">
        <f t="shared" si="66"/>
        <v>-0.26850305112622141</v>
      </c>
      <c r="P543" s="25">
        <f t="shared" si="67"/>
        <v>1</v>
      </c>
      <c r="Q543" s="25">
        <f t="shared" si="71"/>
        <v>453.14351148145056</v>
      </c>
      <c r="R543" s="25">
        <f t="shared" si="68"/>
        <v>8</v>
      </c>
      <c r="S543" s="26">
        <f t="shared" si="69"/>
        <v>16</v>
      </c>
    </row>
    <row r="544" spans="2:19" x14ac:dyDescent="0.3">
      <c r="B544" s="24">
        <v>241770</v>
      </c>
      <c r="C544" s="25">
        <v>46</v>
      </c>
      <c r="D544" s="25">
        <v>1</v>
      </c>
      <c r="E544" s="25">
        <v>11</v>
      </c>
      <c r="F544" s="25">
        <v>8</v>
      </c>
      <c r="G544" s="25">
        <v>61</v>
      </c>
      <c r="H544" s="25">
        <v>10.4</v>
      </c>
      <c r="I544" s="25">
        <v>3.44</v>
      </c>
      <c r="J544" s="25">
        <v>2.9</v>
      </c>
      <c r="K544" s="26">
        <v>0</v>
      </c>
      <c r="L544" s="25">
        <f t="shared" si="64"/>
        <v>-1.4455982488435306</v>
      </c>
      <c r="M544" s="25">
        <f t="shared" si="70"/>
        <v>0.19067992434111669</v>
      </c>
      <c r="N544" s="25">
        <f t="shared" si="65"/>
        <v>0.80932007565888331</v>
      </c>
      <c r="O544" s="25">
        <f t="shared" si="66"/>
        <v>-0.21156079658663801</v>
      </c>
      <c r="P544" s="25">
        <f t="shared" si="67"/>
        <v>0</v>
      </c>
      <c r="Q544" s="25">
        <f t="shared" si="71"/>
        <v>528.8341473123063</v>
      </c>
      <c r="R544" s="25">
        <f t="shared" si="68"/>
        <v>6</v>
      </c>
      <c r="S544" s="26">
        <f t="shared" si="69"/>
        <v>12</v>
      </c>
    </row>
    <row r="545" spans="2:19" x14ac:dyDescent="0.3">
      <c r="B545" s="24">
        <v>241837</v>
      </c>
      <c r="C545" s="25">
        <v>59</v>
      </c>
      <c r="D545" s="25">
        <v>1</v>
      </c>
      <c r="E545" s="25">
        <v>33</v>
      </c>
      <c r="F545" s="25">
        <v>17</v>
      </c>
      <c r="G545" s="25">
        <v>308</v>
      </c>
      <c r="H545" s="25">
        <v>6.7</v>
      </c>
      <c r="I545" s="25">
        <v>7.39</v>
      </c>
      <c r="J545" s="25">
        <v>13.25</v>
      </c>
      <c r="K545" s="26">
        <v>0</v>
      </c>
      <c r="L545" s="25">
        <f t="shared" si="64"/>
        <v>-5.1795185427241934</v>
      </c>
      <c r="M545" s="25">
        <f t="shared" si="70"/>
        <v>5.599189262881334E-3</v>
      </c>
      <c r="N545" s="25">
        <f t="shared" si="65"/>
        <v>0.99440081073711861</v>
      </c>
      <c r="O545" s="25">
        <f t="shared" si="66"/>
        <v>-5.614923483153682E-3</v>
      </c>
      <c r="P545" s="25">
        <f t="shared" si="67"/>
        <v>0</v>
      </c>
      <c r="Q545" s="25">
        <f t="shared" si="71"/>
        <v>636.57231007990958</v>
      </c>
      <c r="R545" s="25">
        <f t="shared" si="68"/>
        <v>3</v>
      </c>
      <c r="S545" s="26">
        <f t="shared" si="69"/>
        <v>4</v>
      </c>
    </row>
    <row r="546" spans="2:19" x14ac:dyDescent="0.3">
      <c r="B546" s="24">
        <v>241859</v>
      </c>
      <c r="C546" s="25">
        <v>39</v>
      </c>
      <c r="D546" s="25">
        <v>5</v>
      </c>
      <c r="E546" s="25">
        <v>1</v>
      </c>
      <c r="F546" s="25">
        <v>10</v>
      </c>
      <c r="G546" s="25">
        <v>185</v>
      </c>
      <c r="H546" s="25">
        <v>7</v>
      </c>
      <c r="I546" s="25">
        <v>10.45</v>
      </c>
      <c r="J546" s="25">
        <v>2.5</v>
      </c>
      <c r="K546" s="26">
        <v>1</v>
      </c>
      <c r="L546" s="25">
        <f t="shared" si="64"/>
        <v>3.6886439715915422</v>
      </c>
      <c r="M546" s="25">
        <f t="shared" si="70"/>
        <v>0.97560415207857754</v>
      </c>
      <c r="N546" s="25">
        <f t="shared" si="65"/>
        <v>0.97560415207857754</v>
      </c>
      <c r="O546" s="25">
        <f t="shared" si="66"/>
        <v>-2.4698356726327045E-2</v>
      </c>
      <c r="P546" s="25">
        <f t="shared" si="67"/>
        <v>1</v>
      </c>
      <c r="Q546" s="25">
        <f t="shared" si="71"/>
        <v>380.69123570809472</v>
      </c>
      <c r="R546" s="25">
        <f t="shared" si="68"/>
        <v>8</v>
      </c>
      <c r="S546" s="26">
        <f t="shared" si="69"/>
        <v>17</v>
      </c>
    </row>
    <row r="547" spans="2:19" x14ac:dyDescent="0.3">
      <c r="B547" s="24">
        <v>241980</v>
      </c>
      <c r="C547" s="25">
        <v>29</v>
      </c>
      <c r="D547" s="25">
        <v>5</v>
      </c>
      <c r="E547" s="25">
        <v>3</v>
      </c>
      <c r="F547" s="25">
        <v>3</v>
      </c>
      <c r="G547" s="25">
        <v>55</v>
      </c>
      <c r="H547" s="25">
        <v>27.1</v>
      </c>
      <c r="I547" s="25">
        <v>8.35</v>
      </c>
      <c r="J547" s="25">
        <v>6.56</v>
      </c>
      <c r="K547" s="26">
        <v>1</v>
      </c>
      <c r="L547" s="25">
        <f t="shared" si="64"/>
        <v>4.7611759219199481</v>
      </c>
      <c r="M547" s="25">
        <f t="shared" si="70"/>
        <v>0.99151703355319853</v>
      </c>
      <c r="N547" s="25">
        <f t="shared" si="65"/>
        <v>0.99151703355319853</v>
      </c>
      <c r="O547" s="25">
        <f t="shared" si="66"/>
        <v>-8.5191515902283219E-3</v>
      </c>
      <c r="P547" s="25">
        <f t="shared" si="67"/>
        <v>1</v>
      </c>
      <c r="Q547" s="25">
        <f t="shared" si="71"/>
        <v>349.74450606651402</v>
      </c>
      <c r="R547" s="25">
        <f t="shared" si="68"/>
        <v>8</v>
      </c>
      <c r="S547" s="26">
        <f t="shared" si="69"/>
        <v>17</v>
      </c>
    </row>
    <row r="548" spans="2:19" x14ac:dyDescent="0.3">
      <c r="B548" s="24">
        <v>242047</v>
      </c>
      <c r="C548" s="25">
        <v>26</v>
      </c>
      <c r="D548" s="25">
        <v>4</v>
      </c>
      <c r="E548" s="25">
        <v>2</v>
      </c>
      <c r="F548" s="25">
        <v>4</v>
      </c>
      <c r="G548" s="25">
        <v>19</v>
      </c>
      <c r="H548" s="25">
        <v>3.8</v>
      </c>
      <c r="I548" s="25">
        <v>0.11</v>
      </c>
      <c r="J548" s="25">
        <v>0.62</v>
      </c>
      <c r="K548" s="26">
        <v>0</v>
      </c>
      <c r="L548" s="25">
        <f t="shared" si="64"/>
        <v>-1.3090179636258987</v>
      </c>
      <c r="M548" s="25">
        <f t="shared" si="70"/>
        <v>0.21265122074136758</v>
      </c>
      <c r="N548" s="25">
        <f t="shared" si="65"/>
        <v>0.78734877925863245</v>
      </c>
      <c r="O548" s="25">
        <f t="shared" si="66"/>
        <v>-0.23908395306001134</v>
      </c>
      <c r="P548" s="25">
        <f t="shared" si="67"/>
        <v>0</v>
      </c>
      <c r="Q548" s="25">
        <f t="shared" si="71"/>
        <v>524.89327342066531</v>
      </c>
      <c r="R548" s="25">
        <f t="shared" si="68"/>
        <v>6</v>
      </c>
      <c r="S548" s="26">
        <f t="shared" si="69"/>
        <v>13</v>
      </c>
    </row>
    <row r="549" spans="2:19" x14ac:dyDescent="0.3">
      <c r="B549" s="24">
        <v>242106</v>
      </c>
      <c r="C549" s="25">
        <v>34</v>
      </c>
      <c r="D549" s="25">
        <v>2</v>
      </c>
      <c r="E549" s="25">
        <v>6</v>
      </c>
      <c r="F549" s="25">
        <v>7</v>
      </c>
      <c r="G549" s="25">
        <v>27</v>
      </c>
      <c r="H549" s="25">
        <v>6.4</v>
      </c>
      <c r="I549" s="25">
        <v>0.27</v>
      </c>
      <c r="J549" s="25">
        <v>1.46</v>
      </c>
      <c r="K549" s="26">
        <v>0</v>
      </c>
      <c r="L549" s="25">
        <f t="shared" si="64"/>
        <v>-2.0199707773023676</v>
      </c>
      <c r="M549" s="25">
        <f t="shared" si="70"/>
        <v>0.11712201259885269</v>
      </c>
      <c r="N549" s="25">
        <f t="shared" si="65"/>
        <v>0.88287798740114731</v>
      </c>
      <c r="O549" s="25">
        <f t="shared" si="66"/>
        <v>-0.1245682675395091</v>
      </c>
      <c r="P549" s="25">
        <f t="shared" si="67"/>
        <v>0</v>
      </c>
      <c r="Q549" s="25">
        <f t="shared" si="71"/>
        <v>545.40703481120477</v>
      </c>
      <c r="R549" s="25">
        <f t="shared" si="68"/>
        <v>6</v>
      </c>
      <c r="S549" s="26">
        <f t="shared" si="69"/>
        <v>11</v>
      </c>
    </row>
    <row r="550" spans="2:19" x14ac:dyDescent="0.3">
      <c r="B550" s="24">
        <v>242108</v>
      </c>
      <c r="C550" s="25">
        <v>30</v>
      </c>
      <c r="D550" s="25">
        <v>1</v>
      </c>
      <c r="E550" s="25">
        <v>12</v>
      </c>
      <c r="F550" s="25">
        <v>5</v>
      </c>
      <c r="G550" s="25">
        <v>35</v>
      </c>
      <c r="H550" s="25">
        <v>5.7</v>
      </c>
      <c r="I550" s="25">
        <v>1.34</v>
      </c>
      <c r="J550" s="25">
        <v>0.66</v>
      </c>
      <c r="K550" s="26">
        <v>0</v>
      </c>
      <c r="L550" s="25">
        <f t="shared" si="64"/>
        <v>-2.7536485065128313</v>
      </c>
      <c r="M550" s="25">
        <f t="shared" si="70"/>
        <v>5.9880926647566869E-2</v>
      </c>
      <c r="N550" s="25">
        <f t="shared" si="65"/>
        <v>0.94011907335243317</v>
      </c>
      <c r="O550" s="25">
        <f t="shared" si="66"/>
        <v>-6.1748737961348936E-2</v>
      </c>
      <c r="P550" s="25">
        <f t="shared" si="67"/>
        <v>0</v>
      </c>
      <c r="Q550" s="25">
        <f t="shared" si="71"/>
        <v>566.57649864207053</v>
      </c>
      <c r="R550" s="25">
        <f t="shared" si="68"/>
        <v>5</v>
      </c>
      <c r="S550" s="26">
        <f t="shared" si="69"/>
        <v>9</v>
      </c>
    </row>
    <row r="551" spans="2:19" x14ac:dyDescent="0.3">
      <c r="B551" s="24">
        <v>242216</v>
      </c>
      <c r="C551" s="25">
        <v>23</v>
      </c>
      <c r="D551" s="25">
        <v>4</v>
      </c>
      <c r="E551" s="25">
        <v>0</v>
      </c>
      <c r="F551" s="25">
        <v>2</v>
      </c>
      <c r="G551" s="25">
        <v>29</v>
      </c>
      <c r="H551" s="25">
        <v>9.4</v>
      </c>
      <c r="I551" s="25">
        <v>0.84</v>
      </c>
      <c r="J551" s="25">
        <v>1.89</v>
      </c>
      <c r="K551" s="26">
        <v>1</v>
      </c>
      <c r="L551" s="25">
        <f t="shared" si="64"/>
        <v>0.21127961839937587</v>
      </c>
      <c r="M551" s="25">
        <f t="shared" si="70"/>
        <v>0.55262429176804773</v>
      </c>
      <c r="N551" s="25">
        <f t="shared" si="65"/>
        <v>0.55262429176804773</v>
      </c>
      <c r="O551" s="25">
        <f t="shared" si="66"/>
        <v>-0.5930769084143882</v>
      </c>
      <c r="P551" s="25">
        <f t="shared" si="67"/>
        <v>1</v>
      </c>
      <c r="Q551" s="25">
        <f t="shared" si="71"/>
        <v>481.02675901866621</v>
      </c>
      <c r="R551" s="25">
        <f t="shared" si="68"/>
        <v>7</v>
      </c>
      <c r="S551" s="26">
        <f t="shared" si="69"/>
        <v>15</v>
      </c>
    </row>
    <row r="552" spans="2:19" x14ac:dyDescent="0.3">
      <c r="B552" s="24">
        <v>242303</v>
      </c>
      <c r="C552" s="25">
        <v>22</v>
      </c>
      <c r="D552" s="25">
        <v>4</v>
      </c>
      <c r="E552" s="25">
        <v>0</v>
      </c>
      <c r="F552" s="25">
        <v>1</v>
      </c>
      <c r="G552" s="25">
        <v>76</v>
      </c>
      <c r="H552" s="25">
        <v>7.7</v>
      </c>
      <c r="I552" s="25">
        <v>3.62</v>
      </c>
      <c r="J552" s="25">
        <v>2.2400000000000002</v>
      </c>
      <c r="K552" s="26">
        <v>0</v>
      </c>
      <c r="L552" s="25">
        <f t="shared" si="64"/>
        <v>1.432246886417982</v>
      </c>
      <c r="M552" s="25">
        <f t="shared" si="70"/>
        <v>0.80725116530123187</v>
      </c>
      <c r="N552" s="25">
        <f t="shared" si="65"/>
        <v>0.19274883469876813</v>
      </c>
      <c r="O552" s="25">
        <f t="shared" si="66"/>
        <v>-1.6463673122183577</v>
      </c>
      <c r="P552" s="25">
        <f t="shared" si="67"/>
        <v>1</v>
      </c>
      <c r="Q552" s="25">
        <f t="shared" si="71"/>
        <v>445.79709156398417</v>
      </c>
      <c r="R552" s="25">
        <f t="shared" si="68"/>
        <v>8</v>
      </c>
      <c r="S552" s="26">
        <f t="shared" si="69"/>
        <v>16</v>
      </c>
    </row>
    <row r="553" spans="2:19" x14ac:dyDescent="0.3">
      <c r="B553" s="24">
        <v>242345</v>
      </c>
      <c r="C553" s="25">
        <v>27</v>
      </c>
      <c r="D553" s="25">
        <v>4</v>
      </c>
      <c r="E553" s="25">
        <v>0</v>
      </c>
      <c r="F553" s="25">
        <v>4</v>
      </c>
      <c r="G553" s="25">
        <v>46</v>
      </c>
      <c r="H553" s="25">
        <v>1.9</v>
      </c>
      <c r="I553" s="25">
        <v>0.23</v>
      </c>
      <c r="J553" s="25">
        <v>0.64</v>
      </c>
      <c r="K553" s="26">
        <v>1</v>
      </c>
      <c r="L553" s="25">
        <f t="shared" si="64"/>
        <v>-1.0041029808810207</v>
      </c>
      <c r="M553" s="25">
        <f t="shared" si="70"/>
        <v>0.26813549154233268</v>
      </c>
      <c r="N553" s="25">
        <f t="shared" si="65"/>
        <v>0.26813549154233268</v>
      </c>
      <c r="O553" s="25">
        <f t="shared" si="66"/>
        <v>-1.3162628607699733</v>
      </c>
      <c r="P553" s="25">
        <f t="shared" si="67"/>
        <v>0</v>
      </c>
      <c r="Q553" s="25">
        <f t="shared" si="71"/>
        <v>516.09528700004284</v>
      </c>
      <c r="R553" s="25">
        <f t="shared" si="68"/>
        <v>7</v>
      </c>
      <c r="S553" s="26">
        <f t="shared" si="69"/>
        <v>13</v>
      </c>
    </row>
    <row r="554" spans="2:19" x14ac:dyDescent="0.3">
      <c r="B554" s="24">
        <v>242430</v>
      </c>
      <c r="C554" s="25">
        <v>30</v>
      </c>
      <c r="D554" s="25">
        <v>3</v>
      </c>
      <c r="E554" s="25">
        <v>0</v>
      </c>
      <c r="F554" s="25">
        <v>5</v>
      </c>
      <c r="G554" s="25">
        <v>70</v>
      </c>
      <c r="H554" s="25">
        <v>6.9</v>
      </c>
      <c r="I554" s="25">
        <v>0.37</v>
      </c>
      <c r="J554" s="25">
        <v>4.46</v>
      </c>
      <c r="K554" s="26">
        <v>1</v>
      </c>
      <c r="L554" s="25">
        <f t="shared" si="64"/>
        <v>-0.3822666100995929</v>
      </c>
      <c r="M554" s="25">
        <f t="shared" si="70"/>
        <v>0.40558033479866429</v>
      </c>
      <c r="N554" s="25">
        <f t="shared" si="65"/>
        <v>0.40558033479866429</v>
      </c>
      <c r="O554" s="25">
        <f t="shared" si="66"/>
        <v>-0.90243631210476216</v>
      </c>
      <c r="P554" s="25">
        <f t="shared" si="67"/>
        <v>1</v>
      </c>
      <c r="Q554" s="25">
        <f t="shared" si="71"/>
        <v>498.15288254115262</v>
      </c>
      <c r="R554" s="25">
        <f t="shared" si="68"/>
        <v>7</v>
      </c>
      <c r="S554" s="26">
        <f t="shared" si="69"/>
        <v>14</v>
      </c>
    </row>
    <row r="555" spans="2:19" x14ac:dyDescent="0.3">
      <c r="B555" s="24">
        <v>242433</v>
      </c>
      <c r="C555" s="25">
        <v>23</v>
      </c>
      <c r="D555" s="25">
        <v>2</v>
      </c>
      <c r="E555" s="25">
        <v>0</v>
      </c>
      <c r="F555" s="25">
        <v>1</v>
      </c>
      <c r="G555" s="25">
        <v>22</v>
      </c>
      <c r="H555" s="25">
        <v>9</v>
      </c>
      <c r="I555" s="25">
        <v>0.71</v>
      </c>
      <c r="J555" s="25">
        <v>1.27</v>
      </c>
      <c r="K555" s="26">
        <v>0</v>
      </c>
      <c r="L555" s="25">
        <f t="shared" si="64"/>
        <v>0.23212886304701236</v>
      </c>
      <c r="M555" s="25">
        <f t="shared" si="70"/>
        <v>0.55777302919869565</v>
      </c>
      <c r="N555" s="25">
        <f t="shared" si="65"/>
        <v>0.44222697080130435</v>
      </c>
      <c r="O555" s="25">
        <f t="shared" si="66"/>
        <v>-0.81593202010462562</v>
      </c>
      <c r="P555" s="25">
        <f t="shared" si="67"/>
        <v>1</v>
      </c>
      <c r="Q555" s="25">
        <f t="shared" si="71"/>
        <v>480.42517699852777</v>
      </c>
      <c r="R555" s="25">
        <f t="shared" si="68"/>
        <v>7</v>
      </c>
      <c r="S555" s="26">
        <f t="shared" si="69"/>
        <v>15</v>
      </c>
    </row>
    <row r="556" spans="2:19" x14ac:dyDescent="0.3">
      <c r="B556" s="24">
        <v>242464</v>
      </c>
      <c r="C556" s="25">
        <v>42</v>
      </c>
      <c r="D556" s="25">
        <v>5</v>
      </c>
      <c r="E556" s="25">
        <v>12</v>
      </c>
      <c r="F556" s="25">
        <v>13</v>
      </c>
      <c r="G556" s="25">
        <v>34</v>
      </c>
      <c r="H556" s="25">
        <v>6.1</v>
      </c>
      <c r="I556" s="25">
        <v>0.56000000000000005</v>
      </c>
      <c r="J556" s="25">
        <v>1.52</v>
      </c>
      <c r="K556" s="26">
        <v>0</v>
      </c>
      <c r="L556" s="25">
        <f t="shared" si="64"/>
        <v>-3.7954031719423647</v>
      </c>
      <c r="M556" s="25">
        <f t="shared" si="70"/>
        <v>2.1979870993417291E-2</v>
      </c>
      <c r="N556" s="25">
        <f t="shared" si="65"/>
        <v>0.97802012900658275</v>
      </c>
      <c r="O556" s="25">
        <f t="shared" si="66"/>
        <v>-2.2225027352800356E-2</v>
      </c>
      <c r="P556" s="25">
        <f t="shared" si="67"/>
        <v>0</v>
      </c>
      <c r="Q556" s="25">
        <f t="shared" si="71"/>
        <v>596.63518358290776</v>
      </c>
      <c r="R556" s="25">
        <f t="shared" si="68"/>
        <v>4</v>
      </c>
      <c r="S556" s="26">
        <f t="shared" si="69"/>
        <v>7</v>
      </c>
    </row>
    <row r="557" spans="2:19" x14ac:dyDescent="0.3">
      <c r="B557" s="24">
        <v>242467</v>
      </c>
      <c r="C557" s="25">
        <v>29</v>
      </c>
      <c r="D557" s="25">
        <v>4</v>
      </c>
      <c r="E557" s="25">
        <v>2</v>
      </c>
      <c r="F557" s="25">
        <v>3</v>
      </c>
      <c r="G557" s="25">
        <v>55</v>
      </c>
      <c r="H557" s="25">
        <v>15.6</v>
      </c>
      <c r="I557" s="25">
        <v>1.48</v>
      </c>
      <c r="J557" s="25">
        <v>7.1</v>
      </c>
      <c r="K557" s="26">
        <v>1</v>
      </c>
      <c r="L557" s="25">
        <f t="shared" si="64"/>
        <v>0.65421734344463345</v>
      </c>
      <c r="M557" s="25">
        <f t="shared" si="70"/>
        <v>0.65796020108732833</v>
      </c>
      <c r="N557" s="25">
        <f t="shared" si="65"/>
        <v>0.65796020108732833</v>
      </c>
      <c r="O557" s="25">
        <f t="shared" si="66"/>
        <v>-0.41861083415580502</v>
      </c>
      <c r="P557" s="25">
        <f t="shared" si="67"/>
        <v>1</v>
      </c>
      <c r="Q557" s="25">
        <f t="shared" si="71"/>
        <v>468.2462781939829</v>
      </c>
      <c r="R557" s="25">
        <f t="shared" si="68"/>
        <v>7</v>
      </c>
      <c r="S557" s="26">
        <f t="shared" si="69"/>
        <v>15</v>
      </c>
    </row>
    <row r="558" spans="2:19" x14ac:dyDescent="0.3">
      <c r="B558" s="24">
        <v>242512</v>
      </c>
      <c r="C558" s="25">
        <v>47</v>
      </c>
      <c r="D558" s="25">
        <v>2</v>
      </c>
      <c r="E558" s="25">
        <v>16</v>
      </c>
      <c r="F558" s="25">
        <v>8</v>
      </c>
      <c r="G558" s="25">
        <v>66</v>
      </c>
      <c r="H558" s="25">
        <v>1.7</v>
      </c>
      <c r="I558" s="25">
        <v>0.1</v>
      </c>
      <c r="J558" s="25">
        <v>1.02</v>
      </c>
      <c r="K558" s="26">
        <v>0</v>
      </c>
      <c r="L558" s="25">
        <f t="shared" si="64"/>
        <v>-5.1469848128101088</v>
      </c>
      <c r="M558" s="25">
        <f t="shared" si="70"/>
        <v>5.7832765643061942E-3</v>
      </c>
      <c r="N558" s="25">
        <f t="shared" si="65"/>
        <v>0.99421672343569378</v>
      </c>
      <c r="O558" s="25">
        <f t="shared" si="66"/>
        <v>-5.8000644655570527E-3</v>
      </c>
      <c r="P558" s="25">
        <f t="shared" si="67"/>
        <v>0</v>
      </c>
      <c r="Q558" s="25">
        <f t="shared" si="71"/>
        <v>635.63358509034163</v>
      </c>
      <c r="R558" s="25">
        <f t="shared" si="68"/>
        <v>3</v>
      </c>
      <c r="S558" s="26">
        <f t="shared" si="69"/>
        <v>4</v>
      </c>
    </row>
    <row r="559" spans="2:19" x14ac:dyDescent="0.3">
      <c r="B559" s="24">
        <v>242560</v>
      </c>
      <c r="C559" s="25">
        <v>34</v>
      </c>
      <c r="D559" s="25">
        <v>4</v>
      </c>
      <c r="E559" s="25">
        <v>8</v>
      </c>
      <c r="F559" s="25">
        <v>7</v>
      </c>
      <c r="G559" s="25">
        <v>30</v>
      </c>
      <c r="H559" s="25">
        <v>5.7</v>
      </c>
      <c r="I559" s="25">
        <v>1.08</v>
      </c>
      <c r="J559" s="25">
        <v>0.63</v>
      </c>
      <c r="K559" s="26">
        <v>0</v>
      </c>
      <c r="L559" s="25">
        <f t="shared" si="64"/>
        <v>-2.2855197389825994</v>
      </c>
      <c r="M559" s="25">
        <f t="shared" si="70"/>
        <v>9.232933137534674E-2</v>
      </c>
      <c r="N559" s="25">
        <f t="shared" si="65"/>
        <v>0.90767066862465329</v>
      </c>
      <c r="O559" s="25">
        <f t="shared" si="66"/>
        <v>-9.6873665924892355E-2</v>
      </c>
      <c r="P559" s="25">
        <f t="shared" si="67"/>
        <v>0</v>
      </c>
      <c r="Q559" s="25">
        <f t="shared" si="71"/>
        <v>553.06915799663</v>
      </c>
      <c r="R559" s="25">
        <f t="shared" si="68"/>
        <v>6</v>
      </c>
      <c r="S559" s="26">
        <f t="shared" si="69"/>
        <v>11</v>
      </c>
    </row>
    <row r="560" spans="2:19" x14ac:dyDescent="0.3">
      <c r="B560" s="24">
        <v>242597</v>
      </c>
      <c r="C560" s="25">
        <v>31</v>
      </c>
      <c r="D560" s="25">
        <v>2</v>
      </c>
      <c r="E560" s="25">
        <v>11</v>
      </c>
      <c r="F560" s="25">
        <v>7</v>
      </c>
      <c r="G560" s="25">
        <v>51</v>
      </c>
      <c r="H560" s="25">
        <v>12.4</v>
      </c>
      <c r="I560" s="25">
        <v>4.1399999999999997</v>
      </c>
      <c r="J560" s="25">
        <v>2.19</v>
      </c>
      <c r="K560" s="26">
        <v>1</v>
      </c>
      <c r="L560" s="25">
        <f t="shared" si="64"/>
        <v>-0.63165358872503319</v>
      </c>
      <c r="M560" s="25">
        <f t="shared" si="70"/>
        <v>0.34713568619035168</v>
      </c>
      <c r="N560" s="25">
        <f t="shared" si="65"/>
        <v>0.34713568619035168</v>
      </c>
      <c r="O560" s="25">
        <f t="shared" si="66"/>
        <v>-1.0580395489810468</v>
      </c>
      <c r="P560" s="25">
        <f t="shared" si="67"/>
        <v>0</v>
      </c>
      <c r="Q560" s="25">
        <f t="shared" si="71"/>
        <v>505.34866948371325</v>
      </c>
      <c r="R560" s="25">
        <f t="shared" si="68"/>
        <v>7</v>
      </c>
      <c r="S560" s="26">
        <f t="shared" si="69"/>
        <v>14</v>
      </c>
    </row>
    <row r="561" spans="2:19" x14ac:dyDescent="0.3">
      <c r="B561" s="24">
        <v>242601</v>
      </c>
      <c r="C561" s="25">
        <v>35</v>
      </c>
      <c r="D561" s="25">
        <v>4</v>
      </c>
      <c r="E561" s="25">
        <v>10</v>
      </c>
      <c r="F561" s="25">
        <v>4</v>
      </c>
      <c r="G561" s="25">
        <v>53</v>
      </c>
      <c r="H561" s="25">
        <v>19</v>
      </c>
      <c r="I561" s="25">
        <v>3.64</v>
      </c>
      <c r="J561" s="25">
        <v>6.43</v>
      </c>
      <c r="K561" s="26">
        <v>0</v>
      </c>
      <c r="L561" s="25">
        <f t="shared" si="64"/>
        <v>2.6789907210221287E-2</v>
      </c>
      <c r="M561" s="25">
        <f t="shared" si="70"/>
        <v>0.50669707626686311</v>
      </c>
      <c r="N561" s="25">
        <f t="shared" si="65"/>
        <v>0.49330292373313689</v>
      </c>
      <c r="O561" s="25">
        <f t="shared" si="66"/>
        <v>-0.70663184387345479</v>
      </c>
      <c r="P561" s="25">
        <f t="shared" si="67"/>
        <v>1</v>
      </c>
      <c r="Q561" s="25">
        <f t="shared" si="71"/>
        <v>486.35000669634701</v>
      </c>
      <c r="R561" s="25">
        <f t="shared" si="68"/>
        <v>7</v>
      </c>
      <c r="S561" s="26">
        <f t="shared" si="69"/>
        <v>15</v>
      </c>
    </row>
    <row r="562" spans="2:19" x14ac:dyDescent="0.3">
      <c r="B562" s="24">
        <v>242691</v>
      </c>
      <c r="C562" s="25">
        <v>19</v>
      </c>
      <c r="D562" s="25">
        <v>1</v>
      </c>
      <c r="E562" s="25">
        <v>2</v>
      </c>
      <c r="F562" s="25">
        <v>0</v>
      </c>
      <c r="G562" s="25">
        <v>21</v>
      </c>
      <c r="H562" s="25">
        <v>12</v>
      </c>
      <c r="I562" s="25">
        <v>0.15</v>
      </c>
      <c r="J562" s="25">
        <v>2.37</v>
      </c>
      <c r="K562" s="26">
        <v>0</v>
      </c>
      <c r="L562" s="25">
        <f t="shared" si="64"/>
        <v>1.3058669117207156E-2</v>
      </c>
      <c r="M562" s="25">
        <f t="shared" si="70"/>
        <v>0.50326462088676616</v>
      </c>
      <c r="N562" s="25">
        <f t="shared" si="65"/>
        <v>0.49673537911323384</v>
      </c>
      <c r="O562" s="25">
        <f t="shared" si="66"/>
        <v>-0.69969783107198091</v>
      </c>
      <c r="P562" s="25">
        <f t="shared" si="67"/>
        <v>1</v>
      </c>
      <c r="Q562" s="25">
        <f t="shared" si="71"/>
        <v>486.74620646715903</v>
      </c>
      <c r="R562" s="25">
        <f t="shared" si="68"/>
        <v>7</v>
      </c>
      <c r="S562" s="26">
        <f t="shared" si="69"/>
        <v>15</v>
      </c>
    </row>
    <row r="563" spans="2:19" x14ac:dyDescent="0.3">
      <c r="B563" s="24">
        <v>242710</v>
      </c>
      <c r="C563" s="25">
        <v>30</v>
      </c>
      <c r="D563" s="25">
        <v>1</v>
      </c>
      <c r="E563" s="25">
        <v>7</v>
      </c>
      <c r="F563" s="25">
        <v>7</v>
      </c>
      <c r="G563" s="25">
        <v>40</v>
      </c>
      <c r="H563" s="25">
        <v>11.4</v>
      </c>
      <c r="I563" s="25">
        <v>1.78</v>
      </c>
      <c r="J563" s="25">
        <v>2.78</v>
      </c>
      <c r="K563" s="26">
        <v>1</v>
      </c>
      <c r="L563" s="25">
        <f t="shared" si="64"/>
        <v>-0.85688347665123743</v>
      </c>
      <c r="M563" s="25">
        <f t="shared" si="70"/>
        <v>0.29799088768424697</v>
      </c>
      <c r="N563" s="25">
        <f t="shared" si="65"/>
        <v>0.29799088768424697</v>
      </c>
      <c r="O563" s="25">
        <f t="shared" si="66"/>
        <v>-1.2106923711850386</v>
      </c>
      <c r="P563" s="25">
        <f t="shared" si="67"/>
        <v>0</v>
      </c>
      <c r="Q563" s="25">
        <f t="shared" si="71"/>
        <v>511.84743014694715</v>
      </c>
      <c r="R563" s="25">
        <f t="shared" si="68"/>
        <v>7</v>
      </c>
      <c r="S563" s="26">
        <f t="shared" si="69"/>
        <v>13</v>
      </c>
    </row>
    <row r="564" spans="2:19" x14ac:dyDescent="0.3">
      <c r="B564" s="24">
        <v>242840</v>
      </c>
      <c r="C564" s="25">
        <v>25</v>
      </c>
      <c r="D564" s="25">
        <v>4</v>
      </c>
      <c r="E564" s="25">
        <v>0</v>
      </c>
      <c r="F564" s="25">
        <v>2</v>
      </c>
      <c r="G564" s="25">
        <v>35</v>
      </c>
      <c r="H564" s="25">
        <v>0.6</v>
      </c>
      <c r="I564" s="25">
        <v>7.0000000000000007E-2</v>
      </c>
      <c r="J564" s="25">
        <v>0.14000000000000001</v>
      </c>
      <c r="K564" s="26">
        <v>0</v>
      </c>
      <c r="L564" s="25">
        <f t="shared" si="64"/>
        <v>-1.1160574496012241</v>
      </c>
      <c r="M564" s="25">
        <f t="shared" si="70"/>
        <v>0.24674331825207316</v>
      </c>
      <c r="N564" s="25">
        <f t="shared" si="65"/>
        <v>0.75325668174792682</v>
      </c>
      <c r="O564" s="25">
        <f t="shared" si="66"/>
        <v>-0.28334923045291915</v>
      </c>
      <c r="P564" s="25">
        <f t="shared" si="67"/>
        <v>0</v>
      </c>
      <c r="Q564" s="25">
        <f t="shared" si="71"/>
        <v>519.32561004504873</v>
      </c>
      <c r="R564" s="25">
        <f t="shared" si="68"/>
        <v>6</v>
      </c>
      <c r="S564" s="26">
        <f t="shared" si="69"/>
        <v>13</v>
      </c>
    </row>
    <row r="565" spans="2:19" x14ac:dyDescent="0.3">
      <c r="B565" s="24">
        <v>243028</v>
      </c>
      <c r="C565" s="25">
        <v>38</v>
      </c>
      <c r="D565" s="25">
        <v>5</v>
      </c>
      <c r="E565" s="25">
        <v>11</v>
      </c>
      <c r="F565" s="25">
        <v>8</v>
      </c>
      <c r="G565" s="25">
        <v>40</v>
      </c>
      <c r="H565" s="25">
        <v>8.8000000000000007</v>
      </c>
      <c r="I565" s="25">
        <v>1.65</v>
      </c>
      <c r="J565" s="25">
        <v>1.87</v>
      </c>
      <c r="K565" s="26">
        <v>0</v>
      </c>
      <c r="L565" s="25">
        <f t="shared" si="64"/>
        <v>-2.5243971004222363</v>
      </c>
      <c r="M565" s="25">
        <f t="shared" si="70"/>
        <v>7.4165452626072728E-2</v>
      </c>
      <c r="N565" s="25">
        <f t="shared" si="65"/>
        <v>0.92583454737392723</v>
      </c>
      <c r="O565" s="25">
        <f t="shared" si="66"/>
        <v>-7.7059734842350527E-2</v>
      </c>
      <c r="P565" s="25">
        <f t="shared" si="67"/>
        <v>0</v>
      </c>
      <c r="Q565" s="25">
        <f t="shared" si="71"/>
        <v>559.96170149587317</v>
      </c>
      <c r="R565" s="25">
        <f t="shared" si="68"/>
        <v>5</v>
      </c>
      <c r="S565" s="26">
        <f t="shared" si="69"/>
        <v>10</v>
      </c>
    </row>
    <row r="566" spans="2:19" x14ac:dyDescent="0.3">
      <c r="B566" s="24">
        <v>243048</v>
      </c>
      <c r="C566" s="25">
        <v>18</v>
      </c>
      <c r="D566" s="25">
        <v>2</v>
      </c>
      <c r="E566" s="25">
        <v>0</v>
      </c>
      <c r="F566" s="25">
        <v>0</v>
      </c>
      <c r="G566" s="25">
        <v>34</v>
      </c>
      <c r="H566" s="25">
        <v>2.8</v>
      </c>
      <c r="I566" s="25">
        <v>0.28999999999999998</v>
      </c>
      <c r="J566" s="25">
        <v>0.66</v>
      </c>
      <c r="K566" s="26">
        <v>0</v>
      </c>
      <c r="L566" s="25">
        <f t="shared" si="64"/>
        <v>-0.45661848216295509</v>
      </c>
      <c r="M566" s="25">
        <f t="shared" si="70"/>
        <v>0.38778831980097284</v>
      </c>
      <c r="N566" s="25">
        <f t="shared" si="65"/>
        <v>0.61221168019902716</v>
      </c>
      <c r="O566" s="25">
        <f t="shared" si="66"/>
        <v>-0.4906771735952859</v>
      </c>
      <c r="P566" s="25">
        <f t="shared" si="67"/>
        <v>0</v>
      </c>
      <c r="Q566" s="25">
        <f t="shared" si="71"/>
        <v>500.29822402248169</v>
      </c>
      <c r="R566" s="25">
        <f t="shared" si="68"/>
        <v>7</v>
      </c>
      <c r="S566" s="26">
        <f t="shared" si="69"/>
        <v>14</v>
      </c>
    </row>
    <row r="567" spans="2:19" x14ac:dyDescent="0.3">
      <c r="B567" s="24">
        <v>243058</v>
      </c>
      <c r="C567" s="25">
        <v>53</v>
      </c>
      <c r="D567" s="25">
        <v>2</v>
      </c>
      <c r="E567" s="25">
        <v>10</v>
      </c>
      <c r="F567" s="25">
        <v>14</v>
      </c>
      <c r="G567" s="25">
        <v>62</v>
      </c>
      <c r="H567" s="25">
        <v>13.4</v>
      </c>
      <c r="I567" s="25">
        <v>2.38</v>
      </c>
      <c r="J567" s="25">
        <v>5.93</v>
      </c>
      <c r="K567" s="26">
        <v>1</v>
      </c>
      <c r="L567" s="25">
        <f t="shared" si="64"/>
        <v>-1.7463144990799195</v>
      </c>
      <c r="M567" s="25">
        <f t="shared" si="70"/>
        <v>0.14851265062929278</v>
      </c>
      <c r="N567" s="25">
        <f t="shared" si="65"/>
        <v>0.14851265062929278</v>
      </c>
      <c r="O567" s="25">
        <f t="shared" si="66"/>
        <v>-1.9070851349449485</v>
      </c>
      <c r="P567" s="25">
        <f t="shared" si="67"/>
        <v>0</v>
      </c>
      <c r="Q567" s="25">
        <f t="shared" si="71"/>
        <v>537.51098392500205</v>
      </c>
      <c r="R567" s="25">
        <f t="shared" si="68"/>
        <v>6</v>
      </c>
      <c r="S567" s="26">
        <f t="shared" si="69"/>
        <v>12</v>
      </c>
    </row>
    <row r="568" spans="2:19" x14ac:dyDescent="0.3">
      <c r="B568" s="24">
        <v>243076</v>
      </c>
      <c r="C568" s="25">
        <v>31</v>
      </c>
      <c r="D568" s="25">
        <v>1</v>
      </c>
      <c r="E568" s="25">
        <v>10</v>
      </c>
      <c r="F568" s="25">
        <v>5</v>
      </c>
      <c r="G568" s="25">
        <v>60</v>
      </c>
      <c r="H568" s="25">
        <v>27.3</v>
      </c>
      <c r="I568" s="25">
        <v>6.27</v>
      </c>
      <c r="J568" s="25">
        <v>10.11</v>
      </c>
      <c r="K568" s="26">
        <v>1</v>
      </c>
      <c r="L568" s="25">
        <f t="shared" si="64"/>
        <v>2.4077339362789303</v>
      </c>
      <c r="M568" s="25">
        <f t="shared" si="70"/>
        <v>0.91741515680757513</v>
      </c>
      <c r="N568" s="25">
        <f t="shared" si="65"/>
        <v>0.91741515680757513</v>
      </c>
      <c r="O568" s="25">
        <f t="shared" si="66"/>
        <v>-8.6195175473556332E-2</v>
      </c>
      <c r="P568" s="25">
        <f t="shared" si="67"/>
        <v>1</v>
      </c>
      <c r="Q568" s="25">
        <f t="shared" si="71"/>
        <v>417.65048577600135</v>
      </c>
      <c r="R568" s="25">
        <f t="shared" si="68"/>
        <v>8</v>
      </c>
      <c r="S568" s="26">
        <f t="shared" si="69"/>
        <v>16</v>
      </c>
    </row>
    <row r="569" spans="2:19" x14ac:dyDescent="0.3">
      <c r="B569" s="24">
        <v>243083</v>
      </c>
      <c r="C569" s="25">
        <v>38</v>
      </c>
      <c r="D569" s="25">
        <v>4</v>
      </c>
      <c r="E569" s="25">
        <v>7</v>
      </c>
      <c r="F569" s="25">
        <v>7</v>
      </c>
      <c r="G569" s="25">
        <v>274</v>
      </c>
      <c r="H569" s="25">
        <v>2.2999999999999998</v>
      </c>
      <c r="I569" s="25">
        <v>4.32</v>
      </c>
      <c r="J569" s="25">
        <v>1.99</v>
      </c>
      <c r="K569" s="26">
        <v>1</v>
      </c>
      <c r="L569" s="25">
        <f t="shared" si="64"/>
        <v>-0.86142457763591529</v>
      </c>
      <c r="M569" s="25">
        <f t="shared" si="70"/>
        <v>0.29704179651439261</v>
      </c>
      <c r="N569" s="25">
        <f t="shared" si="65"/>
        <v>0.29704179651439261</v>
      </c>
      <c r="O569" s="25">
        <f t="shared" si="66"/>
        <v>-1.2138824210761459</v>
      </c>
      <c r="P569" s="25">
        <f t="shared" si="67"/>
        <v>0</v>
      </c>
      <c r="Q569" s="25">
        <f t="shared" si="71"/>
        <v>511.97845862064895</v>
      </c>
      <c r="R569" s="25">
        <f t="shared" si="68"/>
        <v>7</v>
      </c>
      <c r="S569" s="26">
        <f t="shared" si="69"/>
        <v>13</v>
      </c>
    </row>
    <row r="570" spans="2:19" x14ac:dyDescent="0.3">
      <c r="B570" s="24">
        <v>243086</v>
      </c>
      <c r="C570" s="25">
        <v>19</v>
      </c>
      <c r="D570" s="25">
        <v>2</v>
      </c>
      <c r="E570" s="25">
        <v>0</v>
      </c>
      <c r="F570" s="25">
        <v>0</v>
      </c>
      <c r="G570" s="25">
        <v>21</v>
      </c>
      <c r="H570" s="25">
        <v>2.5</v>
      </c>
      <c r="I570" s="25">
        <v>0.03</v>
      </c>
      <c r="J570" s="25">
        <v>0.49</v>
      </c>
      <c r="K570" s="26">
        <v>0</v>
      </c>
      <c r="L570" s="25">
        <f t="shared" si="64"/>
        <v>-0.63842033464731751</v>
      </c>
      <c r="M570" s="25">
        <f t="shared" si="70"/>
        <v>0.34560371214486429</v>
      </c>
      <c r="N570" s="25">
        <f t="shared" si="65"/>
        <v>0.65439628785513571</v>
      </c>
      <c r="O570" s="25">
        <f t="shared" si="66"/>
        <v>-0.42404216630269675</v>
      </c>
      <c r="P570" s="25">
        <f t="shared" si="67"/>
        <v>0</v>
      </c>
      <c r="Q570" s="25">
        <f t="shared" si="71"/>
        <v>505.5439164938802</v>
      </c>
      <c r="R570" s="25">
        <f t="shared" si="68"/>
        <v>7</v>
      </c>
      <c r="S570" s="26">
        <f t="shared" si="69"/>
        <v>14</v>
      </c>
    </row>
    <row r="571" spans="2:19" x14ac:dyDescent="0.3">
      <c r="B571" s="24">
        <v>243118</v>
      </c>
      <c r="C571" s="25">
        <v>20</v>
      </c>
      <c r="D571" s="25">
        <v>1</v>
      </c>
      <c r="E571" s="25">
        <v>2</v>
      </c>
      <c r="F571" s="25">
        <v>0</v>
      </c>
      <c r="G571" s="25">
        <v>18</v>
      </c>
      <c r="H571" s="25">
        <v>2.2999999999999998</v>
      </c>
      <c r="I571" s="25">
        <v>0.06</v>
      </c>
      <c r="J571" s="25">
        <v>0.36</v>
      </c>
      <c r="K571" s="26">
        <v>0</v>
      </c>
      <c r="L571" s="25">
        <f t="shared" si="64"/>
        <v>-1.0687291980703493</v>
      </c>
      <c r="M571" s="25">
        <f t="shared" si="70"/>
        <v>0.25564483067085775</v>
      </c>
      <c r="N571" s="25">
        <f t="shared" si="65"/>
        <v>0.74435516932914225</v>
      </c>
      <c r="O571" s="25">
        <f t="shared" si="66"/>
        <v>-0.29523697992716719</v>
      </c>
      <c r="P571" s="25">
        <f t="shared" si="67"/>
        <v>0</v>
      </c>
      <c r="Q571" s="25">
        <f t="shared" si="71"/>
        <v>517.96000540820205</v>
      </c>
      <c r="R571" s="25">
        <f t="shared" si="68"/>
        <v>6</v>
      </c>
      <c r="S571" s="26">
        <f t="shared" si="69"/>
        <v>13</v>
      </c>
    </row>
    <row r="572" spans="2:19" x14ac:dyDescent="0.3">
      <c r="B572" s="24">
        <v>243175</v>
      </c>
      <c r="C572" s="25">
        <v>21</v>
      </c>
      <c r="D572" s="25">
        <v>2</v>
      </c>
      <c r="E572" s="25">
        <v>2</v>
      </c>
      <c r="F572" s="25">
        <v>1</v>
      </c>
      <c r="G572" s="25">
        <v>22</v>
      </c>
      <c r="H572" s="25">
        <v>9.1999999999999993</v>
      </c>
      <c r="I572" s="25">
        <v>1.05</v>
      </c>
      <c r="J572" s="25">
        <v>0.98</v>
      </c>
      <c r="K572" s="26">
        <v>1</v>
      </c>
      <c r="L572" s="25">
        <f t="shared" si="64"/>
        <v>-3.4572244919646167E-3</v>
      </c>
      <c r="M572" s="25">
        <f t="shared" si="70"/>
        <v>0.49913569473788555</v>
      </c>
      <c r="N572" s="25">
        <f t="shared" si="65"/>
        <v>0.49913569473788555</v>
      </c>
      <c r="O572" s="25">
        <f t="shared" si="66"/>
        <v>-0.69487728685533212</v>
      </c>
      <c r="P572" s="25">
        <f t="shared" si="67"/>
        <v>1</v>
      </c>
      <c r="Q572" s="25">
        <f t="shared" si="71"/>
        <v>487.2227544097687</v>
      </c>
      <c r="R572" s="25">
        <f t="shared" si="68"/>
        <v>7</v>
      </c>
      <c r="S572" s="26">
        <f t="shared" si="69"/>
        <v>15</v>
      </c>
    </row>
    <row r="573" spans="2:19" x14ac:dyDescent="0.3">
      <c r="B573" s="24">
        <v>243209</v>
      </c>
      <c r="C573" s="25">
        <v>19</v>
      </c>
      <c r="D573" s="25">
        <v>2</v>
      </c>
      <c r="E573" s="25">
        <v>0</v>
      </c>
      <c r="F573" s="25">
        <v>0</v>
      </c>
      <c r="G573" s="25">
        <v>17</v>
      </c>
      <c r="H573" s="25">
        <v>5.5</v>
      </c>
      <c r="I573" s="25">
        <v>0.51</v>
      </c>
      <c r="J573" s="25">
        <v>0.43</v>
      </c>
      <c r="K573" s="26">
        <v>0</v>
      </c>
      <c r="L573" s="25">
        <f t="shared" si="64"/>
        <v>-0.11455052940235427</v>
      </c>
      <c r="M573" s="25">
        <f t="shared" si="70"/>
        <v>0.4713936414435777</v>
      </c>
      <c r="N573" s="25">
        <f t="shared" si="65"/>
        <v>0.52860635855642224</v>
      </c>
      <c r="O573" s="25">
        <f t="shared" si="66"/>
        <v>-0.63751124783317625</v>
      </c>
      <c r="P573" s="25">
        <f t="shared" si="67"/>
        <v>1</v>
      </c>
      <c r="Q573" s="25">
        <f t="shared" si="71"/>
        <v>490.42822952032259</v>
      </c>
      <c r="R573" s="25">
        <f t="shared" si="68"/>
        <v>7</v>
      </c>
      <c r="S573" s="26">
        <f t="shared" si="69"/>
        <v>15</v>
      </c>
    </row>
    <row r="574" spans="2:19" x14ac:dyDescent="0.3">
      <c r="B574" s="24">
        <v>243340</v>
      </c>
      <c r="C574" s="25">
        <v>23</v>
      </c>
      <c r="D574" s="25">
        <v>4</v>
      </c>
      <c r="E574" s="25">
        <v>0</v>
      </c>
      <c r="F574" s="25">
        <v>1</v>
      </c>
      <c r="G574" s="25">
        <v>42</v>
      </c>
      <c r="H574" s="25">
        <v>12.2</v>
      </c>
      <c r="I574" s="25">
        <v>2.2400000000000002</v>
      </c>
      <c r="J574" s="25">
        <v>2.88</v>
      </c>
      <c r="K574" s="26">
        <v>0</v>
      </c>
      <c r="L574" s="25">
        <f t="shared" si="64"/>
        <v>1.2137902061072847</v>
      </c>
      <c r="M574" s="25">
        <f t="shared" si="70"/>
        <v>0.77096889519278522</v>
      </c>
      <c r="N574" s="25">
        <f t="shared" si="65"/>
        <v>0.22903110480721478</v>
      </c>
      <c r="O574" s="25">
        <f t="shared" si="66"/>
        <v>-1.4738974557993345</v>
      </c>
      <c r="P574" s="25">
        <f t="shared" si="67"/>
        <v>1</v>
      </c>
      <c r="Q574" s="25">
        <f t="shared" si="71"/>
        <v>452.10041877200098</v>
      </c>
      <c r="R574" s="25">
        <f t="shared" si="68"/>
        <v>8</v>
      </c>
      <c r="S574" s="26">
        <f t="shared" si="69"/>
        <v>16</v>
      </c>
    </row>
    <row r="575" spans="2:19" x14ac:dyDescent="0.3">
      <c r="B575" s="24">
        <v>243351</v>
      </c>
      <c r="C575" s="25">
        <v>65</v>
      </c>
      <c r="D575" s="25">
        <v>2</v>
      </c>
      <c r="E575" s="25">
        <v>25</v>
      </c>
      <c r="F575" s="25">
        <v>20</v>
      </c>
      <c r="G575" s="25">
        <v>48</v>
      </c>
      <c r="H575" s="25">
        <v>7.7</v>
      </c>
      <c r="I575" s="25">
        <v>2.81</v>
      </c>
      <c r="J575" s="25">
        <v>0.88</v>
      </c>
      <c r="K575" s="26">
        <v>0</v>
      </c>
      <c r="L575" s="25">
        <f t="shared" si="64"/>
        <v>-6.088839263197106</v>
      </c>
      <c r="M575" s="25">
        <f t="shared" si="70"/>
        <v>2.2629076200453026E-3</v>
      </c>
      <c r="N575" s="25">
        <f t="shared" si="65"/>
        <v>0.99773709237995467</v>
      </c>
      <c r="O575" s="25">
        <f t="shared" si="66"/>
        <v>-2.2654718646565796E-3</v>
      </c>
      <c r="P575" s="25">
        <f t="shared" si="67"/>
        <v>0</v>
      </c>
      <c r="Q575" s="25">
        <f t="shared" si="71"/>
        <v>662.80975921636298</v>
      </c>
      <c r="R575" s="25">
        <f t="shared" si="68"/>
        <v>2</v>
      </c>
      <c r="S575" s="26">
        <f t="shared" si="69"/>
        <v>1</v>
      </c>
    </row>
    <row r="576" spans="2:19" x14ac:dyDescent="0.3">
      <c r="B576" s="24">
        <v>243457</v>
      </c>
      <c r="C576" s="25">
        <v>45</v>
      </c>
      <c r="D576" s="25">
        <v>5</v>
      </c>
      <c r="E576" s="25">
        <v>18</v>
      </c>
      <c r="F576" s="25">
        <v>12</v>
      </c>
      <c r="G576" s="25">
        <v>88</v>
      </c>
      <c r="H576" s="25">
        <v>9.6</v>
      </c>
      <c r="I576" s="25">
        <v>4.04</v>
      </c>
      <c r="J576" s="25">
        <v>4.41</v>
      </c>
      <c r="K576" s="26">
        <v>0</v>
      </c>
      <c r="L576" s="25">
        <f t="shared" si="64"/>
        <v>-3.1032240420907198</v>
      </c>
      <c r="M576" s="25">
        <f t="shared" si="70"/>
        <v>4.297446209037465E-2</v>
      </c>
      <c r="N576" s="25">
        <f t="shared" si="65"/>
        <v>0.9570255379096253</v>
      </c>
      <c r="O576" s="25">
        <f t="shared" si="66"/>
        <v>-4.3925202504222563E-2</v>
      </c>
      <c r="P576" s="25">
        <f t="shared" si="67"/>
        <v>0</v>
      </c>
      <c r="Q576" s="25">
        <f t="shared" si="71"/>
        <v>576.6631161880814</v>
      </c>
      <c r="R576" s="25">
        <f t="shared" si="68"/>
        <v>5</v>
      </c>
      <c r="S576" s="26">
        <f t="shared" si="69"/>
        <v>9</v>
      </c>
    </row>
    <row r="577" spans="2:19" x14ac:dyDescent="0.3">
      <c r="B577" s="24">
        <v>243535</v>
      </c>
      <c r="C577" s="25">
        <v>21</v>
      </c>
      <c r="D577" s="25">
        <v>3</v>
      </c>
      <c r="E577" s="25">
        <v>0</v>
      </c>
      <c r="F577" s="25">
        <v>1</v>
      </c>
      <c r="G577" s="25">
        <v>22</v>
      </c>
      <c r="H577" s="25">
        <v>1.5</v>
      </c>
      <c r="I577" s="25">
        <v>0.1</v>
      </c>
      <c r="J577" s="25">
        <v>0.23</v>
      </c>
      <c r="K577" s="26">
        <v>0</v>
      </c>
      <c r="L577" s="25">
        <f t="shared" si="64"/>
        <v>-0.84039667504372906</v>
      </c>
      <c r="M577" s="25">
        <f t="shared" si="70"/>
        <v>0.30145124622617359</v>
      </c>
      <c r="N577" s="25">
        <f t="shared" si="65"/>
        <v>0.69854875377382641</v>
      </c>
      <c r="O577" s="25">
        <f t="shared" si="66"/>
        <v>-0.35875030490580467</v>
      </c>
      <c r="P577" s="25">
        <f t="shared" si="67"/>
        <v>0</v>
      </c>
      <c r="Q577" s="25">
        <f t="shared" si="71"/>
        <v>511.37172162204422</v>
      </c>
      <c r="R577" s="25">
        <f t="shared" si="68"/>
        <v>7</v>
      </c>
      <c r="S577" s="26">
        <f t="shared" si="69"/>
        <v>13</v>
      </c>
    </row>
    <row r="578" spans="2:19" x14ac:dyDescent="0.3">
      <c r="B578" s="24">
        <v>243547</v>
      </c>
      <c r="C578" s="25">
        <v>54</v>
      </c>
      <c r="D578" s="25">
        <v>3</v>
      </c>
      <c r="E578" s="25">
        <v>8</v>
      </c>
      <c r="F578" s="25">
        <v>10</v>
      </c>
      <c r="G578" s="25">
        <v>67</v>
      </c>
      <c r="H578" s="25">
        <v>10.5</v>
      </c>
      <c r="I578" s="25">
        <v>1.25</v>
      </c>
      <c r="J578" s="25">
        <v>5.79</v>
      </c>
      <c r="K578" s="26">
        <v>0</v>
      </c>
      <c r="L578" s="25">
        <f t="shared" si="64"/>
        <v>-2.0651759680209292</v>
      </c>
      <c r="M578" s="25">
        <f t="shared" si="70"/>
        <v>0.11252789254177704</v>
      </c>
      <c r="N578" s="25">
        <f t="shared" si="65"/>
        <v>0.88747210745822291</v>
      </c>
      <c r="O578" s="25">
        <f t="shared" si="66"/>
        <v>-0.11937818634252978</v>
      </c>
      <c r="P578" s="25">
        <f t="shared" si="67"/>
        <v>0</v>
      </c>
      <c r="Q578" s="25">
        <f t="shared" si="71"/>
        <v>546.7113808636791</v>
      </c>
      <c r="R578" s="25">
        <f t="shared" si="68"/>
        <v>6</v>
      </c>
      <c r="S578" s="26">
        <f t="shared" si="69"/>
        <v>11</v>
      </c>
    </row>
    <row r="579" spans="2:19" x14ac:dyDescent="0.3">
      <c r="B579" s="24">
        <v>243554</v>
      </c>
      <c r="C579" s="25">
        <v>22</v>
      </c>
      <c r="D579" s="25">
        <v>4</v>
      </c>
      <c r="E579" s="25">
        <v>0</v>
      </c>
      <c r="F579" s="25">
        <v>2</v>
      </c>
      <c r="G579" s="25">
        <v>24</v>
      </c>
      <c r="H579" s="25">
        <v>8</v>
      </c>
      <c r="I579" s="25">
        <v>0.64</v>
      </c>
      <c r="J579" s="25">
        <v>1.28</v>
      </c>
      <c r="K579" s="26">
        <v>1</v>
      </c>
      <c r="L579" s="25">
        <f t="shared" si="64"/>
        <v>-1.7782572866939295E-2</v>
      </c>
      <c r="M579" s="25">
        <f t="shared" si="70"/>
        <v>0.49555447392963109</v>
      </c>
      <c r="N579" s="25">
        <f t="shared" si="65"/>
        <v>0.49555447392963109</v>
      </c>
      <c r="O579" s="25">
        <f t="shared" si="66"/>
        <v>-0.7020779939598395</v>
      </c>
      <c r="P579" s="25">
        <f t="shared" si="67"/>
        <v>1</v>
      </c>
      <c r="Q579" s="25">
        <f t="shared" si="71"/>
        <v>487.63609657924536</v>
      </c>
      <c r="R579" s="25">
        <f t="shared" si="68"/>
        <v>7</v>
      </c>
      <c r="S579" s="26">
        <f t="shared" si="69"/>
        <v>15</v>
      </c>
    </row>
    <row r="580" spans="2:19" x14ac:dyDescent="0.3">
      <c r="B580" s="24">
        <v>243564</v>
      </c>
      <c r="C580" s="25">
        <v>20</v>
      </c>
      <c r="D580" s="25">
        <v>3</v>
      </c>
      <c r="E580" s="25">
        <v>0</v>
      </c>
      <c r="F580" s="25">
        <v>0</v>
      </c>
      <c r="G580" s="25">
        <v>23</v>
      </c>
      <c r="H580" s="25">
        <v>14.2</v>
      </c>
      <c r="I580" s="25">
        <v>1.86</v>
      </c>
      <c r="J580" s="25">
        <v>1.4</v>
      </c>
      <c r="K580" s="26">
        <v>1</v>
      </c>
      <c r="L580" s="25">
        <f t="shared" si="64"/>
        <v>1.3424073234160467</v>
      </c>
      <c r="M580" s="25">
        <f t="shared" si="70"/>
        <v>0.79288554615202522</v>
      </c>
      <c r="N580" s="25">
        <f t="shared" si="65"/>
        <v>0.79288554615202522</v>
      </c>
      <c r="O580" s="25">
        <f t="shared" si="66"/>
        <v>-0.23207639796310614</v>
      </c>
      <c r="P580" s="25">
        <f t="shared" si="67"/>
        <v>1</v>
      </c>
      <c r="Q580" s="25">
        <f t="shared" si="71"/>
        <v>448.38931333088573</v>
      </c>
      <c r="R580" s="25">
        <f t="shared" si="68"/>
        <v>8</v>
      </c>
      <c r="S580" s="26">
        <f t="shared" si="69"/>
        <v>16</v>
      </c>
    </row>
    <row r="581" spans="2:19" x14ac:dyDescent="0.3">
      <c r="B581" s="24">
        <v>243569</v>
      </c>
      <c r="C581" s="25">
        <v>41</v>
      </c>
      <c r="D581" s="25">
        <v>2</v>
      </c>
      <c r="E581" s="25">
        <v>12</v>
      </c>
      <c r="F581" s="25">
        <v>9</v>
      </c>
      <c r="G581" s="25">
        <v>58</v>
      </c>
      <c r="H581" s="25">
        <v>13.1</v>
      </c>
      <c r="I581" s="25">
        <v>3.78</v>
      </c>
      <c r="J581" s="25">
        <v>3.81</v>
      </c>
      <c r="K581" s="26">
        <v>0</v>
      </c>
      <c r="L581" s="25">
        <f t="shared" ref="L581:L644" si="72">$Y$4+SUMPRODUCT($Z$4:$AG$4,C581:J581)</f>
        <v>-1.1975723510649083</v>
      </c>
      <c r="M581" s="25">
        <f t="shared" si="70"/>
        <v>0.2319073632476486</v>
      </c>
      <c r="N581" s="25">
        <f t="shared" ref="N581:N644" si="73">IF(K581=1,M581,(1-M581))</f>
        <v>0.7680926367523514</v>
      </c>
      <c r="O581" s="25">
        <f t="shared" ref="O581:O644" si="74">LN(N581)</f>
        <v>-0.2638449323372743</v>
      </c>
      <c r="P581" s="25">
        <f t="shared" ref="P581:P644" si="75">IF(M581&gt;0.4,1,0)</f>
        <v>0</v>
      </c>
      <c r="Q581" s="25">
        <f t="shared" si="71"/>
        <v>521.67763286039178</v>
      </c>
      <c r="R581" s="25">
        <f t="shared" ref="R581:R644" si="76">VLOOKUP(M581,$U$9:$W$16,3,TRUE)</f>
        <v>6</v>
      </c>
      <c r="S581" s="26">
        <f t="shared" ref="S581:S644" si="77">VLOOKUP(M581,$U$21:$W$37,3,TRUE)</f>
        <v>13</v>
      </c>
    </row>
    <row r="582" spans="2:19" x14ac:dyDescent="0.3">
      <c r="B582" s="24">
        <v>243578</v>
      </c>
      <c r="C582" s="25">
        <v>36</v>
      </c>
      <c r="D582" s="25">
        <v>2</v>
      </c>
      <c r="E582" s="25">
        <v>14</v>
      </c>
      <c r="F582" s="25">
        <v>3</v>
      </c>
      <c r="G582" s="25">
        <v>71</v>
      </c>
      <c r="H582" s="25">
        <v>6.9</v>
      </c>
      <c r="I582" s="25">
        <v>1.43</v>
      </c>
      <c r="J582" s="25">
        <v>3.47</v>
      </c>
      <c r="K582" s="26">
        <v>0</v>
      </c>
      <c r="L582" s="25">
        <f t="shared" si="72"/>
        <v>-3.0832046019587853</v>
      </c>
      <c r="M582" s="25">
        <f t="shared" ref="M582:M645" si="78">EXP(L582)/(1+EXP(L582))</f>
        <v>4.380538950361737E-2</v>
      </c>
      <c r="N582" s="25">
        <f t="shared" si="73"/>
        <v>0.95619461049638266</v>
      </c>
      <c r="O582" s="25">
        <f t="shared" si="74"/>
        <v>-4.4793819182945227E-2</v>
      </c>
      <c r="P582" s="25">
        <f t="shared" si="75"/>
        <v>0</v>
      </c>
      <c r="Q582" s="25">
        <f t="shared" si="71"/>
        <v>576.08547726445863</v>
      </c>
      <c r="R582" s="25">
        <f t="shared" si="76"/>
        <v>5</v>
      </c>
      <c r="S582" s="26">
        <f t="shared" si="77"/>
        <v>9</v>
      </c>
    </row>
    <row r="583" spans="2:19" x14ac:dyDescent="0.3">
      <c r="B583" s="24">
        <v>243624</v>
      </c>
      <c r="C583" s="25">
        <v>33</v>
      </c>
      <c r="D583" s="25">
        <v>3</v>
      </c>
      <c r="E583" s="25">
        <v>11</v>
      </c>
      <c r="F583" s="25">
        <v>8</v>
      </c>
      <c r="G583" s="25">
        <v>79</v>
      </c>
      <c r="H583" s="25">
        <v>10.8</v>
      </c>
      <c r="I583" s="25">
        <v>3.08</v>
      </c>
      <c r="J583" s="25">
        <v>5.45</v>
      </c>
      <c r="K583" s="26">
        <v>0</v>
      </c>
      <c r="L583" s="25">
        <f t="shared" si="72"/>
        <v>-1.3342492801771388</v>
      </c>
      <c r="M583" s="25">
        <f t="shared" si="78"/>
        <v>0.20845735309564775</v>
      </c>
      <c r="N583" s="25">
        <f t="shared" si="73"/>
        <v>0.79154264690435228</v>
      </c>
      <c r="O583" s="25">
        <f t="shared" si="74"/>
        <v>-0.23377151999529369</v>
      </c>
      <c r="P583" s="25">
        <f t="shared" si="75"/>
        <v>0</v>
      </c>
      <c r="Q583" s="25">
        <f t="shared" si="71"/>
        <v>525.62129530530319</v>
      </c>
      <c r="R583" s="25">
        <f t="shared" si="76"/>
        <v>6</v>
      </c>
      <c r="S583" s="26">
        <f t="shared" si="77"/>
        <v>13</v>
      </c>
    </row>
    <row r="584" spans="2:19" x14ac:dyDescent="0.3">
      <c r="B584" s="24">
        <v>243673</v>
      </c>
      <c r="C584" s="25">
        <v>23</v>
      </c>
      <c r="D584" s="25">
        <v>2</v>
      </c>
      <c r="E584" s="25">
        <v>2</v>
      </c>
      <c r="F584" s="25">
        <v>2</v>
      </c>
      <c r="G584" s="25">
        <v>34</v>
      </c>
      <c r="H584" s="25">
        <v>3.3</v>
      </c>
      <c r="I584" s="25">
        <v>0.22</v>
      </c>
      <c r="J584" s="25">
        <v>0.9</v>
      </c>
      <c r="K584" s="26">
        <v>0</v>
      </c>
      <c r="L584" s="25">
        <f t="shared" si="72"/>
        <v>-1.0595715424077976</v>
      </c>
      <c r="M584" s="25">
        <f t="shared" si="78"/>
        <v>0.25739134201344899</v>
      </c>
      <c r="N584" s="25">
        <f t="shared" si="73"/>
        <v>0.74260865798655096</v>
      </c>
      <c r="O584" s="25">
        <f t="shared" si="74"/>
        <v>-0.2975860782894138</v>
      </c>
      <c r="P584" s="25">
        <f t="shared" si="75"/>
        <v>0</v>
      </c>
      <c r="Q584" s="25">
        <f t="shared" si="71"/>
        <v>517.69577132748032</v>
      </c>
      <c r="R584" s="25">
        <f t="shared" si="76"/>
        <v>6</v>
      </c>
      <c r="S584" s="26">
        <f t="shared" si="77"/>
        <v>13</v>
      </c>
    </row>
    <row r="585" spans="2:19" x14ac:dyDescent="0.3">
      <c r="B585" s="24">
        <v>243859</v>
      </c>
      <c r="C585" s="25">
        <v>46</v>
      </c>
      <c r="D585" s="25">
        <v>3</v>
      </c>
      <c r="E585" s="25">
        <v>8</v>
      </c>
      <c r="F585" s="25">
        <v>6</v>
      </c>
      <c r="G585" s="25">
        <v>119</v>
      </c>
      <c r="H585" s="25">
        <v>5.6</v>
      </c>
      <c r="I585" s="25">
        <v>1.1100000000000001</v>
      </c>
      <c r="J585" s="25">
        <v>5.55</v>
      </c>
      <c r="K585" s="26">
        <v>1</v>
      </c>
      <c r="L585" s="25">
        <f t="shared" si="72"/>
        <v>-2.3110983689330147</v>
      </c>
      <c r="M585" s="25">
        <f t="shared" si="78"/>
        <v>9.0207960449501717E-2</v>
      </c>
      <c r="N585" s="25">
        <f t="shared" si="73"/>
        <v>9.0207960449501717E-2</v>
      </c>
      <c r="O585" s="25">
        <f t="shared" si="74"/>
        <v>-2.4056376024872361</v>
      </c>
      <c r="P585" s="25">
        <f t="shared" si="75"/>
        <v>0</v>
      </c>
      <c r="Q585" s="25">
        <f t="shared" ref="Q585:Q648" si="79">28.8539*LN((1-M585)/(M585))+487.123</f>
        <v>553.80720122735624</v>
      </c>
      <c r="R585" s="25">
        <f t="shared" si="76"/>
        <v>6</v>
      </c>
      <c r="S585" s="26">
        <f t="shared" si="77"/>
        <v>10</v>
      </c>
    </row>
    <row r="586" spans="2:19" x14ac:dyDescent="0.3">
      <c r="B586" s="24">
        <v>243929</v>
      </c>
      <c r="C586" s="25">
        <v>21</v>
      </c>
      <c r="D586" s="25">
        <v>3</v>
      </c>
      <c r="E586" s="25">
        <v>0</v>
      </c>
      <c r="F586" s="25">
        <v>0</v>
      </c>
      <c r="G586" s="25">
        <v>15</v>
      </c>
      <c r="H586" s="25">
        <v>6.1</v>
      </c>
      <c r="I586" s="25">
        <v>7.0000000000000007E-2</v>
      </c>
      <c r="J586" s="25">
        <v>0.84</v>
      </c>
      <c r="K586" s="26">
        <v>1</v>
      </c>
      <c r="L586" s="25">
        <f t="shared" si="72"/>
        <v>-0.34996916309919146</v>
      </c>
      <c r="M586" s="25">
        <f t="shared" si="78"/>
        <v>0.41338989897075956</v>
      </c>
      <c r="N586" s="25">
        <f t="shared" si="73"/>
        <v>0.41338989897075956</v>
      </c>
      <c r="O586" s="25">
        <f t="shared" si="74"/>
        <v>-0.88336406606598072</v>
      </c>
      <c r="P586" s="25">
        <f t="shared" si="75"/>
        <v>1</v>
      </c>
      <c r="Q586" s="25">
        <f t="shared" si="79"/>
        <v>497.22097523514776</v>
      </c>
      <c r="R586" s="25">
        <f t="shared" si="76"/>
        <v>7</v>
      </c>
      <c r="S586" s="26">
        <f t="shared" si="77"/>
        <v>14</v>
      </c>
    </row>
    <row r="587" spans="2:19" x14ac:dyDescent="0.3">
      <c r="B587" s="24">
        <v>243957</v>
      </c>
      <c r="C587" s="25">
        <v>28</v>
      </c>
      <c r="D587" s="25">
        <v>4</v>
      </c>
      <c r="E587" s="25">
        <v>2</v>
      </c>
      <c r="F587" s="25">
        <v>4</v>
      </c>
      <c r="G587" s="25">
        <v>62</v>
      </c>
      <c r="H587" s="25">
        <v>34.799999999999997</v>
      </c>
      <c r="I587" s="25">
        <v>3.86</v>
      </c>
      <c r="J587" s="25">
        <v>17.71</v>
      </c>
      <c r="K587" s="26">
        <v>1</v>
      </c>
      <c r="L587" s="25">
        <f t="shared" si="72"/>
        <v>3.9518170547156535</v>
      </c>
      <c r="M587" s="25">
        <f t="shared" si="78"/>
        <v>0.9811426861005238</v>
      </c>
      <c r="N587" s="25">
        <f t="shared" si="73"/>
        <v>0.9811426861005238</v>
      </c>
      <c r="O587" s="25">
        <f t="shared" si="74"/>
        <v>-1.9037380349792677E-2</v>
      </c>
      <c r="P587" s="25">
        <f t="shared" si="75"/>
        <v>1</v>
      </c>
      <c r="Q587" s="25">
        <f t="shared" si="79"/>
        <v>373.09766588493994</v>
      </c>
      <c r="R587" s="25">
        <f t="shared" si="76"/>
        <v>8</v>
      </c>
      <c r="S587" s="26">
        <f t="shared" si="77"/>
        <v>17</v>
      </c>
    </row>
    <row r="588" spans="2:19" x14ac:dyDescent="0.3">
      <c r="B588" s="24">
        <v>243958</v>
      </c>
      <c r="C588" s="25">
        <v>39</v>
      </c>
      <c r="D588" s="25">
        <v>3</v>
      </c>
      <c r="E588" s="25">
        <v>9</v>
      </c>
      <c r="F588" s="25">
        <v>8</v>
      </c>
      <c r="G588" s="25">
        <v>69</v>
      </c>
      <c r="H588" s="25">
        <v>6</v>
      </c>
      <c r="I588" s="25">
        <v>0.55000000000000004</v>
      </c>
      <c r="J588" s="25">
        <v>3.59</v>
      </c>
      <c r="K588" s="26">
        <v>0</v>
      </c>
      <c r="L588" s="25">
        <f t="shared" si="72"/>
        <v>-2.7370669172104822</v>
      </c>
      <c r="M588" s="25">
        <f t="shared" si="78"/>
        <v>6.0821231234313287E-2</v>
      </c>
      <c r="N588" s="25">
        <f t="shared" si="73"/>
        <v>0.93917876876568673</v>
      </c>
      <c r="O588" s="25">
        <f t="shared" si="74"/>
        <v>-6.2749435822157154E-2</v>
      </c>
      <c r="P588" s="25">
        <f t="shared" si="75"/>
        <v>0</v>
      </c>
      <c r="Q588" s="25">
        <f t="shared" si="79"/>
        <v>566.09805512249955</v>
      </c>
      <c r="R588" s="25">
        <f t="shared" si="76"/>
        <v>5</v>
      </c>
      <c r="S588" s="26">
        <f t="shared" si="77"/>
        <v>9</v>
      </c>
    </row>
    <row r="589" spans="2:19" x14ac:dyDescent="0.3">
      <c r="B589" s="24">
        <v>243998</v>
      </c>
      <c r="C589" s="25">
        <v>54</v>
      </c>
      <c r="D589" s="25">
        <v>4</v>
      </c>
      <c r="E589" s="25">
        <v>4</v>
      </c>
      <c r="F589" s="25">
        <v>9</v>
      </c>
      <c r="G589" s="25">
        <v>69</v>
      </c>
      <c r="H589" s="25">
        <v>12</v>
      </c>
      <c r="I589" s="25">
        <v>1.18</v>
      </c>
      <c r="J589" s="25">
        <v>7.1</v>
      </c>
      <c r="K589" s="26">
        <v>0</v>
      </c>
      <c r="L589" s="25">
        <f t="shared" si="72"/>
        <v>-1.031391619576389</v>
      </c>
      <c r="M589" s="25">
        <f t="shared" si="78"/>
        <v>0.26281439864944778</v>
      </c>
      <c r="N589" s="25">
        <f t="shared" si="73"/>
        <v>0.73718560135055222</v>
      </c>
      <c r="O589" s="25">
        <f t="shared" si="74"/>
        <v>-0.30491558491471554</v>
      </c>
      <c r="P589" s="25">
        <f t="shared" si="75"/>
        <v>0</v>
      </c>
      <c r="Q589" s="25">
        <f t="shared" si="79"/>
        <v>516.88267065209516</v>
      </c>
      <c r="R589" s="25">
        <f t="shared" si="76"/>
        <v>7</v>
      </c>
      <c r="S589" s="26">
        <f t="shared" si="77"/>
        <v>13</v>
      </c>
    </row>
    <row r="590" spans="2:19" x14ac:dyDescent="0.3">
      <c r="B590" s="24">
        <v>244010</v>
      </c>
      <c r="C590" s="25">
        <v>75</v>
      </c>
      <c r="D590" s="25">
        <v>1</v>
      </c>
      <c r="E590" s="25">
        <v>22</v>
      </c>
      <c r="F590" s="25">
        <v>23</v>
      </c>
      <c r="G590" s="25">
        <v>56</v>
      </c>
      <c r="H590" s="25">
        <v>7.8</v>
      </c>
      <c r="I590" s="25">
        <v>1.79</v>
      </c>
      <c r="J590" s="25">
        <v>2.58</v>
      </c>
      <c r="K590" s="26">
        <v>0</v>
      </c>
      <c r="L590" s="25">
        <f t="shared" si="72"/>
        <v>-6.0991476954690969</v>
      </c>
      <c r="M590" s="25">
        <f t="shared" si="78"/>
        <v>2.2397523889893622E-3</v>
      </c>
      <c r="N590" s="25">
        <f t="shared" si="73"/>
        <v>0.99776024761101068</v>
      </c>
      <c r="O590" s="25">
        <f t="shared" si="74"/>
        <v>-2.242264385906296E-3</v>
      </c>
      <c r="P590" s="25">
        <f t="shared" si="75"/>
        <v>0</v>
      </c>
      <c r="Q590" s="25">
        <f t="shared" si="79"/>
        <v>663.10719769029572</v>
      </c>
      <c r="R590" s="25">
        <f t="shared" si="76"/>
        <v>2</v>
      </c>
      <c r="S590" s="26">
        <f t="shared" si="77"/>
        <v>1</v>
      </c>
    </row>
    <row r="591" spans="2:19" x14ac:dyDescent="0.3">
      <c r="B591" s="24">
        <v>244023</v>
      </c>
      <c r="C591" s="25">
        <v>31</v>
      </c>
      <c r="D591" s="25">
        <v>4</v>
      </c>
      <c r="E591" s="25">
        <v>1</v>
      </c>
      <c r="F591" s="25">
        <v>7</v>
      </c>
      <c r="G591" s="25">
        <v>69</v>
      </c>
      <c r="H591" s="25">
        <v>0.4</v>
      </c>
      <c r="I591" s="25">
        <v>0.19</v>
      </c>
      <c r="J591" s="25">
        <v>0.09</v>
      </c>
      <c r="K591" s="26">
        <v>0</v>
      </c>
      <c r="L591" s="25">
        <f t="shared" si="72"/>
        <v>-1.5916116817145669</v>
      </c>
      <c r="M591" s="25">
        <f t="shared" si="78"/>
        <v>0.1691572654199997</v>
      </c>
      <c r="N591" s="25">
        <f t="shared" si="73"/>
        <v>0.83084273458000024</v>
      </c>
      <c r="O591" s="25">
        <f t="shared" si="74"/>
        <v>-0.1853147504359452</v>
      </c>
      <c r="P591" s="25">
        <f t="shared" si="75"/>
        <v>0</v>
      </c>
      <c r="Q591" s="25">
        <f t="shared" si="79"/>
        <v>533.04720430302393</v>
      </c>
      <c r="R591" s="25">
        <f t="shared" si="76"/>
        <v>6</v>
      </c>
      <c r="S591" s="26">
        <f t="shared" si="77"/>
        <v>12</v>
      </c>
    </row>
    <row r="592" spans="2:19" x14ac:dyDescent="0.3">
      <c r="B592" s="24">
        <v>244034</v>
      </c>
      <c r="C592" s="25">
        <v>55</v>
      </c>
      <c r="D592" s="25">
        <v>2</v>
      </c>
      <c r="E592" s="25">
        <v>32</v>
      </c>
      <c r="F592" s="25">
        <v>8</v>
      </c>
      <c r="G592" s="25">
        <v>229</v>
      </c>
      <c r="H592" s="25">
        <v>4.9000000000000004</v>
      </c>
      <c r="I592" s="25">
        <v>3.03</v>
      </c>
      <c r="J592" s="25">
        <v>8.19</v>
      </c>
      <c r="K592" s="26">
        <v>0</v>
      </c>
      <c r="L592" s="25">
        <f t="shared" si="72"/>
        <v>-7.0165586741874275</v>
      </c>
      <c r="M592" s="25">
        <f t="shared" si="78"/>
        <v>8.9610301549882703E-4</v>
      </c>
      <c r="N592" s="25">
        <f t="shared" si="73"/>
        <v>0.99910389698450119</v>
      </c>
      <c r="O592" s="25">
        <f t="shared" si="74"/>
        <v>-8.9650475582440773E-4</v>
      </c>
      <c r="P592" s="25">
        <f t="shared" si="75"/>
        <v>0</v>
      </c>
      <c r="Q592" s="25">
        <f t="shared" si="79"/>
        <v>689.57808232913658</v>
      </c>
      <c r="R592" s="25">
        <f t="shared" si="76"/>
        <v>1</v>
      </c>
      <c r="S592" s="26">
        <f t="shared" si="77"/>
        <v>1</v>
      </c>
    </row>
    <row r="593" spans="2:19" x14ac:dyDescent="0.3">
      <c r="B593" s="24">
        <v>244067</v>
      </c>
      <c r="C593" s="25">
        <v>20</v>
      </c>
      <c r="D593" s="25">
        <v>3</v>
      </c>
      <c r="E593" s="25">
        <v>0</v>
      </c>
      <c r="F593" s="25">
        <v>0</v>
      </c>
      <c r="G593" s="25">
        <v>18</v>
      </c>
      <c r="H593" s="25">
        <v>17.399999999999999</v>
      </c>
      <c r="I593" s="25">
        <v>0.42</v>
      </c>
      <c r="J593" s="25">
        <v>2.71</v>
      </c>
      <c r="K593" s="26">
        <v>0</v>
      </c>
      <c r="L593" s="25">
        <f t="shared" si="72"/>
        <v>1.0108664610465921</v>
      </c>
      <c r="M593" s="25">
        <f t="shared" si="78"/>
        <v>0.73318968282079477</v>
      </c>
      <c r="N593" s="25">
        <f t="shared" si="73"/>
        <v>0.26681031717920523</v>
      </c>
      <c r="O593" s="25">
        <f t="shared" si="74"/>
        <v>-1.3212172956013608</v>
      </c>
      <c r="P593" s="25">
        <f t="shared" si="75"/>
        <v>1</v>
      </c>
      <c r="Q593" s="25">
        <f t="shared" si="79"/>
        <v>457.95556021960772</v>
      </c>
      <c r="R593" s="25">
        <f t="shared" si="76"/>
        <v>8</v>
      </c>
      <c r="S593" s="26">
        <f t="shared" si="77"/>
        <v>16</v>
      </c>
    </row>
    <row r="594" spans="2:19" x14ac:dyDescent="0.3">
      <c r="B594" s="24">
        <v>244106</v>
      </c>
      <c r="C594" s="25">
        <v>39</v>
      </c>
      <c r="D594" s="25">
        <v>5</v>
      </c>
      <c r="E594" s="25">
        <v>3</v>
      </c>
      <c r="F594" s="25">
        <v>9</v>
      </c>
      <c r="G594" s="25">
        <v>42</v>
      </c>
      <c r="H594" s="25">
        <v>15.2</v>
      </c>
      <c r="I594" s="25">
        <v>3.08</v>
      </c>
      <c r="J594" s="25">
        <v>3.31</v>
      </c>
      <c r="K594" s="26">
        <v>0</v>
      </c>
      <c r="L594" s="25">
        <f t="shared" si="72"/>
        <v>0.58304456028646889</v>
      </c>
      <c r="M594" s="25">
        <f t="shared" si="78"/>
        <v>0.64176765832586857</v>
      </c>
      <c r="N594" s="25">
        <f t="shared" si="73"/>
        <v>0.35823234167413143</v>
      </c>
      <c r="O594" s="25">
        <f t="shared" si="74"/>
        <v>-1.0265735040005184</v>
      </c>
      <c r="P594" s="25">
        <f t="shared" si="75"/>
        <v>1</v>
      </c>
      <c r="Q594" s="25">
        <f t="shared" si="79"/>
        <v>470.29989056195024</v>
      </c>
      <c r="R594" s="25">
        <f t="shared" si="76"/>
        <v>7</v>
      </c>
      <c r="S594" s="26">
        <f t="shared" si="77"/>
        <v>15</v>
      </c>
    </row>
    <row r="595" spans="2:19" x14ac:dyDescent="0.3">
      <c r="B595" s="24">
        <v>244123</v>
      </c>
      <c r="C595" s="25">
        <v>37</v>
      </c>
      <c r="D595" s="25">
        <v>3</v>
      </c>
      <c r="E595" s="25">
        <v>2</v>
      </c>
      <c r="F595" s="25">
        <v>8</v>
      </c>
      <c r="G595" s="25">
        <v>55</v>
      </c>
      <c r="H595" s="25">
        <v>8</v>
      </c>
      <c r="I595" s="25">
        <v>1.64</v>
      </c>
      <c r="J595" s="25">
        <v>2.76</v>
      </c>
      <c r="K595" s="26">
        <v>0</v>
      </c>
      <c r="L595" s="25">
        <f t="shared" si="72"/>
        <v>-0.41851583421570876</v>
      </c>
      <c r="M595" s="25">
        <f t="shared" si="78"/>
        <v>0.39687195246103146</v>
      </c>
      <c r="N595" s="25">
        <f t="shared" si="73"/>
        <v>0.60312804753896854</v>
      </c>
      <c r="O595" s="25">
        <f t="shared" si="74"/>
        <v>-0.50562575398730059</v>
      </c>
      <c r="P595" s="25">
        <f t="shared" si="75"/>
        <v>0</v>
      </c>
      <c r="Q595" s="25">
        <f t="shared" si="79"/>
        <v>499.1988140288766</v>
      </c>
      <c r="R595" s="25">
        <f t="shared" si="76"/>
        <v>7</v>
      </c>
      <c r="S595" s="26">
        <f t="shared" si="77"/>
        <v>14</v>
      </c>
    </row>
    <row r="596" spans="2:19" x14ac:dyDescent="0.3">
      <c r="B596" s="24">
        <v>244159</v>
      </c>
      <c r="C596" s="25">
        <v>20</v>
      </c>
      <c r="D596" s="25">
        <v>3</v>
      </c>
      <c r="E596" s="25">
        <v>0</v>
      </c>
      <c r="F596" s="25">
        <v>0</v>
      </c>
      <c r="G596" s="25">
        <v>41</v>
      </c>
      <c r="H596" s="25">
        <v>4.3</v>
      </c>
      <c r="I596" s="25">
        <v>0.47</v>
      </c>
      <c r="J596" s="25">
        <v>1.29</v>
      </c>
      <c r="K596" s="26">
        <v>0</v>
      </c>
      <c r="L596" s="25">
        <f t="shared" si="72"/>
        <v>-0.30114363283972234</v>
      </c>
      <c r="M596" s="25">
        <f t="shared" si="78"/>
        <v>0.42527793646480083</v>
      </c>
      <c r="N596" s="25">
        <f t="shared" si="73"/>
        <v>0.57472206353519917</v>
      </c>
      <c r="O596" s="25">
        <f t="shared" si="74"/>
        <v>-0.55386872280951471</v>
      </c>
      <c r="P596" s="25">
        <f t="shared" si="75"/>
        <v>1</v>
      </c>
      <c r="Q596" s="25">
        <f t="shared" si="79"/>
        <v>495.81216826759407</v>
      </c>
      <c r="R596" s="25">
        <f t="shared" si="76"/>
        <v>7</v>
      </c>
      <c r="S596" s="26">
        <f t="shared" si="77"/>
        <v>14</v>
      </c>
    </row>
    <row r="597" spans="2:19" x14ac:dyDescent="0.3">
      <c r="B597" s="24">
        <v>244190</v>
      </c>
      <c r="C597" s="25">
        <v>57</v>
      </c>
      <c r="D597" s="25">
        <v>4</v>
      </c>
      <c r="E597" s="25">
        <v>10</v>
      </c>
      <c r="F597" s="25">
        <v>10</v>
      </c>
      <c r="G597" s="25">
        <v>149</v>
      </c>
      <c r="H597" s="25">
        <v>10</v>
      </c>
      <c r="I597" s="25">
        <v>3.64</v>
      </c>
      <c r="J597" s="25">
        <v>11.26</v>
      </c>
      <c r="K597" s="26">
        <v>0</v>
      </c>
      <c r="L597" s="25">
        <f t="shared" si="72"/>
        <v>-1.3978291637916951</v>
      </c>
      <c r="M597" s="25">
        <f t="shared" si="78"/>
        <v>0.19816081635081229</v>
      </c>
      <c r="N597" s="25">
        <f t="shared" si="73"/>
        <v>0.80183918364918771</v>
      </c>
      <c r="O597" s="25">
        <f t="shared" si="74"/>
        <v>-0.22084721036293703</v>
      </c>
      <c r="P597" s="25">
        <f t="shared" si="75"/>
        <v>0</v>
      </c>
      <c r="Q597" s="25">
        <f t="shared" si="79"/>
        <v>527.45582290912921</v>
      </c>
      <c r="R597" s="25">
        <f t="shared" si="76"/>
        <v>6</v>
      </c>
      <c r="S597" s="26">
        <f t="shared" si="77"/>
        <v>12</v>
      </c>
    </row>
    <row r="598" spans="2:19" x14ac:dyDescent="0.3">
      <c r="B598" s="24">
        <v>244208</v>
      </c>
      <c r="C598" s="25">
        <v>50</v>
      </c>
      <c r="D598" s="25">
        <v>1</v>
      </c>
      <c r="E598" s="25">
        <v>20</v>
      </c>
      <c r="F598" s="25">
        <v>15</v>
      </c>
      <c r="G598" s="25">
        <v>117</v>
      </c>
      <c r="H598" s="25">
        <v>7.6</v>
      </c>
      <c r="I598" s="25">
        <v>3.15</v>
      </c>
      <c r="J598" s="25">
        <v>5.74</v>
      </c>
      <c r="K598" s="26">
        <v>0</v>
      </c>
      <c r="L598" s="25">
        <f t="shared" si="72"/>
        <v>-4.1287798741827944</v>
      </c>
      <c r="M598" s="25">
        <f t="shared" si="78"/>
        <v>1.5847332049323967E-2</v>
      </c>
      <c r="N598" s="25">
        <f t="shared" si="73"/>
        <v>0.98415266795067602</v>
      </c>
      <c r="O598" s="25">
        <f t="shared" si="74"/>
        <v>-1.5974243608077341E-2</v>
      </c>
      <c r="P598" s="25">
        <f t="shared" si="75"/>
        <v>0</v>
      </c>
      <c r="Q598" s="25">
        <f t="shared" si="79"/>
        <v>606.25440161168297</v>
      </c>
      <c r="R598" s="25">
        <f t="shared" si="76"/>
        <v>4</v>
      </c>
      <c r="S598" s="26">
        <f t="shared" si="77"/>
        <v>6</v>
      </c>
    </row>
    <row r="599" spans="2:19" x14ac:dyDescent="0.3">
      <c r="B599" s="24">
        <v>244269</v>
      </c>
      <c r="C599" s="25">
        <v>33</v>
      </c>
      <c r="D599" s="25">
        <v>1</v>
      </c>
      <c r="E599" s="25">
        <v>2</v>
      </c>
      <c r="F599" s="25">
        <v>7</v>
      </c>
      <c r="G599" s="25">
        <v>28</v>
      </c>
      <c r="H599" s="25">
        <v>1.6</v>
      </c>
      <c r="I599" s="25">
        <v>0.14000000000000001</v>
      </c>
      <c r="J599" s="25">
        <v>0.31</v>
      </c>
      <c r="K599" s="26">
        <v>0</v>
      </c>
      <c r="L599" s="25">
        <f t="shared" si="72"/>
        <v>-1.608453210613207</v>
      </c>
      <c r="M599" s="25">
        <f t="shared" si="78"/>
        <v>0.16680347570277179</v>
      </c>
      <c r="N599" s="25">
        <f t="shared" si="73"/>
        <v>0.83319652429722824</v>
      </c>
      <c r="O599" s="25">
        <f t="shared" si="74"/>
        <v>-0.18248574111478874</v>
      </c>
      <c r="P599" s="25">
        <f t="shared" si="75"/>
        <v>0</v>
      </c>
      <c r="Q599" s="25">
        <f t="shared" si="79"/>
        <v>533.53314809371238</v>
      </c>
      <c r="R599" s="25">
        <f t="shared" si="76"/>
        <v>6</v>
      </c>
      <c r="S599" s="26">
        <f t="shared" si="77"/>
        <v>12</v>
      </c>
    </row>
    <row r="600" spans="2:19" x14ac:dyDescent="0.3">
      <c r="B600" s="24">
        <v>244280</v>
      </c>
      <c r="C600" s="25">
        <v>36</v>
      </c>
      <c r="D600" s="25">
        <v>1</v>
      </c>
      <c r="E600" s="25">
        <v>16</v>
      </c>
      <c r="F600" s="25">
        <v>10</v>
      </c>
      <c r="G600" s="25">
        <v>44</v>
      </c>
      <c r="H600" s="25">
        <v>7.4</v>
      </c>
      <c r="I600" s="25">
        <v>1.96</v>
      </c>
      <c r="J600" s="25">
        <v>1.3</v>
      </c>
      <c r="K600" s="26">
        <v>0</v>
      </c>
      <c r="L600" s="25">
        <f t="shared" si="72"/>
        <v>-3.4699533060934651</v>
      </c>
      <c r="M600" s="25">
        <f t="shared" si="78"/>
        <v>3.0179348119069489E-2</v>
      </c>
      <c r="N600" s="25">
        <f t="shared" si="73"/>
        <v>0.96982065188093047</v>
      </c>
      <c r="O600" s="25">
        <f t="shared" si="74"/>
        <v>-3.0644119548003317E-2</v>
      </c>
      <c r="P600" s="25">
        <f t="shared" si="75"/>
        <v>0</v>
      </c>
      <c r="Q600" s="25">
        <f t="shared" si="79"/>
        <v>587.2446856986902</v>
      </c>
      <c r="R600" s="25">
        <f t="shared" si="76"/>
        <v>5</v>
      </c>
      <c r="S600" s="26">
        <f t="shared" si="77"/>
        <v>8</v>
      </c>
    </row>
    <row r="601" spans="2:19" x14ac:dyDescent="0.3">
      <c r="B601" s="24">
        <v>244286</v>
      </c>
      <c r="C601" s="25">
        <v>21</v>
      </c>
      <c r="D601" s="25">
        <v>2</v>
      </c>
      <c r="E601" s="25">
        <v>1</v>
      </c>
      <c r="F601" s="25">
        <v>0</v>
      </c>
      <c r="G601" s="25">
        <v>29</v>
      </c>
      <c r="H601" s="25">
        <v>5.7</v>
      </c>
      <c r="I601" s="25">
        <v>0.64</v>
      </c>
      <c r="J601" s="25">
        <v>1.01</v>
      </c>
      <c r="K601" s="26">
        <v>0</v>
      </c>
      <c r="L601" s="25">
        <f t="shared" si="72"/>
        <v>-0.28524855509744945</v>
      </c>
      <c r="M601" s="25">
        <f t="shared" si="78"/>
        <v>0.42916749532089599</v>
      </c>
      <c r="N601" s="25">
        <f t="shared" si="73"/>
        <v>0.57083250467910407</v>
      </c>
      <c r="O601" s="25">
        <f t="shared" si="74"/>
        <v>-0.56065944917196398</v>
      </c>
      <c r="P601" s="25">
        <f t="shared" si="75"/>
        <v>1</v>
      </c>
      <c r="Q601" s="25">
        <f t="shared" si="79"/>
        <v>495.35353328392631</v>
      </c>
      <c r="R601" s="25">
        <f t="shared" si="76"/>
        <v>7</v>
      </c>
      <c r="S601" s="26">
        <f t="shared" si="77"/>
        <v>14</v>
      </c>
    </row>
    <row r="602" spans="2:19" x14ac:dyDescent="0.3">
      <c r="B602" s="24">
        <v>244337</v>
      </c>
      <c r="C602" s="25">
        <v>37</v>
      </c>
      <c r="D602" s="25">
        <v>3</v>
      </c>
      <c r="E602" s="25">
        <v>12</v>
      </c>
      <c r="F602" s="25">
        <v>11</v>
      </c>
      <c r="G602" s="25">
        <v>121</v>
      </c>
      <c r="H602" s="25">
        <v>13.6</v>
      </c>
      <c r="I602" s="25">
        <v>4.6900000000000004</v>
      </c>
      <c r="J602" s="25">
        <v>11.77</v>
      </c>
      <c r="K602" s="26">
        <v>0</v>
      </c>
      <c r="L602" s="25">
        <f t="shared" si="72"/>
        <v>-0.53478539287391547</v>
      </c>
      <c r="M602" s="25">
        <f t="shared" si="78"/>
        <v>0.36940146439485066</v>
      </c>
      <c r="N602" s="25">
        <f t="shared" si="73"/>
        <v>0.63059853560514934</v>
      </c>
      <c r="O602" s="25">
        <f t="shared" si="74"/>
        <v>-0.46108585409850139</v>
      </c>
      <c r="P602" s="25">
        <f t="shared" si="75"/>
        <v>0</v>
      </c>
      <c r="Q602" s="25">
        <f t="shared" si="79"/>
        <v>502.55364424744465</v>
      </c>
      <c r="R602" s="25">
        <f t="shared" si="76"/>
        <v>7</v>
      </c>
      <c r="S602" s="26">
        <f t="shared" si="77"/>
        <v>14</v>
      </c>
    </row>
    <row r="603" spans="2:19" x14ac:dyDescent="0.3">
      <c r="B603" s="24">
        <v>244354</v>
      </c>
      <c r="C603" s="25">
        <v>27</v>
      </c>
      <c r="D603" s="25">
        <v>5</v>
      </c>
      <c r="E603" s="25">
        <v>0</v>
      </c>
      <c r="F603" s="25">
        <v>4</v>
      </c>
      <c r="G603" s="25">
        <v>24</v>
      </c>
      <c r="H603" s="25">
        <v>6.1</v>
      </c>
      <c r="I603" s="25">
        <v>0.17</v>
      </c>
      <c r="J603" s="25">
        <v>1.3</v>
      </c>
      <c r="K603" s="26">
        <v>1</v>
      </c>
      <c r="L603" s="25">
        <f t="shared" si="72"/>
        <v>-0.65579104351032014</v>
      </c>
      <c r="M603" s="25">
        <f t="shared" si="78"/>
        <v>0.34168572804432162</v>
      </c>
      <c r="N603" s="25">
        <f t="shared" si="73"/>
        <v>0.34168572804432162</v>
      </c>
      <c r="O603" s="25">
        <f t="shared" si="74"/>
        <v>-1.0738638882358942</v>
      </c>
      <c r="P603" s="25">
        <f t="shared" si="75"/>
        <v>0</v>
      </c>
      <c r="Q603" s="25">
        <f t="shared" si="79"/>
        <v>506.04512919034244</v>
      </c>
      <c r="R603" s="25">
        <f t="shared" si="76"/>
        <v>7</v>
      </c>
      <c r="S603" s="26">
        <f t="shared" si="77"/>
        <v>14</v>
      </c>
    </row>
    <row r="604" spans="2:19" x14ac:dyDescent="0.3">
      <c r="B604" s="24">
        <v>295009</v>
      </c>
      <c r="C604" s="25">
        <v>28</v>
      </c>
      <c r="D604" s="25">
        <v>4</v>
      </c>
      <c r="E604" s="25">
        <v>5</v>
      </c>
      <c r="F604" s="25">
        <v>5</v>
      </c>
      <c r="G604" s="25">
        <v>112</v>
      </c>
      <c r="H604" s="25">
        <v>9.9</v>
      </c>
      <c r="I604" s="25">
        <v>0.93</v>
      </c>
      <c r="J604" s="25">
        <v>10.16</v>
      </c>
      <c r="K604" s="26">
        <v>0</v>
      </c>
      <c r="L604" s="25">
        <f t="shared" si="72"/>
        <v>-0.80694619511424082</v>
      </c>
      <c r="M604" s="25">
        <f t="shared" si="78"/>
        <v>0.30854162449671069</v>
      </c>
      <c r="N604" s="25">
        <f t="shared" si="73"/>
        <v>0.69145837550328926</v>
      </c>
      <c r="O604" s="25">
        <f t="shared" si="74"/>
        <v>-0.36895232418902901</v>
      </c>
      <c r="P604" s="25">
        <f t="shared" si="75"/>
        <v>0</v>
      </c>
      <c r="Q604" s="25">
        <f t="shared" si="79"/>
        <v>510.40654481920677</v>
      </c>
      <c r="R604" s="25">
        <f t="shared" si="76"/>
        <v>7</v>
      </c>
      <c r="S604" s="26">
        <f t="shared" si="77"/>
        <v>13</v>
      </c>
    </row>
    <row r="605" spans="2:19" x14ac:dyDescent="0.3">
      <c r="B605" s="24">
        <v>295028</v>
      </c>
      <c r="C605" s="25">
        <v>27</v>
      </c>
      <c r="D605" s="25">
        <v>3</v>
      </c>
      <c r="E605" s="25">
        <v>4</v>
      </c>
      <c r="F605" s="25">
        <v>5</v>
      </c>
      <c r="G605" s="25">
        <v>40</v>
      </c>
      <c r="H605" s="25">
        <v>13.2</v>
      </c>
      <c r="I605" s="25">
        <v>3.73</v>
      </c>
      <c r="J605" s="25">
        <v>1.55</v>
      </c>
      <c r="K605" s="26">
        <v>0</v>
      </c>
      <c r="L605" s="25">
        <f t="shared" si="72"/>
        <v>0.91712793337053955</v>
      </c>
      <c r="M605" s="25">
        <f t="shared" si="78"/>
        <v>0.71445654107759693</v>
      </c>
      <c r="N605" s="25">
        <f t="shared" si="73"/>
        <v>0.28554345892240307</v>
      </c>
      <c r="O605" s="25">
        <f t="shared" si="74"/>
        <v>-1.2533610410767146</v>
      </c>
      <c r="P605" s="25">
        <f t="shared" si="75"/>
        <v>1</v>
      </c>
      <c r="Q605" s="25">
        <f t="shared" si="79"/>
        <v>460.66028232331979</v>
      </c>
      <c r="R605" s="25">
        <f t="shared" si="76"/>
        <v>8</v>
      </c>
      <c r="S605" s="26">
        <f t="shared" si="77"/>
        <v>16</v>
      </c>
    </row>
    <row r="606" spans="2:19" x14ac:dyDescent="0.3">
      <c r="B606" s="24">
        <v>295035</v>
      </c>
      <c r="C606" s="25">
        <v>32</v>
      </c>
      <c r="D606" s="25">
        <v>3</v>
      </c>
      <c r="E606" s="25">
        <v>4</v>
      </c>
      <c r="F606" s="25">
        <v>3</v>
      </c>
      <c r="G606" s="25">
        <v>37</v>
      </c>
      <c r="H606" s="25">
        <v>4.0999999999999996</v>
      </c>
      <c r="I606" s="25">
        <v>0.48</v>
      </c>
      <c r="J606" s="25">
        <v>1.04</v>
      </c>
      <c r="K606" s="26">
        <v>1</v>
      </c>
      <c r="L606" s="25">
        <f t="shared" si="72"/>
        <v>-1.5853978081333728</v>
      </c>
      <c r="M606" s="25">
        <f t="shared" si="78"/>
        <v>0.17003237863772871</v>
      </c>
      <c r="N606" s="25">
        <f t="shared" si="73"/>
        <v>0.17003237863772871</v>
      </c>
      <c r="O606" s="25">
        <f t="shared" si="74"/>
        <v>-1.771766397492694</v>
      </c>
      <c r="P606" s="25">
        <f t="shared" si="75"/>
        <v>0</v>
      </c>
      <c r="Q606" s="25">
        <f t="shared" si="79"/>
        <v>532.86790981609954</v>
      </c>
      <c r="R606" s="25">
        <f t="shared" si="76"/>
        <v>6</v>
      </c>
      <c r="S606" s="26">
        <f t="shared" si="77"/>
        <v>12</v>
      </c>
    </row>
    <row r="607" spans="2:19" x14ac:dyDescent="0.3">
      <c r="B607" s="24">
        <v>295057</v>
      </c>
      <c r="C607" s="25">
        <v>28</v>
      </c>
      <c r="D607" s="25">
        <v>2</v>
      </c>
      <c r="E607" s="25">
        <v>6</v>
      </c>
      <c r="F607" s="25">
        <v>5</v>
      </c>
      <c r="G607" s="25">
        <v>33</v>
      </c>
      <c r="H607" s="25">
        <v>20.5</v>
      </c>
      <c r="I607" s="25">
        <v>1.1000000000000001</v>
      </c>
      <c r="J607" s="25">
        <v>5.67</v>
      </c>
      <c r="K607" s="26">
        <v>1</v>
      </c>
      <c r="L607" s="25">
        <f t="shared" si="72"/>
        <v>7.9854006990864812E-2</v>
      </c>
      <c r="M607" s="25">
        <f t="shared" si="78"/>
        <v>0.51995290013198936</v>
      </c>
      <c r="N607" s="25">
        <f t="shared" si="73"/>
        <v>0.51995290013198936</v>
      </c>
      <c r="O607" s="25">
        <f t="shared" si="74"/>
        <v>-0.65401704817822948</v>
      </c>
      <c r="P607" s="25">
        <f t="shared" si="75"/>
        <v>1</v>
      </c>
      <c r="Q607" s="25">
        <f t="shared" si="79"/>
        <v>484.81890046768626</v>
      </c>
      <c r="R607" s="25">
        <f t="shared" si="76"/>
        <v>7</v>
      </c>
      <c r="S607" s="26">
        <f t="shared" si="77"/>
        <v>15</v>
      </c>
    </row>
    <row r="608" spans="2:19" x14ac:dyDescent="0.3">
      <c r="B608" s="24">
        <v>295083</v>
      </c>
      <c r="C608" s="25">
        <v>24</v>
      </c>
      <c r="D608" s="25">
        <v>4</v>
      </c>
      <c r="E608" s="25">
        <v>0</v>
      </c>
      <c r="F608" s="25">
        <v>2</v>
      </c>
      <c r="G608" s="25">
        <v>35</v>
      </c>
      <c r="H608" s="25">
        <v>12.1</v>
      </c>
      <c r="I608" s="25">
        <v>2.4700000000000002</v>
      </c>
      <c r="J608" s="25">
        <v>1.77</v>
      </c>
      <c r="K608" s="26">
        <v>1</v>
      </c>
      <c r="L608" s="25">
        <f t="shared" si="72"/>
        <v>1.2291525750708721</v>
      </c>
      <c r="M608" s="25">
        <f t="shared" si="78"/>
        <v>0.77367022067176328</v>
      </c>
      <c r="N608" s="25">
        <f t="shared" si="73"/>
        <v>0.77367022067176328</v>
      </c>
      <c r="O608" s="25">
        <f t="shared" si="74"/>
        <v>-0.25660956767016524</v>
      </c>
      <c r="P608" s="25">
        <f t="shared" si="75"/>
        <v>1</v>
      </c>
      <c r="Q608" s="25">
        <f t="shared" si="79"/>
        <v>451.65715451416258</v>
      </c>
      <c r="R608" s="25">
        <f t="shared" si="76"/>
        <v>8</v>
      </c>
      <c r="S608" s="26">
        <f t="shared" si="77"/>
        <v>16</v>
      </c>
    </row>
    <row r="609" spans="2:19" x14ac:dyDescent="0.3">
      <c r="B609" s="24">
        <v>295134</v>
      </c>
      <c r="C609" s="25">
        <v>20</v>
      </c>
      <c r="D609" s="25">
        <v>2</v>
      </c>
      <c r="E609" s="25">
        <v>0</v>
      </c>
      <c r="F609" s="25">
        <v>0</v>
      </c>
      <c r="G609" s="25">
        <v>44</v>
      </c>
      <c r="H609" s="25">
        <v>3.9</v>
      </c>
      <c r="I609" s="25">
        <v>1.07</v>
      </c>
      <c r="J609" s="25">
        <v>0.65</v>
      </c>
      <c r="K609" s="26">
        <v>0</v>
      </c>
      <c r="L609" s="25">
        <f t="shared" si="72"/>
        <v>-1.8764231046572488E-2</v>
      </c>
      <c r="M609" s="25">
        <f t="shared" si="78"/>
        <v>0.49530907987554357</v>
      </c>
      <c r="N609" s="25">
        <f t="shared" si="73"/>
        <v>0.50469092012445649</v>
      </c>
      <c r="O609" s="25">
        <f t="shared" si="74"/>
        <v>-0.68380907643683353</v>
      </c>
      <c r="P609" s="25">
        <f t="shared" si="75"/>
        <v>1</v>
      </c>
      <c r="Q609" s="25">
        <f t="shared" si="79"/>
        <v>487.66442124619471</v>
      </c>
      <c r="R609" s="25">
        <f t="shared" si="76"/>
        <v>7</v>
      </c>
      <c r="S609" s="26">
        <f t="shared" si="77"/>
        <v>15</v>
      </c>
    </row>
    <row r="610" spans="2:19" x14ac:dyDescent="0.3">
      <c r="B610" s="24">
        <v>295153</v>
      </c>
      <c r="C610" s="25">
        <v>39</v>
      </c>
      <c r="D610" s="25">
        <v>4</v>
      </c>
      <c r="E610" s="25">
        <v>16</v>
      </c>
      <c r="F610" s="25">
        <v>4</v>
      </c>
      <c r="G610" s="25">
        <v>47</v>
      </c>
      <c r="H610" s="25">
        <v>16.5</v>
      </c>
      <c r="I610" s="25">
        <v>4.16</v>
      </c>
      <c r="J610" s="25">
        <v>3.6</v>
      </c>
      <c r="K610" s="26">
        <v>0</v>
      </c>
      <c r="L610" s="25">
        <f t="shared" si="72"/>
        <v>-1.4922673224948502</v>
      </c>
      <c r="M610" s="25">
        <f t="shared" si="78"/>
        <v>0.18358165858173692</v>
      </c>
      <c r="N610" s="25">
        <f t="shared" si="73"/>
        <v>0.81641834141826308</v>
      </c>
      <c r="O610" s="25">
        <f t="shared" si="74"/>
        <v>-0.20282838208339607</v>
      </c>
      <c r="P610" s="25">
        <f t="shared" si="75"/>
        <v>0</v>
      </c>
      <c r="Q610" s="25">
        <f t="shared" si="79"/>
        <v>530.18073209653414</v>
      </c>
      <c r="R610" s="25">
        <f t="shared" si="76"/>
        <v>6</v>
      </c>
      <c r="S610" s="26">
        <f t="shared" si="77"/>
        <v>12</v>
      </c>
    </row>
    <row r="611" spans="2:19" x14ac:dyDescent="0.3">
      <c r="B611" s="24">
        <v>295187</v>
      </c>
      <c r="C611" s="25">
        <v>38</v>
      </c>
      <c r="D611" s="25">
        <v>4</v>
      </c>
      <c r="E611" s="25">
        <v>11</v>
      </c>
      <c r="F611" s="25">
        <v>8</v>
      </c>
      <c r="G611" s="25">
        <v>145</v>
      </c>
      <c r="H611" s="25">
        <v>18.5</v>
      </c>
      <c r="I611" s="25">
        <v>1.45</v>
      </c>
      <c r="J611" s="25">
        <v>25.38</v>
      </c>
      <c r="K611" s="26">
        <v>0</v>
      </c>
      <c r="L611" s="25">
        <f t="shared" si="72"/>
        <v>-0.98504656826600523</v>
      </c>
      <c r="M611" s="25">
        <f t="shared" si="78"/>
        <v>0.27189158267686386</v>
      </c>
      <c r="N611" s="25">
        <f t="shared" si="73"/>
        <v>0.72810841732313614</v>
      </c>
      <c r="O611" s="25">
        <f t="shared" si="74"/>
        <v>-0.31730531697924452</v>
      </c>
      <c r="P611" s="25">
        <f t="shared" si="75"/>
        <v>0</v>
      </c>
      <c r="Q611" s="25">
        <f t="shared" si="79"/>
        <v>515.54543517609045</v>
      </c>
      <c r="R611" s="25">
        <f t="shared" si="76"/>
        <v>7</v>
      </c>
      <c r="S611" s="26">
        <f t="shared" si="77"/>
        <v>13</v>
      </c>
    </row>
    <row r="612" spans="2:19" x14ac:dyDescent="0.3">
      <c r="B612" s="24">
        <v>295193</v>
      </c>
      <c r="C612" s="25">
        <v>65</v>
      </c>
      <c r="D612" s="25">
        <v>2</v>
      </c>
      <c r="E612" s="25">
        <v>38</v>
      </c>
      <c r="F612" s="25">
        <v>11</v>
      </c>
      <c r="G612" s="25">
        <v>352</v>
      </c>
      <c r="H612" s="25">
        <v>2.5</v>
      </c>
      <c r="I612" s="25">
        <v>0.39</v>
      </c>
      <c r="J612" s="25">
        <v>8.41</v>
      </c>
      <c r="K612" s="26">
        <v>0</v>
      </c>
      <c r="L612" s="25">
        <f t="shared" si="72"/>
        <v>-10.144791040560875</v>
      </c>
      <c r="M612" s="25">
        <f t="shared" si="78"/>
        <v>3.9278615582340736E-5</v>
      </c>
      <c r="N612" s="25">
        <f t="shared" si="73"/>
        <v>0.99996072138441761</v>
      </c>
      <c r="O612" s="25">
        <f t="shared" si="74"/>
        <v>-3.9279387007415753E-5</v>
      </c>
      <c r="P612" s="25">
        <f t="shared" si="75"/>
        <v>0</v>
      </c>
      <c r="Q612" s="25">
        <f t="shared" si="79"/>
        <v>779.83978620523942</v>
      </c>
      <c r="R612" s="25">
        <f t="shared" si="76"/>
        <v>1</v>
      </c>
      <c r="S612" s="26">
        <f t="shared" si="77"/>
        <v>1</v>
      </c>
    </row>
    <row r="613" spans="2:19" x14ac:dyDescent="0.3">
      <c r="B613" s="24">
        <v>295270</v>
      </c>
      <c r="C613" s="25">
        <v>56</v>
      </c>
      <c r="D613" s="25">
        <v>2</v>
      </c>
      <c r="E613" s="25">
        <v>34</v>
      </c>
      <c r="F613" s="25">
        <v>19</v>
      </c>
      <c r="G613" s="25">
        <v>215</v>
      </c>
      <c r="H613" s="25">
        <v>13.9</v>
      </c>
      <c r="I613" s="25">
        <v>14.37</v>
      </c>
      <c r="J613" s="25">
        <v>15.51</v>
      </c>
      <c r="K613" s="26">
        <v>0</v>
      </c>
      <c r="L613" s="25">
        <f t="shared" si="72"/>
        <v>-1.3993267138624543</v>
      </c>
      <c r="M613" s="25">
        <f t="shared" si="78"/>
        <v>0.19792297352085814</v>
      </c>
      <c r="N613" s="25">
        <f t="shared" si="73"/>
        <v>0.80207702647914192</v>
      </c>
      <c r="O613" s="25">
        <f t="shared" si="74"/>
        <v>-0.22055063273600659</v>
      </c>
      <c r="P613" s="25">
        <f t="shared" si="75"/>
        <v>0</v>
      </c>
      <c r="Q613" s="25">
        <f t="shared" si="79"/>
        <v>527.49903306911585</v>
      </c>
      <c r="R613" s="25">
        <f t="shared" si="76"/>
        <v>6</v>
      </c>
      <c r="S613" s="26">
        <f t="shared" si="77"/>
        <v>12</v>
      </c>
    </row>
    <row r="614" spans="2:19" x14ac:dyDescent="0.3">
      <c r="B614" s="24">
        <v>295295</v>
      </c>
      <c r="C614" s="25">
        <v>18</v>
      </c>
      <c r="D614" s="25">
        <v>2</v>
      </c>
      <c r="E614" s="25">
        <v>0</v>
      </c>
      <c r="F614" s="25">
        <v>0</v>
      </c>
      <c r="G614" s="25">
        <v>57</v>
      </c>
      <c r="H614" s="25">
        <v>3.1</v>
      </c>
      <c r="I614" s="25">
        <v>1.24</v>
      </c>
      <c r="J614" s="25">
        <v>0.53</v>
      </c>
      <c r="K614" s="26">
        <v>1</v>
      </c>
      <c r="L614" s="25">
        <f t="shared" si="72"/>
        <v>2.5123242851214755E-2</v>
      </c>
      <c r="M614" s="25">
        <f t="shared" si="78"/>
        <v>0.50628048037487516</v>
      </c>
      <c r="N614" s="25">
        <f t="shared" si="73"/>
        <v>0.50628048037487516</v>
      </c>
      <c r="O614" s="25">
        <f t="shared" si="74"/>
        <v>-0.68066445422592436</v>
      </c>
      <c r="P614" s="25">
        <f t="shared" si="75"/>
        <v>1</v>
      </c>
      <c r="Q614" s="25">
        <f t="shared" si="79"/>
        <v>486.39809646309533</v>
      </c>
      <c r="R614" s="25">
        <f t="shared" si="76"/>
        <v>7</v>
      </c>
      <c r="S614" s="26">
        <f t="shared" si="77"/>
        <v>15</v>
      </c>
    </row>
    <row r="615" spans="2:19" x14ac:dyDescent="0.3">
      <c r="B615" s="24">
        <v>295339</v>
      </c>
      <c r="C615" s="25">
        <v>20</v>
      </c>
      <c r="D615" s="25">
        <v>1</v>
      </c>
      <c r="E615" s="25">
        <v>0</v>
      </c>
      <c r="F615" s="25">
        <v>1</v>
      </c>
      <c r="G615" s="25">
        <v>18</v>
      </c>
      <c r="H615" s="25">
        <v>9.5</v>
      </c>
      <c r="I615" s="25">
        <v>0.16</v>
      </c>
      <c r="J615" s="25">
        <v>1.55</v>
      </c>
      <c r="K615" s="26">
        <v>0</v>
      </c>
      <c r="L615" s="25">
        <f t="shared" si="72"/>
        <v>0.14576434917207398</v>
      </c>
      <c r="M615" s="25">
        <f t="shared" si="78"/>
        <v>0.53637670136461979</v>
      </c>
      <c r="N615" s="25">
        <f t="shared" si="73"/>
        <v>0.46362329863538021</v>
      </c>
      <c r="O615" s="25">
        <f t="shared" si="74"/>
        <v>-0.76868291287902346</v>
      </c>
      <c r="P615" s="25">
        <f t="shared" si="75"/>
        <v>1</v>
      </c>
      <c r="Q615" s="25">
        <f t="shared" si="79"/>
        <v>482.9171300454239</v>
      </c>
      <c r="R615" s="25">
        <f t="shared" si="76"/>
        <v>7</v>
      </c>
      <c r="S615" s="26">
        <f t="shared" si="77"/>
        <v>15</v>
      </c>
    </row>
    <row r="616" spans="2:19" x14ac:dyDescent="0.3">
      <c r="B616" s="24">
        <v>295367</v>
      </c>
      <c r="C616" s="25">
        <v>62</v>
      </c>
      <c r="D616" s="25">
        <v>1</v>
      </c>
      <c r="E616" s="25">
        <v>4</v>
      </c>
      <c r="F616" s="25">
        <v>13</v>
      </c>
      <c r="G616" s="25">
        <v>27</v>
      </c>
      <c r="H616" s="25">
        <v>13.2</v>
      </c>
      <c r="I616" s="25">
        <v>1.73</v>
      </c>
      <c r="J616" s="25">
        <v>1.84</v>
      </c>
      <c r="K616" s="26">
        <v>0</v>
      </c>
      <c r="L616" s="25">
        <f t="shared" si="72"/>
        <v>-0.93567005662177061</v>
      </c>
      <c r="M616" s="25">
        <f t="shared" si="78"/>
        <v>0.28177580013826509</v>
      </c>
      <c r="N616" s="25">
        <f t="shared" si="73"/>
        <v>0.71822419986173491</v>
      </c>
      <c r="O616" s="25">
        <f t="shared" si="74"/>
        <v>-0.33097350260085495</v>
      </c>
      <c r="P616" s="25">
        <f t="shared" si="75"/>
        <v>0</v>
      </c>
      <c r="Q616" s="25">
        <f t="shared" si="79"/>
        <v>514.12073024675885</v>
      </c>
      <c r="R616" s="25">
        <f t="shared" si="76"/>
        <v>7</v>
      </c>
      <c r="S616" s="26">
        <f t="shared" si="77"/>
        <v>13</v>
      </c>
    </row>
    <row r="617" spans="2:19" x14ac:dyDescent="0.3">
      <c r="B617" s="24">
        <v>295386</v>
      </c>
      <c r="C617" s="25">
        <v>39</v>
      </c>
      <c r="D617" s="25">
        <v>2</v>
      </c>
      <c r="E617" s="25">
        <v>13</v>
      </c>
      <c r="F617" s="25">
        <v>8</v>
      </c>
      <c r="G617" s="25">
        <v>112</v>
      </c>
      <c r="H617" s="25">
        <v>21.2</v>
      </c>
      <c r="I617" s="25">
        <v>4.63</v>
      </c>
      <c r="J617" s="25">
        <v>19.11</v>
      </c>
      <c r="K617" s="26">
        <v>1</v>
      </c>
      <c r="L617" s="25">
        <f t="shared" si="72"/>
        <v>0.25821412024773954</v>
      </c>
      <c r="M617" s="25">
        <f t="shared" si="78"/>
        <v>0.56419723243798614</v>
      </c>
      <c r="N617" s="25">
        <f t="shared" si="73"/>
        <v>0.56419723243798614</v>
      </c>
      <c r="O617" s="25">
        <f t="shared" si="74"/>
        <v>-0.57235138571165645</v>
      </c>
      <c r="P617" s="25">
        <f t="shared" si="75"/>
        <v>1</v>
      </c>
      <c r="Q617" s="25">
        <f t="shared" si="79"/>
        <v>479.67251559578375</v>
      </c>
      <c r="R617" s="25">
        <f t="shared" si="76"/>
        <v>7</v>
      </c>
      <c r="S617" s="26">
        <f t="shared" si="77"/>
        <v>15</v>
      </c>
    </row>
    <row r="618" spans="2:19" x14ac:dyDescent="0.3">
      <c r="B618" s="24">
        <v>295449</v>
      </c>
      <c r="C618" s="25">
        <v>29</v>
      </c>
      <c r="D618" s="25">
        <v>4</v>
      </c>
      <c r="E618" s="25">
        <v>3</v>
      </c>
      <c r="F618" s="25">
        <v>2</v>
      </c>
      <c r="G618" s="25">
        <v>102</v>
      </c>
      <c r="H618" s="25">
        <v>9.8000000000000007</v>
      </c>
      <c r="I618" s="25">
        <v>4.83</v>
      </c>
      <c r="J618" s="25">
        <v>5.17</v>
      </c>
      <c r="K618" s="26">
        <v>1</v>
      </c>
      <c r="L618" s="25">
        <f t="shared" si="72"/>
        <v>1.4315826668254383</v>
      </c>
      <c r="M618" s="25">
        <f t="shared" si="78"/>
        <v>0.80714779381784474</v>
      </c>
      <c r="N618" s="25">
        <f t="shared" si="73"/>
        <v>0.80714779381784474</v>
      </c>
      <c r="O618" s="25">
        <f t="shared" si="74"/>
        <v>-0.21424848768116991</v>
      </c>
      <c r="P618" s="25">
        <f t="shared" si="75"/>
        <v>1</v>
      </c>
      <c r="Q618" s="25">
        <f t="shared" si="79"/>
        <v>445.81625688968546</v>
      </c>
      <c r="R618" s="25">
        <f t="shared" si="76"/>
        <v>8</v>
      </c>
      <c r="S618" s="26">
        <f t="shared" si="77"/>
        <v>16</v>
      </c>
    </row>
    <row r="619" spans="2:19" x14ac:dyDescent="0.3">
      <c r="B619" s="24">
        <v>295465</v>
      </c>
      <c r="C619" s="25">
        <v>30</v>
      </c>
      <c r="D619" s="25">
        <v>4</v>
      </c>
      <c r="E619" s="25">
        <v>4</v>
      </c>
      <c r="F619" s="25">
        <v>6</v>
      </c>
      <c r="G619" s="25">
        <v>46</v>
      </c>
      <c r="H619" s="25">
        <v>3.9</v>
      </c>
      <c r="I619" s="25">
        <v>1.26</v>
      </c>
      <c r="J619" s="25">
        <v>0.54</v>
      </c>
      <c r="K619" s="26">
        <v>0</v>
      </c>
      <c r="L619" s="25">
        <f t="shared" si="72"/>
        <v>-1.3543534873378655</v>
      </c>
      <c r="M619" s="25">
        <f t="shared" si="78"/>
        <v>0.20515954123383326</v>
      </c>
      <c r="N619" s="25">
        <f t="shared" si="73"/>
        <v>0.79484045876616671</v>
      </c>
      <c r="O619" s="25">
        <f t="shared" si="74"/>
        <v>-0.22961386526416533</v>
      </c>
      <c r="P619" s="25">
        <f t="shared" si="75"/>
        <v>0</v>
      </c>
      <c r="Q619" s="25">
        <f t="shared" si="79"/>
        <v>526.20138008829804</v>
      </c>
      <c r="R619" s="25">
        <f t="shared" si="76"/>
        <v>6</v>
      </c>
      <c r="S619" s="26">
        <f t="shared" si="77"/>
        <v>12</v>
      </c>
    </row>
    <row r="620" spans="2:19" x14ac:dyDescent="0.3">
      <c r="B620" s="24">
        <v>295472</v>
      </c>
      <c r="C620" s="25">
        <v>52</v>
      </c>
      <c r="D620" s="25">
        <v>3</v>
      </c>
      <c r="E620" s="25">
        <v>21</v>
      </c>
      <c r="F620" s="25">
        <v>14</v>
      </c>
      <c r="G620" s="25">
        <v>121</v>
      </c>
      <c r="H620" s="25">
        <v>2.4</v>
      </c>
      <c r="I620" s="25">
        <v>0.39</v>
      </c>
      <c r="J620" s="25">
        <v>2.5099999999999998</v>
      </c>
      <c r="K620" s="26">
        <v>0</v>
      </c>
      <c r="L620" s="25">
        <f t="shared" si="72"/>
        <v>-6.378354778419232</v>
      </c>
      <c r="M620" s="25">
        <f t="shared" si="78"/>
        <v>1.6950360792254277E-3</v>
      </c>
      <c r="N620" s="25">
        <f t="shared" si="73"/>
        <v>0.99830496392077461</v>
      </c>
      <c r="O620" s="25">
        <f t="shared" si="74"/>
        <v>-1.696474278309655E-3</v>
      </c>
      <c r="P620" s="25">
        <f t="shared" si="75"/>
        <v>0</v>
      </c>
      <c r="Q620" s="25">
        <f t="shared" si="79"/>
        <v>671.16341094103063</v>
      </c>
      <c r="R620" s="25">
        <f t="shared" si="76"/>
        <v>2</v>
      </c>
      <c r="S620" s="26">
        <f t="shared" si="77"/>
        <v>1</v>
      </c>
    </row>
    <row r="621" spans="2:19" x14ac:dyDescent="0.3">
      <c r="B621" s="24">
        <v>295518</v>
      </c>
      <c r="C621" s="25">
        <v>48</v>
      </c>
      <c r="D621" s="25">
        <v>5</v>
      </c>
      <c r="E621" s="25">
        <v>19</v>
      </c>
      <c r="F621" s="25">
        <v>11</v>
      </c>
      <c r="G621" s="25">
        <v>326</v>
      </c>
      <c r="H621" s="25">
        <v>10.6</v>
      </c>
      <c r="I621" s="25">
        <v>21.18</v>
      </c>
      <c r="J621" s="25">
        <v>13.37</v>
      </c>
      <c r="K621" s="26">
        <v>1</v>
      </c>
      <c r="L621" s="25">
        <f t="shared" si="72"/>
        <v>5.1355253796343998</v>
      </c>
      <c r="M621" s="25">
        <f t="shared" si="78"/>
        <v>0.99415045908058008</v>
      </c>
      <c r="N621" s="25">
        <f t="shared" si="73"/>
        <v>0.99415045908058008</v>
      </c>
      <c r="O621" s="25">
        <f t="shared" si="74"/>
        <v>-5.8667164961486787E-3</v>
      </c>
      <c r="P621" s="25">
        <f t="shared" si="75"/>
        <v>1</v>
      </c>
      <c r="Q621" s="25">
        <f t="shared" si="79"/>
        <v>338.94306424856677</v>
      </c>
      <c r="R621" s="25">
        <f t="shared" si="76"/>
        <v>8</v>
      </c>
      <c r="S621" s="26">
        <f t="shared" si="77"/>
        <v>17</v>
      </c>
    </row>
    <row r="622" spans="2:19" x14ac:dyDescent="0.3">
      <c r="B622" s="24">
        <v>295658</v>
      </c>
      <c r="C622" s="25">
        <v>20</v>
      </c>
      <c r="D622" s="25">
        <v>1</v>
      </c>
      <c r="E622" s="25">
        <v>2</v>
      </c>
      <c r="F622" s="25">
        <v>0</v>
      </c>
      <c r="G622" s="25">
        <v>42</v>
      </c>
      <c r="H622" s="25">
        <v>3.1</v>
      </c>
      <c r="I622" s="25">
        <v>0.89</v>
      </c>
      <c r="J622" s="25">
        <v>0.41</v>
      </c>
      <c r="K622" s="26">
        <v>1</v>
      </c>
      <c r="L622" s="25">
        <f t="shared" si="72"/>
        <v>-0.58927641241520723</v>
      </c>
      <c r="M622" s="25">
        <f t="shared" si="78"/>
        <v>0.35680089611481347</v>
      </c>
      <c r="N622" s="25">
        <f t="shared" si="73"/>
        <v>0.35680089611481347</v>
      </c>
      <c r="O622" s="25">
        <f t="shared" si="74"/>
        <v>-1.0305773667468876</v>
      </c>
      <c r="P622" s="25">
        <f t="shared" si="75"/>
        <v>0</v>
      </c>
      <c r="Q622" s="25">
        <f t="shared" si="79"/>
        <v>504.12592267618714</v>
      </c>
      <c r="R622" s="25">
        <f t="shared" si="76"/>
        <v>7</v>
      </c>
      <c r="S622" s="26">
        <f t="shared" si="77"/>
        <v>14</v>
      </c>
    </row>
    <row r="623" spans="2:19" x14ac:dyDescent="0.3">
      <c r="B623" s="24">
        <v>295683</v>
      </c>
      <c r="C623" s="25">
        <v>34</v>
      </c>
      <c r="D623" s="25">
        <v>4</v>
      </c>
      <c r="E623" s="25">
        <v>7</v>
      </c>
      <c r="F623" s="25">
        <v>3</v>
      </c>
      <c r="G623" s="25">
        <v>33</v>
      </c>
      <c r="H623" s="25">
        <v>7.5</v>
      </c>
      <c r="I623" s="25">
        <v>1.88</v>
      </c>
      <c r="J623" s="25">
        <v>0.6</v>
      </c>
      <c r="K623" s="26">
        <v>1</v>
      </c>
      <c r="L623" s="25">
        <f t="shared" si="72"/>
        <v>-1.3707492899465987</v>
      </c>
      <c r="M623" s="25">
        <f t="shared" si="78"/>
        <v>0.202498814342254</v>
      </c>
      <c r="N623" s="25">
        <f t="shared" si="73"/>
        <v>0.202498814342254</v>
      </c>
      <c r="O623" s="25">
        <f t="shared" si="74"/>
        <v>-1.5970212475526646</v>
      </c>
      <c r="P623" s="25">
        <f t="shared" si="75"/>
        <v>0</v>
      </c>
      <c r="Q623" s="25">
        <f t="shared" si="79"/>
        <v>526.67446293719013</v>
      </c>
      <c r="R623" s="25">
        <f t="shared" si="76"/>
        <v>6</v>
      </c>
      <c r="S623" s="26">
        <f t="shared" si="77"/>
        <v>12</v>
      </c>
    </row>
    <row r="624" spans="2:19" x14ac:dyDescent="0.3">
      <c r="B624" s="24">
        <v>295711</v>
      </c>
      <c r="C624" s="25">
        <v>68</v>
      </c>
      <c r="D624" s="25">
        <v>1</v>
      </c>
      <c r="E624" s="25">
        <v>51</v>
      </c>
      <c r="F624" s="25">
        <v>26</v>
      </c>
      <c r="G624" s="25">
        <v>274</v>
      </c>
      <c r="H624" s="25">
        <v>7</v>
      </c>
      <c r="I624" s="25">
        <v>8.59</v>
      </c>
      <c r="J624" s="25">
        <v>10.59</v>
      </c>
      <c r="K624" s="26">
        <v>0</v>
      </c>
      <c r="L624" s="25">
        <f t="shared" si="72"/>
        <v>-9.2155164879413949</v>
      </c>
      <c r="M624" s="25">
        <f t="shared" si="78"/>
        <v>9.9473829676781042E-5</v>
      </c>
      <c r="N624" s="25">
        <f t="shared" si="73"/>
        <v>0.99990052617032321</v>
      </c>
      <c r="O624" s="25">
        <f t="shared" si="74"/>
        <v>-9.9478777526307334E-5</v>
      </c>
      <c r="P624" s="25">
        <f t="shared" si="75"/>
        <v>0</v>
      </c>
      <c r="Q624" s="25">
        <f t="shared" si="79"/>
        <v>753.02659119141219</v>
      </c>
      <c r="R624" s="25">
        <f t="shared" si="76"/>
        <v>1</v>
      </c>
      <c r="S624" s="26">
        <f t="shared" si="77"/>
        <v>1</v>
      </c>
    </row>
    <row r="625" spans="2:19" x14ac:dyDescent="0.3">
      <c r="B625" s="24">
        <v>295815</v>
      </c>
      <c r="C625" s="25">
        <v>47</v>
      </c>
      <c r="D625" s="25">
        <v>1</v>
      </c>
      <c r="E625" s="25">
        <v>16</v>
      </c>
      <c r="F625" s="25">
        <v>15</v>
      </c>
      <c r="G625" s="25">
        <v>51</v>
      </c>
      <c r="H625" s="25">
        <v>14.2</v>
      </c>
      <c r="I625" s="25">
        <v>3.4</v>
      </c>
      <c r="J625" s="25">
        <v>3.85</v>
      </c>
      <c r="K625" s="26">
        <v>0</v>
      </c>
      <c r="L625" s="25">
        <f t="shared" si="72"/>
        <v>-2.4451592938211335</v>
      </c>
      <c r="M625" s="25">
        <f t="shared" si="78"/>
        <v>7.9793262102360013E-2</v>
      </c>
      <c r="N625" s="25">
        <f t="shared" si="73"/>
        <v>0.92020673789763996</v>
      </c>
      <c r="O625" s="25">
        <f t="shared" si="74"/>
        <v>-8.3156919077578301E-2</v>
      </c>
      <c r="P625" s="25">
        <f t="shared" si="75"/>
        <v>0</v>
      </c>
      <c r="Q625" s="25">
        <f t="shared" si="79"/>
        <v>557.67538174798563</v>
      </c>
      <c r="R625" s="25">
        <f t="shared" si="76"/>
        <v>5</v>
      </c>
      <c r="S625" s="26">
        <f t="shared" si="77"/>
        <v>10</v>
      </c>
    </row>
    <row r="626" spans="2:19" x14ac:dyDescent="0.3">
      <c r="B626" s="24">
        <v>295913</v>
      </c>
      <c r="C626" s="25">
        <v>37</v>
      </c>
      <c r="D626" s="25">
        <v>2</v>
      </c>
      <c r="E626" s="25">
        <v>12</v>
      </c>
      <c r="F626" s="25">
        <v>8</v>
      </c>
      <c r="G626" s="25">
        <v>29</v>
      </c>
      <c r="H626" s="25">
        <v>9.3000000000000007</v>
      </c>
      <c r="I626" s="25">
        <v>0.88</v>
      </c>
      <c r="J626" s="25">
        <v>1.82</v>
      </c>
      <c r="K626" s="26">
        <v>0</v>
      </c>
      <c r="L626" s="25">
        <f t="shared" si="72"/>
        <v>-2.887426369669011</v>
      </c>
      <c r="M626" s="25">
        <f t="shared" si="78"/>
        <v>5.2778634074576496E-2</v>
      </c>
      <c r="N626" s="25">
        <f t="shared" si="73"/>
        <v>0.9472213659254235</v>
      </c>
      <c r="O626" s="25">
        <f t="shared" si="74"/>
        <v>-5.4222458175398072E-2</v>
      </c>
      <c r="P626" s="25">
        <f t="shared" si="75"/>
        <v>0</v>
      </c>
      <c r="Q626" s="25">
        <f t="shared" si="79"/>
        <v>570.43651172779266</v>
      </c>
      <c r="R626" s="25">
        <f t="shared" si="76"/>
        <v>5</v>
      </c>
      <c r="S626" s="26">
        <f t="shared" si="77"/>
        <v>9</v>
      </c>
    </row>
    <row r="627" spans="2:19" x14ac:dyDescent="0.3">
      <c r="B627" s="24">
        <v>295930</v>
      </c>
      <c r="C627" s="25">
        <v>36</v>
      </c>
      <c r="D627" s="25">
        <v>2</v>
      </c>
      <c r="E627" s="25">
        <v>9</v>
      </c>
      <c r="F627" s="25">
        <v>10</v>
      </c>
      <c r="G627" s="25">
        <v>35</v>
      </c>
      <c r="H627" s="25">
        <v>0.8</v>
      </c>
      <c r="I627" s="25">
        <v>0.09</v>
      </c>
      <c r="J627" s="25">
        <v>0.19</v>
      </c>
      <c r="K627" s="26">
        <v>0</v>
      </c>
      <c r="L627" s="25">
        <f t="shared" si="72"/>
        <v>-3.5129631302841489</v>
      </c>
      <c r="M627" s="25">
        <f t="shared" si="78"/>
        <v>2.8945632460811232E-2</v>
      </c>
      <c r="N627" s="25">
        <f t="shared" si="73"/>
        <v>0.97105436753918872</v>
      </c>
      <c r="O627" s="25">
        <f t="shared" si="74"/>
        <v>-2.9372820971768573E-2</v>
      </c>
      <c r="P627" s="25">
        <f t="shared" si="75"/>
        <v>0</v>
      </c>
      <c r="Q627" s="25">
        <f t="shared" si="79"/>
        <v>588.4856868649058</v>
      </c>
      <c r="R627" s="25">
        <f t="shared" si="76"/>
        <v>5</v>
      </c>
      <c r="S627" s="26">
        <f t="shared" si="77"/>
        <v>8</v>
      </c>
    </row>
    <row r="628" spans="2:19" x14ac:dyDescent="0.3">
      <c r="B628" s="24">
        <v>295938</v>
      </c>
      <c r="C628" s="25">
        <v>30</v>
      </c>
      <c r="D628" s="25">
        <v>4</v>
      </c>
      <c r="E628" s="25">
        <v>1</v>
      </c>
      <c r="F628" s="25">
        <v>6</v>
      </c>
      <c r="G628" s="25">
        <v>107</v>
      </c>
      <c r="H628" s="25">
        <v>8.9</v>
      </c>
      <c r="I628" s="25">
        <v>1.44</v>
      </c>
      <c r="J628" s="25">
        <v>8.09</v>
      </c>
      <c r="K628" s="26">
        <v>1</v>
      </c>
      <c r="L628" s="25">
        <f t="shared" si="72"/>
        <v>0.11107515081258407</v>
      </c>
      <c r="M628" s="25">
        <f t="shared" si="78"/>
        <v>0.5277402726610898</v>
      </c>
      <c r="N628" s="25">
        <f t="shared" si="73"/>
        <v>0.5277402726610898</v>
      </c>
      <c r="O628" s="25">
        <f t="shared" si="74"/>
        <v>-0.63915102414107239</v>
      </c>
      <c r="P628" s="25">
        <f t="shared" si="75"/>
        <v>1</v>
      </c>
      <c r="Q628" s="25">
        <f t="shared" si="79"/>
        <v>483.91804870596877</v>
      </c>
      <c r="R628" s="25">
        <f t="shared" si="76"/>
        <v>7</v>
      </c>
      <c r="S628" s="26">
        <f t="shared" si="77"/>
        <v>15</v>
      </c>
    </row>
    <row r="629" spans="2:19" x14ac:dyDescent="0.3">
      <c r="B629" s="24">
        <v>296037</v>
      </c>
      <c r="C629" s="25">
        <v>24</v>
      </c>
      <c r="D629" s="25">
        <v>2</v>
      </c>
      <c r="E629" s="25">
        <v>0</v>
      </c>
      <c r="F629" s="25">
        <v>2</v>
      </c>
      <c r="G629" s="25">
        <v>21</v>
      </c>
      <c r="H629" s="25">
        <v>13.7</v>
      </c>
      <c r="I629" s="25">
        <v>1.38</v>
      </c>
      <c r="J629" s="25">
        <v>1.5</v>
      </c>
      <c r="K629" s="26">
        <v>0</v>
      </c>
      <c r="L629" s="25">
        <f t="shared" si="72"/>
        <v>0.9691448295847096</v>
      </c>
      <c r="M629" s="25">
        <f t="shared" si="78"/>
        <v>0.72494901137553147</v>
      </c>
      <c r="N629" s="25">
        <f t="shared" si="73"/>
        <v>0.27505098862446853</v>
      </c>
      <c r="O629" s="25">
        <f t="shared" si="74"/>
        <v>-1.2907987853225795</v>
      </c>
      <c r="P629" s="25">
        <f t="shared" si="75"/>
        <v>1</v>
      </c>
      <c r="Q629" s="25">
        <f t="shared" si="79"/>
        <v>459.15939200164576</v>
      </c>
      <c r="R629" s="25">
        <f t="shared" si="76"/>
        <v>8</v>
      </c>
      <c r="S629" s="26">
        <f t="shared" si="77"/>
        <v>16</v>
      </c>
    </row>
    <row r="630" spans="2:19" x14ac:dyDescent="0.3">
      <c r="B630" s="24">
        <v>296049</v>
      </c>
      <c r="C630" s="25">
        <v>24</v>
      </c>
      <c r="D630" s="25">
        <v>4</v>
      </c>
      <c r="E630" s="25">
        <v>0</v>
      </c>
      <c r="F630" s="25">
        <v>2</v>
      </c>
      <c r="G630" s="25">
        <v>49</v>
      </c>
      <c r="H630" s="25">
        <v>13.6</v>
      </c>
      <c r="I630" s="25">
        <v>3.04</v>
      </c>
      <c r="J630" s="25">
        <v>3.63</v>
      </c>
      <c r="K630" s="26">
        <v>1</v>
      </c>
      <c r="L630" s="25">
        <f t="shared" si="72"/>
        <v>1.6984742681417762</v>
      </c>
      <c r="M630" s="25">
        <f t="shared" si="78"/>
        <v>0.84533536049725955</v>
      </c>
      <c r="N630" s="25">
        <f t="shared" si="73"/>
        <v>0.84533536049725955</v>
      </c>
      <c r="O630" s="25">
        <f t="shared" si="74"/>
        <v>-0.16802185403142408</v>
      </c>
      <c r="P630" s="25">
        <f t="shared" si="75"/>
        <v>1</v>
      </c>
      <c r="Q630" s="25">
        <f t="shared" si="79"/>
        <v>438.11539331446397</v>
      </c>
      <c r="R630" s="25">
        <f t="shared" si="76"/>
        <v>8</v>
      </c>
      <c r="S630" s="26">
        <f t="shared" si="77"/>
        <v>16</v>
      </c>
    </row>
    <row r="631" spans="2:19" x14ac:dyDescent="0.3">
      <c r="B631" s="24">
        <v>296068</v>
      </c>
      <c r="C631" s="25">
        <v>31</v>
      </c>
      <c r="D631" s="25">
        <v>2</v>
      </c>
      <c r="E631" s="25">
        <v>0</v>
      </c>
      <c r="F631" s="25">
        <v>6</v>
      </c>
      <c r="G631" s="25">
        <v>34</v>
      </c>
      <c r="H631" s="25">
        <v>4.2</v>
      </c>
      <c r="I631" s="25">
        <v>0.71</v>
      </c>
      <c r="J631" s="25">
        <v>0.71</v>
      </c>
      <c r="K631" s="26">
        <v>1</v>
      </c>
      <c r="L631" s="25">
        <f t="shared" si="72"/>
        <v>-0.59318034523255037</v>
      </c>
      <c r="M631" s="25">
        <f t="shared" si="78"/>
        <v>0.35590546860859512</v>
      </c>
      <c r="N631" s="25">
        <f t="shared" si="73"/>
        <v>0.35590546860859512</v>
      </c>
      <c r="O631" s="25">
        <f t="shared" si="74"/>
        <v>-1.0330901210077676</v>
      </c>
      <c r="P631" s="25">
        <f t="shared" si="75"/>
        <v>0</v>
      </c>
      <c r="Q631" s="25">
        <f t="shared" si="79"/>
        <v>504.23856636330549</v>
      </c>
      <c r="R631" s="25">
        <f t="shared" si="76"/>
        <v>7</v>
      </c>
      <c r="S631" s="26">
        <f t="shared" si="77"/>
        <v>14</v>
      </c>
    </row>
    <row r="632" spans="2:19" x14ac:dyDescent="0.3">
      <c r="B632" s="24">
        <v>296183</v>
      </c>
      <c r="C632" s="25">
        <v>41</v>
      </c>
      <c r="D632" s="25">
        <v>4</v>
      </c>
      <c r="E632" s="25">
        <v>15</v>
      </c>
      <c r="F632" s="25">
        <v>13</v>
      </c>
      <c r="G632" s="25">
        <v>89</v>
      </c>
      <c r="H632" s="25">
        <v>9.1999999999999993</v>
      </c>
      <c r="I632" s="25">
        <v>2.5499999999999998</v>
      </c>
      <c r="J632" s="25">
        <v>5.63</v>
      </c>
      <c r="K632" s="26">
        <v>0</v>
      </c>
      <c r="L632" s="25">
        <f t="shared" si="72"/>
        <v>-3.0320666442733843</v>
      </c>
      <c r="M632" s="25">
        <f t="shared" si="78"/>
        <v>4.5998052936237287E-2</v>
      </c>
      <c r="N632" s="25">
        <f t="shared" si="73"/>
        <v>0.95400194706376273</v>
      </c>
      <c r="O632" s="25">
        <f t="shared" si="74"/>
        <v>-4.7089566588592861E-2</v>
      </c>
      <c r="P632" s="25">
        <f t="shared" si="75"/>
        <v>0</v>
      </c>
      <c r="Q632" s="25">
        <f t="shared" si="79"/>
        <v>574.60994774719984</v>
      </c>
      <c r="R632" s="25">
        <f t="shared" si="76"/>
        <v>5</v>
      </c>
      <c r="S632" s="26">
        <f t="shared" si="77"/>
        <v>9</v>
      </c>
    </row>
    <row r="633" spans="2:19" x14ac:dyDescent="0.3">
      <c r="B633" s="24">
        <v>296309</v>
      </c>
      <c r="C633" s="25">
        <v>19</v>
      </c>
      <c r="D633" s="25">
        <v>2</v>
      </c>
      <c r="E633" s="25">
        <v>0</v>
      </c>
      <c r="F633" s="25">
        <v>0</v>
      </c>
      <c r="G633" s="25">
        <v>25</v>
      </c>
      <c r="H633" s="25">
        <v>24.7</v>
      </c>
      <c r="I633" s="25">
        <v>1.23</v>
      </c>
      <c r="J633" s="25">
        <v>4.95</v>
      </c>
      <c r="K633" s="26">
        <v>1</v>
      </c>
      <c r="L633" s="25">
        <f t="shared" si="72"/>
        <v>2.2547298761833501</v>
      </c>
      <c r="M633" s="25">
        <f t="shared" si="78"/>
        <v>0.90505774436185549</v>
      </c>
      <c r="N633" s="25">
        <f t="shared" si="73"/>
        <v>0.90505774436185549</v>
      </c>
      <c r="O633" s="25">
        <f t="shared" si="74"/>
        <v>-9.9756531393020167E-2</v>
      </c>
      <c r="P633" s="25">
        <f t="shared" si="75"/>
        <v>1</v>
      </c>
      <c r="Q633" s="25">
        <f t="shared" si="79"/>
        <v>422.06524962559325</v>
      </c>
      <c r="R633" s="25">
        <f t="shared" si="76"/>
        <v>8</v>
      </c>
      <c r="S633" s="26">
        <f t="shared" si="77"/>
        <v>16</v>
      </c>
    </row>
    <row r="634" spans="2:19" x14ac:dyDescent="0.3">
      <c r="B634" s="24">
        <v>296317</v>
      </c>
      <c r="C634" s="25">
        <v>20</v>
      </c>
      <c r="D634" s="25">
        <v>3</v>
      </c>
      <c r="E634" s="25">
        <v>0</v>
      </c>
      <c r="F634" s="25">
        <v>1</v>
      </c>
      <c r="G634" s="25">
        <v>23</v>
      </c>
      <c r="H634" s="25">
        <v>1</v>
      </c>
      <c r="I634" s="25">
        <v>0.02</v>
      </c>
      <c r="J634" s="25">
        <v>0.21</v>
      </c>
      <c r="K634" s="26">
        <v>0</v>
      </c>
      <c r="L634" s="25">
        <f t="shared" si="72"/>
        <v>-0.9067897360520758</v>
      </c>
      <c r="M634" s="25">
        <f t="shared" si="78"/>
        <v>0.28765720548219625</v>
      </c>
      <c r="N634" s="25">
        <f t="shared" si="73"/>
        <v>0.7123427945178038</v>
      </c>
      <c r="O634" s="25">
        <f t="shared" si="74"/>
        <v>-0.33919603045701469</v>
      </c>
      <c r="P634" s="25">
        <f t="shared" si="75"/>
        <v>0</v>
      </c>
      <c r="Q634" s="25">
        <f t="shared" si="79"/>
        <v>513.28742036507299</v>
      </c>
      <c r="R634" s="25">
        <f t="shared" si="76"/>
        <v>7</v>
      </c>
      <c r="S634" s="26">
        <f t="shared" si="77"/>
        <v>13</v>
      </c>
    </row>
    <row r="635" spans="2:19" x14ac:dyDescent="0.3">
      <c r="B635" s="24">
        <v>296325</v>
      </c>
      <c r="C635" s="25">
        <v>30</v>
      </c>
      <c r="D635" s="25">
        <v>2</v>
      </c>
      <c r="E635" s="25">
        <v>8</v>
      </c>
      <c r="F635" s="25">
        <v>5</v>
      </c>
      <c r="G635" s="25">
        <v>65</v>
      </c>
      <c r="H635" s="25">
        <v>9.1999999999999993</v>
      </c>
      <c r="I635" s="25">
        <v>2.4500000000000002</v>
      </c>
      <c r="J635" s="25">
        <v>3.53</v>
      </c>
      <c r="K635" s="26">
        <v>0</v>
      </c>
      <c r="L635" s="25">
        <f t="shared" si="72"/>
        <v>-0.94878448310028762</v>
      </c>
      <c r="M635" s="25">
        <f t="shared" si="78"/>
        <v>0.27912933793293371</v>
      </c>
      <c r="N635" s="25">
        <f t="shared" si="73"/>
        <v>0.72087066206706629</v>
      </c>
      <c r="O635" s="25">
        <f t="shared" si="74"/>
        <v>-0.32729554465847049</v>
      </c>
      <c r="P635" s="25">
        <f t="shared" si="75"/>
        <v>0</v>
      </c>
      <c r="Q635" s="25">
        <f t="shared" si="79"/>
        <v>514.49913259692744</v>
      </c>
      <c r="R635" s="25">
        <f t="shared" si="76"/>
        <v>7</v>
      </c>
      <c r="S635" s="26">
        <f t="shared" si="77"/>
        <v>13</v>
      </c>
    </row>
    <row r="636" spans="2:19" x14ac:dyDescent="0.3">
      <c r="B636" s="24">
        <v>296347</v>
      </c>
      <c r="C636" s="25">
        <v>42</v>
      </c>
      <c r="D636" s="25">
        <v>2</v>
      </c>
      <c r="E636" s="25">
        <v>5</v>
      </c>
      <c r="F636" s="25">
        <v>12</v>
      </c>
      <c r="G636" s="25">
        <v>72</v>
      </c>
      <c r="H636" s="25">
        <v>19.3</v>
      </c>
      <c r="I636" s="25">
        <v>0.25</v>
      </c>
      <c r="J636" s="25">
        <v>13.65</v>
      </c>
      <c r="K636" s="26">
        <v>0</v>
      </c>
      <c r="L636" s="25">
        <f t="shared" si="72"/>
        <v>-0.53729614072937926</v>
      </c>
      <c r="M636" s="25">
        <f t="shared" si="78"/>
        <v>0.36881679271090279</v>
      </c>
      <c r="N636" s="25">
        <f t="shared" si="73"/>
        <v>0.63118320728909727</v>
      </c>
      <c r="O636" s="25">
        <f t="shared" si="74"/>
        <v>-0.46015911422595873</v>
      </c>
      <c r="P636" s="25">
        <f t="shared" si="75"/>
        <v>0</v>
      </c>
      <c r="Q636" s="25">
        <f t="shared" si="79"/>
        <v>502.62608911499143</v>
      </c>
      <c r="R636" s="25">
        <f t="shared" si="76"/>
        <v>7</v>
      </c>
      <c r="S636" s="26">
        <f t="shared" si="77"/>
        <v>14</v>
      </c>
    </row>
    <row r="637" spans="2:19" x14ac:dyDescent="0.3">
      <c r="B637" s="24">
        <v>296403</v>
      </c>
      <c r="C637" s="25">
        <v>27</v>
      </c>
      <c r="D637" s="25">
        <v>1</v>
      </c>
      <c r="E637" s="25">
        <v>5</v>
      </c>
      <c r="F637" s="25">
        <v>5</v>
      </c>
      <c r="G637" s="25">
        <v>34</v>
      </c>
      <c r="H637" s="25">
        <v>1</v>
      </c>
      <c r="I637" s="25">
        <v>0.06</v>
      </c>
      <c r="J637" s="25">
        <v>0.28000000000000003</v>
      </c>
      <c r="K637" s="26">
        <v>0</v>
      </c>
      <c r="L637" s="25">
        <f t="shared" si="72"/>
        <v>-2.189532106361828</v>
      </c>
      <c r="M637" s="25">
        <f t="shared" si="78"/>
        <v>0.10069445579563535</v>
      </c>
      <c r="N637" s="25">
        <f t="shared" si="73"/>
        <v>0.8993055442043647</v>
      </c>
      <c r="O637" s="25">
        <f t="shared" si="74"/>
        <v>-0.10613243105858187</v>
      </c>
      <c r="P637" s="25">
        <f t="shared" si="75"/>
        <v>0</v>
      </c>
      <c r="Q637" s="25">
        <f t="shared" si="79"/>
        <v>550.29954044375359</v>
      </c>
      <c r="R637" s="25">
        <f t="shared" si="76"/>
        <v>6</v>
      </c>
      <c r="S637" s="26">
        <f t="shared" si="77"/>
        <v>11</v>
      </c>
    </row>
    <row r="638" spans="2:19" x14ac:dyDescent="0.3">
      <c r="B638" s="24">
        <v>296493</v>
      </c>
      <c r="C638" s="25">
        <v>24</v>
      </c>
      <c r="D638" s="25">
        <v>4</v>
      </c>
      <c r="E638" s="25">
        <v>0</v>
      </c>
      <c r="F638" s="25">
        <v>2</v>
      </c>
      <c r="G638" s="25">
        <v>38</v>
      </c>
      <c r="H638" s="25">
        <v>1.6</v>
      </c>
      <c r="I638" s="25">
        <v>0.03</v>
      </c>
      <c r="J638" s="25">
        <v>0.56999999999999995</v>
      </c>
      <c r="K638" s="26">
        <v>0</v>
      </c>
      <c r="L638" s="25">
        <f t="shared" si="72"/>
        <v>-1.0023090921515256</v>
      </c>
      <c r="M638" s="25">
        <f t="shared" si="78"/>
        <v>0.26848766859290257</v>
      </c>
      <c r="N638" s="25">
        <f t="shared" si="73"/>
        <v>0.73151233140709748</v>
      </c>
      <c r="O638" s="25">
        <f t="shared" si="74"/>
        <v>-0.31264120096466608</v>
      </c>
      <c r="P638" s="25">
        <f t="shared" si="75"/>
        <v>0</v>
      </c>
      <c r="Q638" s="25">
        <f t="shared" si="79"/>
        <v>516.04352631403094</v>
      </c>
      <c r="R638" s="25">
        <f t="shared" si="76"/>
        <v>7</v>
      </c>
      <c r="S638" s="26">
        <f t="shared" si="77"/>
        <v>13</v>
      </c>
    </row>
    <row r="639" spans="2:19" x14ac:dyDescent="0.3">
      <c r="B639" s="24">
        <v>296589</v>
      </c>
      <c r="C639" s="25">
        <v>38</v>
      </c>
      <c r="D639" s="25">
        <v>2</v>
      </c>
      <c r="E639" s="25">
        <v>16</v>
      </c>
      <c r="F639" s="25">
        <v>6</v>
      </c>
      <c r="G639" s="25">
        <v>71</v>
      </c>
      <c r="H639" s="25">
        <v>6.6</v>
      </c>
      <c r="I639" s="25">
        <v>1.54</v>
      </c>
      <c r="J639" s="25">
        <v>3.15</v>
      </c>
      <c r="K639" s="26">
        <v>0</v>
      </c>
      <c r="L639" s="25">
        <f t="shared" si="72"/>
        <v>-3.6624461738845415</v>
      </c>
      <c r="M639" s="25">
        <f t="shared" si="78"/>
        <v>2.5027204047199457E-2</v>
      </c>
      <c r="N639" s="25">
        <f t="shared" si="73"/>
        <v>0.97497279595280051</v>
      </c>
      <c r="O639" s="25">
        <f t="shared" si="74"/>
        <v>-2.5345709960417663E-2</v>
      </c>
      <c r="P639" s="25">
        <f t="shared" si="75"/>
        <v>0</v>
      </c>
      <c r="Q639" s="25">
        <f t="shared" si="79"/>
        <v>592.79885565664722</v>
      </c>
      <c r="R639" s="25">
        <f t="shared" si="76"/>
        <v>4</v>
      </c>
      <c r="S639" s="26">
        <f t="shared" si="77"/>
        <v>7</v>
      </c>
    </row>
    <row r="640" spans="2:19" x14ac:dyDescent="0.3">
      <c r="B640" s="24">
        <v>296591</v>
      </c>
      <c r="C640" s="25">
        <v>24</v>
      </c>
      <c r="D640" s="25">
        <v>1</v>
      </c>
      <c r="E640" s="25">
        <v>7</v>
      </c>
      <c r="F640" s="25">
        <v>2</v>
      </c>
      <c r="G640" s="25">
        <v>29</v>
      </c>
      <c r="H640" s="25">
        <v>13.6</v>
      </c>
      <c r="I640" s="25">
        <v>0.64</v>
      </c>
      <c r="J640" s="25">
        <v>3.3</v>
      </c>
      <c r="K640" s="26">
        <v>0</v>
      </c>
      <c r="L640" s="25">
        <f t="shared" si="72"/>
        <v>-0.87463195481879819</v>
      </c>
      <c r="M640" s="25">
        <f t="shared" si="78"/>
        <v>0.29429140346109761</v>
      </c>
      <c r="N640" s="25">
        <f t="shared" si="73"/>
        <v>0.70570859653890239</v>
      </c>
      <c r="O640" s="25">
        <f t="shared" si="74"/>
        <v>-0.34855287947252817</v>
      </c>
      <c r="P640" s="25">
        <f t="shared" si="75"/>
        <v>0</v>
      </c>
      <c r="Q640" s="25">
        <f t="shared" si="79"/>
        <v>512.35954296114608</v>
      </c>
      <c r="R640" s="25">
        <f t="shared" si="76"/>
        <v>7</v>
      </c>
      <c r="S640" s="26">
        <f t="shared" si="77"/>
        <v>13</v>
      </c>
    </row>
    <row r="641" spans="2:19" x14ac:dyDescent="0.3">
      <c r="B641" s="24">
        <v>296685</v>
      </c>
      <c r="C641" s="25">
        <v>48</v>
      </c>
      <c r="D641" s="25">
        <v>2</v>
      </c>
      <c r="E641" s="25">
        <v>7</v>
      </c>
      <c r="F641" s="25">
        <v>11</v>
      </c>
      <c r="G641" s="25">
        <v>80</v>
      </c>
      <c r="H641" s="25">
        <v>3.7</v>
      </c>
      <c r="I641" s="25">
        <v>0.79</v>
      </c>
      <c r="J641" s="25">
        <v>2.17</v>
      </c>
      <c r="K641" s="26">
        <v>0</v>
      </c>
      <c r="L641" s="25">
        <f t="shared" si="72"/>
        <v>-2.672002883570876</v>
      </c>
      <c r="M641" s="25">
        <f t="shared" si="78"/>
        <v>6.4645755230538268E-2</v>
      </c>
      <c r="N641" s="25">
        <f t="shared" si="73"/>
        <v>0.93535424476946172</v>
      </c>
      <c r="O641" s="25">
        <f t="shared" si="74"/>
        <v>-6.682995003591112E-2</v>
      </c>
      <c r="P641" s="25">
        <f t="shared" si="75"/>
        <v>0</v>
      </c>
      <c r="Q641" s="25">
        <f t="shared" si="79"/>
        <v>564.22070400226573</v>
      </c>
      <c r="R641" s="25">
        <f t="shared" si="76"/>
        <v>5</v>
      </c>
      <c r="S641" s="26">
        <f t="shared" si="77"/>
        <v>10</v>
      </c>
    </row>
    <row r="642" spans="2:19" x14ac:dyDescent="0.3">
      <c r="B642" s="24">
        <v>296709</v>
      </c>
      <c r="C642" s="25">
        <v>49</v>
      </c>
      <c r="D642" s="25">
        <v>4</v>
      </c>
      <c r="E642" s="25">
        <v>0</v>
      </c>
      <c r="F642" s="25">
        <v>11</v>
      </c>
      <c r="G642" s="25">
        <v>77</v>
      </c>
      <c r="H642" s="25">
        <v>2</v>
      </c>
      <c r="I642" s="25">
        <v>0.21</v>
      </c>
      <c r="J642" s="25">
        <v>1.33</v>
      </c>
      <c r="K642" s="26">
        <v>0</v>
      </c>
      <c r="L642" s="25">
        <f t="shared" si="72"/>
        <v>-1.6826499083333646</v>
      </c>
      <c r="M642" s="25">
        <f t="shared" si="78"/>
        <v>0.15674489610345449</v>
      </c>
      <c r="N642" s="25">
        <f t="shared" si="73"/>
        <v>0.84325510389654545</v>
      </c>
      <c r="O642" s="25">
        <f t="shared" si="74"/>
        <v>-0.17048575240936709</v>
      </c>
      <c r="P642" s="25">
        <f t="shared" si="75"/>
        <v>0</v>
      </c>
      <c r="Q642" s="25">
        <f t="shared" si="79"/>
        <v>535.67401219006001</v>
      </c>
      <c r="R642" s="25">
        <f t="shared" si="76"/>
        <v>6</v>
      </c>
      <c r="S642" s="26">
        <f t="shared" si="77"/>
        <v>12</v>
      </c>
    </row>
    <row r="643" spans="2:19" x14ac:dyDescent="0.3">
      <c r="B643" s="24">
        <v>296763</v>
      </c>
      <c r="C643" s="25">
        <v>18</v>
      </c>
      <c r="D643" s="25">
        <v>2</v>
      </c>
      <c r="E643" s="25">
        <v>0</v>
      </c>
      <c r="F643" s="25">
        <v>0</v>
      </c>
      <c r="G643" s="25">
        <v>29</v>
      </c>
      <c r="H643" s="25">
        <v>25.9</v>
      </c>
      <c r="I643" s="25">
        <v>2.39</v>
      </c>
      <c r="J643" s="25">
        <v>5.12</v>
      </c>
      <c r="K643" s="26">
        <v>1</v>
      </c>
      <c r="L643" s="25">
        <f t="shared" si="72"/>
        <v>2.9505625662957096</v>
      </c>
      <c r="M643" s="25">
        <f t="shared" si="78"/>
        <v>0.95029007016075584</v>
      </c>
      <c r="N643" s="25">
        <f t="shared" si="73"/>
        <v>0.95029007016075584</v>
      </c>
      <c r="O643" s="25">
        <f t="shared" si="74"/>
        <v>-5.0988003982087082E-2</v>
      </c>
      <c r="P643" s="25">
        <f t="shared" si="75"/>
        <v>1</v>
      </c>
      <c r="Q643" s="25">
        <f t="shared" si="79"/>
        <v>401.98776276836026</v>
      </c>
      <c r="R643" s="25">
        <f t="shared" si="76"/>
        <v>8</v>
      </c>
      <c r="S643" s="26">
        <f t="shared" si="77"/>
        <v>17</v>
      </c>
    </row>
    <row r="644" spans="2:19" x14ac:dyDescent="0.3">
      <c r="B644" s="24">
        <v>296812</v>
      </c>
      <c r="C644" s="25">
        <v>64</v>
      </c>
      <c r="D644" s="25">
        <v>2</v>
      </c>
      <c r="E644" s="25">
        <v>11</v>
      </c>
      <c r="F644" s="25">
        <v>28</v>
      </c>
      <c r="G644" s="25">
        <v>27</v>
      </c>
      <c r="H644" s="25">
        <v>2.4</v>
      </c>
      <c r="I644" s="25">
        <v>0.08</v>
      </c>
      <c r="J644" s="25">
        <v>0.56999999999999995</v>
      </c>
      <c r="K644" s="26">
        <v>0</v>
      </c>
      <c r="L644" s="25">
        <f t="shared" si="72"/>
        <v>-4.9941854566597739</v>
      </c>
      <c r="M644" s="25">
        <f t="shared" si="78"/>
        <v>6.7316174248209914E-3</v>
      </c>
      <c r="N644" s="25">
        <f t="shared" si="73"/>
        <v>0.99326838257517902</v>
      </c>
      <c r="O644" s="25">
        <f t="shared" si="74"/>
        <v>-6.7543769578809233E-3</v>
      </c>
      <c r="P644" s="25">
        <f t="shared" si="75"/>
        <v>0</v>
      </c>
      <c r="Q644" s="25">
        <f t="shared" si="79"/>
        <v>631.22472774791549</v>
      </c>
      <c r="R644" s="25">
        <f t="shared" si="76"/>
        <v>3</v>
      </c>
      <c r="S644" s="26">
        <f t="shared" si="77"/>
        <v>4</v>
      </c>
    </row>
    <row r="645" spans="2:19" x14ac:dyDescent="0.3">
      <c r="B645" s="24">
        <v>296939</v>
      </c>
      <c r="C645" s="25">
        <v>19</v>
      </c>
      <c r="D645" s="25">
        <v>1</v>
      </c>
      <c r="E645" s="25">
        <v>3</v>
      </c>
      <c r="F645" s="25">
        <v>0</v>
      </c>
      <c r="G645" s="25">
        <v>22</v>
      </c>
      <c r="H645" s="25">
        <v>10.9</v>
      </c>
      <c r="I645" s="25">
        <v>0.47</v>
      </c>
      <c r="J645" s="25">
        <v>1.93</v>
      </c>
      <c r="K645" s="26">
        <v>0</v>
      </c>
      <c r="L645" s="25">
        <f t="shared" ref="L645:L708" si="80">$Y$4+SUMPRODUCT($Z$4:$AG$4,C645:J645)</f>
        <v>-0.18201931567055651</v>
      </c>
      <c r="M645" s="25">
        <f t="shared" si="78"/>
        <v>0.45462039139010246</v>
      </c>
      <c r="N645" s="25">
        <f t="shared" ref="N645:N708" si="81">IF(K645=1,M645,(1-M645))</f>
        <v>0.54537960860989754</v>
      </c>
      <c r="O645" s="25">
        <f t="shared" ref="O645:O708" si="82">LN(N645)</f>
        <v>-0.60627319722357909</v>
      </c>
      <c r="P645" s="25">
        <f t="shared" ref="P645:P708" si="83">IF(M645&gt;0.4,1,0)</f>
        <v>1</v>
      </c>
      <c r="Q645" s="25">
        <f t="shared" si="79"/>
        <v>492.37496713242666</v>
      </c>
      <c r="R645" s="25">
        <f t="shared" ref="R645:R708" si="84">VLOOKUP(M645,$U$9:$W$16,3,TRUE)</f>
        <v>7</v>
      </c>
      <c r="S645" s="26">
        <f t="shared" ref="S645:S708" si="85">VLOOKUP(M645,$U$21:$W$37,3,TRUE)</f>
        <v>14</v>
      </c>
    </row>
    <row r="646" spans="2:19" x14ac:dyDescent="0.3">
      <c r="B646" s="24">
        <v>296988</v>
      </c>
      <c r="C646" s="25">
        <v>49</v>
      </c>
      <c r="D646" s="25">
        <v>3</v>
      </c>
      <c r="E646" s="25">
        <v>2</v>
      </c>
      <c r="F646" s="25">
        <v>17</v>
      </c>
      <c r="G646" s="25">
        <v>36</v>
      </c>
      <c r="H646" s="25">
        <v>23.6</v>
      </c>
      <c r="I646" s="25">
        <v>2.66</v>
      </c>
      <c r="J646" s="25">
        <v>5.84</v>
      </c>
      <c r="K646" s="26">
        <v>1</v>
      </c>
      <c r="L646" s="25">
        <f t="shared" si="80"/>
        <v>1.13967346233919</v>
      </c>
      <c r="M646" s="25">
        <f t="shared" ref="M646:M709" si="86">EXP(L646)/(1+EXP(L646))</f>
        <v>0.75761968125170664</v>
      </c>
      <c r="N646" s="25">
        <f t="shared" si="81"/>
        <v>0.75761968125170664</v>
      </c>
      <c r="O646" s="25">
        <f t="shared" si="82"/>
        <v>-0.27757375902675857</v>
      </c>
      <c r="P646" s="25">
        <f t="shared" si="83"/>
        <v>1</v>
      </c>
      <c r="Q646" s="25">
        <f t="shared" si="79"/>
        <v>454.2389758850112</v>
      </c>
      <c r="R646" s="25">
        <f t="shared" si="84"/>
        <v>8</v>
      </c>
      <c r="S646" s="26">
        <f t="shared" si="85"/>
        <v>16</v>
      </c>
    </row>
    <row r="647" spans="2:19" x14ac:dyDescent="0.3">
      <c r="B647" s="24">
        <v>297023</v>
      </c>
      <c r="C647" s="25">
        <v>29</v>
      </c>
      <c r="D647" s="25">
        <v>4</v>
      </c>
      <c r="E647" s="25">
        <v>1</v>
      </c>
      <c r="F647" s="25">
        <v>4</v>
      </c>
      <c r="G647" s="25">
        <v>26</v>
      </c>
      <c r="H647" s="25">
        <v>6.6</v>
      </c>
      <c r="I647" s="25">
        <v>0.51</v>
      </c>
      <c r="J647" s="25">
        <v>1.21</v>
      </c>
      <c r="K647" s="26">
        <v>1</v>
      </c>
      <c r="L647" s="25">
        <f t="shared" si="80"/>
        <v>-0.66275320068048393</v>
      </c>
      <c r="M647" s="25">
        <f t="shared" si="86"/>
        <v>0.34012141466117923</v>
      </c>
      <c r="N647" s="25">
        <f t="shared" si="81"/>
        <v>0.34012141466117923</v>
      </c>
      <c r="O647" s="25">
        <f t="shared" si="82"/>
        <v>-1.0784526231730092</v>
      </c>
      <c r="P647" s="25">
        <f t="shared" si="83"/>
        <v>0</v>
      </c>
      <c r="Q647" s="25">
        <f t="shared" si="79"/>
        <v>506.24601457711458</v>
      </c>
      <c r="R647" s="25">
        <f t="shared" si="84"/>
        <v>7</v>
      </c>
      <c r="S647" s="26">
        <f t="shared" si="85"/>
        <v>14</v>
      </c>
    </row>
    <row r="648" spans="2:19" x14ac:dyDescent="0.3">
      <c r="B648" s="24">
        <v>297063</v>
      </c>
      <c r="C648" s="25">
        <v>28</v>
      </c>
      <c r="D648" s="25">
        <v>2</v>
      </c>
      <c r="E648" s="25">
        <v>3</v>
      </c>
      <c r="F648" s="25">
        <v>5</v>
      </c>
      <c r="G648" s="25">
        <v>64</v>
      </c>
      <c r="H648" s="25">
        <v>9.4</v>
      </c>
      <c r="I648" s="25">
        <v>1.03</v>
      </c>
      <c r="J648" s="25">
        <v>4.9800000000000004</v>
      </c>
      <c r="K648" s="26">
        <v>1</v>
      </c>
      <c r="L648" s="25">
        <f t="shared" si="80"/>
        <v>-0.39090531203679857</v>
      </c>
      <c r="M648" s="25">
        <f t="shared" si="86"/>
        <v>0.40349938427062437</v>
      </c>
      <c r="N648" s="25">
        <f t="shared" si="81"/>
        <v>0.40349938427062437</v>
      </c>
      <c r="O648" s="25">
        <f t="shared" si="82"/>
        <v>-0.90758031724448895</v>
      </c>
      <c r="P648" s="25">
        <f t="shared" si="83"/>
        <v>1</v>
      </c>
      <c r="Q648" s="25">
        <f t="shared" si="79"/>
        <v>498.40214278297856</v>
      </c>
      <c r="R648" s="25">
        <f t="shared" si="84"/>
        <v>7</v>
      </c>
      <c r="S648" s="26">
        <f t="shared" si="85"/>
        <v>14</v>
      </c>
    </row>
    <row r="649" spans="2:19" x14ac:dyDescent="0.3">
      <c r="B649" s="24">
        <v>297090</v>
      </c>
      <c r="C649" s="25">
        <v>27</v>
      </c>
      <c r="D649" s="25">
        <v>2</v>
      </c>
      <c r="E649" s="25">
        <v>4</v>
      </c>
      <c r="F649" s="25">
        <v>3</v>
      </c>
      <c r="G649" s="25">
        <v>32</v>
      </c>
      <c r="H649" s="25">
        <v>6.7</v>
      </c>
      <c r="I649" s="25">
        <v>0.56000000000000005</v>
      </c>
      <c r="J649" s="25">
        <v>1.59</v>
      </c>
      <c r="K649" s="26">
        <v>1</v>
      </c>
      <c r="L649" s="25">
        <f t="shared" si="80"/>
        <v>-1.1143357832371701</v>
      </c>
      <c r="M649" s="25">
        <f t="shared" si="86"/>
        <v>0.24706344848089962</v>
      </c>
      <c r="N649" s="25">
        <f t="shared" si="81"/>
        <v>0.24706344848089962</v>
      </c>
      <c r="O649" s="25">
        <f t="shared" si="82"/>
        <v>-1.3981100989003747</v>
      </c>
      <c r="P649" s="25">
        <f t="shared" si="83"/>
        <v>0</v>
      </c>
      <c r="Q649" s="25">
        <f t="shared" ref="Q649:Q712" si="87">28.8539*LN((1-M649)/(M649))+487.123</f>
        <v>519.27593325594694</v>
      </c>
      <c r="R649" s="25">
        <f t="shared" si="84"/>
        <v>6</v>
      </c>
      <c r="S649" s="26">
        <f t="shared" si="85"/>
        <v>13</v>
      </c>
    </row>
    <row r="650" spans="2:19" x14ac:dyDescent="0.3">
      <c r="B650" s="24">
        <v>297143</v>
      </c>
      <c r="C650" s="25">
        <v>24</v>
      </c>
      <c r="D650" s="25">
        <v>4</v>
      </c>
      <c r="E650" s="25">
        <v>0</v>
      </c>
      <c r="F650" s="25">
        <v>2</v>
      </c>
      <c r="G650" s="25">
        <v>40</v>
      </c>
      <c r="H650" s="25">
        <v>8.6</v>
      </c>
      <c r="I650" s="25">
        <v>1.2</v>
      </c>
      <c r="J650" s="25">
        <v>2.2400000000000002</v>
      </c>
      <c r="K650" s="26">
        <v>0</v>
      </c>
      <c r="L650" s="25">
        <f t="shared" si="80"/>
        <v>0.29175396107106305</v>
      </c>
      <c r="M650" s="25">
        <f t="shared" si="86"/>
        <v>0.572425477314776</v>
      </c>
      <c r="N650" s="25">
        <f t="shared" si="81"/>
        <v>0.427574522685224</v>
      </c>
      <c r="O650" s="25">
        <f t="shared" si="82"/>
        <v>-0.84962668372694938</v>
      </c>
      <c r="P650" s="25">
        <f t="shared" si="83"/>
        <v>1</v>
      </c>
      <c r="Q650" s="25">
        <f t="shared" si="87"/>
        <v>478.70476038265167</v>
      </c>
      <c r="R650" s="25">
        <f t="shared" si="84"/>
        <v>7</v>
      </c>
      <c r="S650" s="26">
        <f t="shared" si="85"/>
        <v>15</v>
      </c>
    </row>
    <row r="651" spans="2:19" x14ac:dyDescent="0.3">
      <c r="B651" s="24">
        <v>297166</v>
      </c>
      <c r="C651" s="25">
        <v>23</v>
      </c>
      <c r="D651" s="25">
        <v>1</v>
      </c>
      <c r="E651" s="25">
        <v>2</v>
      </c>
      <c r="F651" s="25">
        <v>2</v>
      </c>
      <c r="G651" s="25">
        <v>38</v>
      </c>
      <c r="H651" s="25">
        <v>12.2</v>
      </c>
      <c r="I651" s="25">
        <v>2.23</v>
      </c>
      <c r="J651" s="25">
        <v>2.41</v>
      </c>
      <c r="K651" s="26">
        <v>1</v>
      </c>
      <c r="L651" s="25">
        <f t="shared" si="80"/>
        <v>0.87154915143999778</v>
      </c>
      <c r="M651" s="25">
        <f t="shared" si="86"/>
        <v>0.70506794191464461</v>
      </c>
      <c r="N651" s="25">
        <f t="shared" si="81"/>
        <v>0.70506794191464461</v>
      </c>
      <c r="O651" s="25">
        <f t="shared" si="82"/>
        <v>-0.34946110930316987</v>
      </c>
      <c r="P651" s="25">
        <f t="shared" si="83"/>
        <v>1</v>
      </c>
      <c r="Q651" s="25">
        <f t="shared" si="87"/>
        <v>461.97540793926544</v>
      </c>
      <c r="R651" s="25">
        <f t="shared" si="84"/>
        <v>8</v>
      </c>
      <c r="S651" s="26">
        <f t="shared" si="85"/>
        <v>16</v>
      </c>
    </row>
    <row r="652" spans="2:19" x14ac:dyDescent="0.3">
      <c r="B652" s="24">
        <v>297181</v>
      </c>
      <c r="C652" s="25">
        <v>43</v>
      </c>
      <c r="D652" s="25">
        <v>5</v>
      </c>
      <c r="E652" s="25">
        <v>3</v>
      </c>
      <c r="F652" s="25">
        <v>8</v>
      </c>
      <c r="G652" s="25">
        <v>30</v>
      </c>
      <c r="H652" s="25">
        <v>3.1</v>
      </c>
      <c r="I652" s="25">
        <v>0.34</v>
      </c>
      <c r="J652" s="25">
        <v>0.59</v>
      </c>
      <c r="K652" s="26">
        <v>0</v>
      </c>
      <c r="L652" s="25">
        <f t="shared" si="80"/>
        <v>-2.0452849612558919</v>
      </c>
      <c r="M652" s="25">
        <f t="shared" si="86"/>
        <v>0.11452967738768621</v>
      </c>
      <c r="N652" s="25">
        <f t="shared" si="81"/>
        <v>0.88547032261231373</v>
      </c>
      <c r="O652" s="25">
        <f t="shared" si="82"/>
        <v>-0.12163633715734457</v>
      </c>
      <c r="P652" s="25">
        <f t="shared" si="83"/>
        <v>0</v>
      </c>
      <c r="Q652" s="25">
        <f t="shared" si="87"/>
        <v>546.13744774358133</v>
      </c>
      <c r="R652" s="25">
        <f t="shared" si="84"/>
        <v>6</v>
      </c>
      <c r="S652" s="26">
        <f t="shared" si="85"/>
        <v>11</v>
      </c>
    </row>
    <row r="653" spans="2:19" x14ac:dyDescent="0.3">
      <c r="B653" s="24">
        <v>297207</v>
      </c>
      <c r="C653" s="25">
        <v>29</v>
      </c>
      <c r="D653" s="25">
        <v>5</v>
      </c>
      <c r="E653" s="25">
        <v>1</v>
      </c>
      <c r="F653" s="25">
        <v>5</v>
      </c>
      <c r="G653" s="25">
        <v>51</v>
      </c>
      <c r="H653" s="25">
        <v>12.5</v>
      </c>
      <c r="I653" s="25">
        <v>2.4300000000000002</v>
      </c>
      <c r="J653" s="25">
        <v>3.95</v>
      </c>
      <c r="K653" s="26">
        <v>0</v>
      </c>
      <c r="L653" s="25">
        <f t="shared" si="80"/>
        <v>0.82300651220318066</v>
      </c>
      <c r="M653" s="25">
        <f t="shared" si="86"/>
        <v>0.69487416624627529</v>
      </c>
      <c r="N653" s="25">
        <f t="shared" si="81"/>
        <v>0.30512583375372471</v>
      </c>
      <c r="O653" s="25">
        <f t="shared" si="82"/>
        <v>-1.1870310177738532</v>
      </c>
      <c r="P653" s="25">
        <f t="shared" si="83"/>
        <v>1</v>
      </c>
      <c r="Q653" s="25">
        <f t="shared" si="87"/>
        <v>463.37605239754066</v>
      </c>
      <c r="R653" s="25">
        <f t="shared" si="84"/>
        <v>8</v>
      </c>
      <c r="S653" s="26">
        <f t="shared" si="85"/>
        <v>15</v>
      </c>
    </row>
    <row r="654" spans="2:19" x14ac:dyDescent="0.3">
      <c r="B654" s="24">
        <v>297282</v>
      </c>
      <c r="C654" s="25">
        <v>61</v>
      </c>
      <c r="D654" s="25">
        <v>3</v>
      </c>
      <c r="E654" s="25">
        <v>35</v>
      </c>
      <c r="F654" s="25">
        <v>9</v>
      </c>
      <c r="G654" s="25">
        <v>327</v>
      </c>
      <c r="H654" s="25">
        <v>4.5999999999999996</v>
      </c>
      <c r="I654" s="25">
        <v>7.63</v>
      </c>
      <c r="J654" s="25">
        <v>7.42</v>
      </c>
      <c r="K654" s="26">
        <v>0</v>
      </c>
      <c r="L654" s="25">
        <f t="shared" si="80"/>
        <v>-5.7593272231424537</v>
      </c>
      <c r="M654" s="25">
        <f t="shared" si="86"/>
        <v>3.1433206863665628E-3</v>
      </c>
      <c r="N654" s="25">
        <f t="shared" si="81"/>
        <v>0.99685667931363342</v>
      </c>
      <c r="O654" s="25">
        <f t="shared" si="82"/>
        <v>-3.1482712957926228E-3</v>
      </c>
      <c r="P654" s="25">
        <f t="shared" si="83"/>
        <v>0</v>
      </c>
      <c r="Q654" s="25">
        <f t="shared" si="87"/>
        <v>653.30205176383004</v>
      </c>
      <c r="R654" s="25">
        <f t="shared" si="84"/>
        <v>2</v>
      </c>
      <c r="S654" s="26">
        <f t="shared" si="85"/>
        <v>2</v>
      </c>
    </row>
    <row r="655" spans="2:19" x14ac:dyDescent="0.3">
      <c r="B655" s="24">
        <v>297308</v>
      </c>
      <c r="C655" s="25">
        <v>22</v>
      </c>
      <c r="D655" s="25">
        <v>4</v>
      </c>
      <c r="E655" s="25">
        <v>0</v>
      </c>
      <c r="F655" s="25">
        <v>1</v>
      </c>
      <c r="G655" s="25">
        <v>20</v>
      </c>
      <c r="H655" s="25">
        <v>6.5</v>
      </c>
      <c r="I655" s="25">
        <v>0.6</v>
      </c>
      <c r="J655" s="25">
        <v>0.7</v>
      </c>
      <c r="K655" s="26">
        <v>1</v>
      </c>
      <c r="L655" s="25">
        <f t="shared" si="80"/>
        <v>-0.16905634402977809</v>
      </c>
      <c r="M655" s="25">
        <f t="shared" si="86"/>
        <v>0.45783628626985168</v>
      </c>
      <c r="N655" s="25">
        <f t="shared" si="81"/>
        <v>0.45783628626985168</v>
      </c>
      <c r="O655" s="25">
        <f t="shared" si="82"/>
        <v>-0.78124361232897976</v>
      </c>
      <c r="P655" s="25">
        <f t="shared" si="83"/>
        <v>1</v>
      </c>
      <c r="Q655" s="25">
        <f t="shared" si="87"/>
        <v>492.00093484500081</v>
      </c>
      <c r="R655" s="25">
        <f t="shared" si="84"/>
        <v>7</v>
      </c>
      <c r="S655" s="26">
        <f t="shared" si="85"/>
        <v>14</v>
      </c>
    </row>
    <row r="656" spans="2:19" x14ac:dyDescent="0.3">
      <c r="B656" s="24">
        <v>297345</v>
      </c>
      <c r="C656" s="25">
        <v>24</v>
      </c>
      <c r="D656" s="25">
        <v>2</v>
      </c>
      <c r="E656" s="25">
        <v>2</v>
      </c>
      <c r="F656" s="25">
        <v>3</v>
      </c>
      <c r="G656" s="25">
        <v>34</v>
      </c>
      <c r="H656" s="25">
        <v>2.4</v>
      </c>
      <c r="I656" s="25">
        <v>0.27</v>
      </c>
      <c r="J656" s="25">
        <v>0.54</v>
      </c>
      <c r="K656" s="26">
        <v>0</v>
      </c>
      <c r="L656" s="25">
        <f t="shared" si="80"/>
        <v>-1.1887756498861237</v>
      </c>
      <c r="M656" s="25">
        <f t="shared" si="86"/>
        <v>0.23347798132505143</v>
      </c>
      <c r="N656" s="25">
        <f t="shared" si="81"/>
        <v>0.76652201867494862</v>
      </c>
      <c r="O656" s="25">
        <f t="shared" si="82"/>
        <v>-0.2658918548272185</v>
      </c>
      <c r="P656" s="25">
        <f t="shared" si="83"/>
        <v>0</v>
      </c>
      <c r="Q656" s="25">
        <f t="shared" si="87"/>
        <v>521.42381372424916</v>
      </c>
      <c r="R656" s="25">
        <f t="shared" si="84"/>
        <v>6</v>
      </c>
      <c r="S656" s="26">
        <f t="shared" si="85"/>
        <v>13</v>
      </c>
    </row>
    <row r="657" spans="2:19" x14ac:dyDescent="0.3">
      <c r="B657" s="24">
        <v>297357</v>
      </c>
      <c r="C657" s="25">
        <v>30</v>
      </c>
      <c r="D657" s="25">
        <v>3</v>
      </c>
      <c r="E657" s="25">
        <v>8</v>
      </c>
      <c r="F657" s="25">
        <v>3</v>
      </c>
      <c r="G657" s="25">
        <v>65</v>
      </c>
      <c r="H657" s="25">
        <v>8.8000000000000007</v>
      </c>
      <c r="I657" s="25">
        <v>1.92</v>
      </c>
      <c r="J657" s="25">
        <v>3.8</v>
      </c>
      <c r="K657" s="26">
        <v>0</v>
      </c>
      <c r="L657" s="25">
        <f t="shared" si="80"/>
        <v>-1.2211863726825505</v>
      </c>
      <c r="M657" s="25">
        <f t="shared" si="86"/>
        <v>0.22772773840812022</v>
      </c>
      <c r="N657" s="25">
        <f t="shared" si="81"/>
        <v>0.77227226159187978</v>
      </c>
      <c r="O657" s="25">
        <f t="shared" si="82"/>
        <v>-0.25841812067516584</v>
      </c>
      <c r="P657" s="25">
        <f t="shared" si="83"/>
        <v>0</v>
      </c>
      <c r="Q657" s="25">
        <f t="shared" si="87"/>
        <v>522.358989478745</v>
      </c>
      <c r="R657" s="25">
        <f t="shared" si="84"/>
        <v>6</v>
      </c>
      <c r="S657" s="26">
        <f t="shared" si="85"/>
        <v>13</v>
      </c>
    </row>
    <row r="658" spans="2:19" x14ac:dyDescent="0.3">
      <c r="B658" s="24">
        <v>297360</v>
      </c>
      <c r="C658" s="25">
        <v>37</v>
      </c>
      <c r="D658" s="25">
        <v>3</v>
      </c>
      <c r="E658" s="25">
        <v>3</v>
      </c>
      <c r="F658" s="25">
        <v>4</v>
      </c>
      <c r="G658" s="25">
        <v>57</v>
      </c>
      <c r="H658" s="25">
        <v>10.8</v>
      </c>
      <c r="I658" s="25">
        <v>0.72</v>
      </c>
      <c r="J658" s="25">
        <v>5.44</v>
      </c>
      <c r="K658" s="26">
        <v>1</v>
      </c>
      <c r="L658" s="25">
        <f t="shared" si="80"/>
        <v>-0.60350390954373634</v>
      </c>
      <c r="M658" s="25">
        <f t="shared" si="86"/>
        <v>0.35354246423109675</v>
      </c>
      <c r="N658" s="25">
        <f t="shared" si="81"/>
        <v>0.35354246423109675</v>
      </c>
      <c r="O658" s="25">
        <f t="shared" si="82"/>
        <v>-1.0397516757366256</v>
      </c>
      <c r="P658" s="25">
        <f t="shared" si="83"/>
        <v>0</v>
      </c>
      <c r="Q658" s="25">
        <f t="shared" si="87"/>
        <v>504.536441455584</v>
      </c>
      <c r="R658" s="25">
        <f t="shared" si="84"/>
        <v>7</v>
      </c>
      <c r="S658" s="26">
        <f t="shared" si="85"/>
        <v>14</v>
      </c>
    </row>
    <row r="659" spans="2:19" x14ac:dyDescent="0.3">
      <c r="B659" s="24">
        <v>297382</v>
      </c>
      <c r="C659" s="25">
        <v>27</v>
      </c>
      <c r="D659" s="25">
        <v>2</v>
      </c>
      <c r="E659" s="25">
        <v>4</v>
      </c>
      <c r="F659" s="25">
        <v>1</v>
      </c>
      <c r="G659" s="25">
        <v>36</v>
      </c>
      <c r="H659" s="25">
        <v>14.7</v>
      </c>
      <c r="I659" s="25">
        <v>1.46</v>
      </c>
      <c r="J659" s="25">
        <v>3.83</v>
      </c>
      <c r="K659" s="26">
        <v>1</v>
      </c>
      <c r="L659" s="25">
        <f t="shared" si="80"/>
        <v>0.23137388383410912</v>
      </c>
      <c r="M659" s="25">
        <f t="shared" si="86"/>
        <v>0.55758679619271956</v>
      </c>
      <c r="N659" s="25">
        <f t="shared" si="81"/>
        <v>0.55758679619271956</v>
      </c>
      <c r="O659" s="25">
        <f t="shared" si="82"/>
        <v>-0.58413709952795723</v>
      </c>
      <c r="P659" s="25">
        <f t="shared" si="83"/>
        <v>1</v>
      </c>
      <c r="Q659" s="25">
        <f t="shared" si="87"/>
        <v>480.446961093239</v>
      </c>
      <c r="R659" s="25">
        <f t="shared" si="84"/>
        <v>7</v>
      </c>
      <c r="S659" s="26">
        <f t="shared" si="85"/>
        <v>15</v>
      </c>
    </row>
    <row r="660" spans="2:19" x14ac:dyDescent="0.3">
      <c r="B660" s="24">
        <v>297384</v>
      </c>
      <c r="C660" s="25">
        <v>22</v>
      </c>
      <c r="D660" s="25">
        <v>4</v>
      </c>
      <c r="E660" s="25">
        <v>0</v>
      </c>
      <c r="F660" s="25">
        <v>1</v>
      </c>
      <c r="G660" s="25">
        <v>29</v>
      </c>
      <c r="H660" s="25">
        <v>3.7</v>
      </c>
      <c r="I660" s="25">
        <v>0.08</v>
      </c>
      <c r="J660" s="25">
        <v>0.99</v>
      </c>
      <c r="K660" s="26">
        <v>0</v>
      </c>
      <c r="L660" s="25">
        <f t="shared" si="80"/>
        <v>-0.68506319613496258</v>
      </c>
      <c r="M660" s="25">
        <f t="shared" si="86"/>
        <v>0.33513218817270662</v>
      </c>
      <c r="N660" s="25">
        <f t="shared" si="81"/>
        <v>0.66486781182729338</v>
      </c>
      <c r="O660" s="25">
        <f t="shared" si="82"/>
        <v>-0.40816703729256565</v>
      </c>
      <c r="P660" s="25">
        <f t="shared" si="83"/>
        <v>0</v>
      </c>
      <c r="Q660" s="25">
        <f t="shared" si="87"/>
        <v>506.88974495495859</v>
      </c>
      <c r="R660" s="25">
        <f t="shared" si="84"/>
        <v>7</v>
      </c>
      <c r="S660" s="26">
        <f t="shared" si="85"/>
        <v>14</v>
      </c>
    </row>
    <row r="661" spans="2:19" x14ac:dyDescent="0.3">
      <c r="B661" s="24">
        <v>297466</v>
      </c>
      <c r="C661" s="25">
        <v>28</v>
      </c>
      <c r="D661" s="25">
        <v>5</v>
      </c>
      <c r="E661" s="25">
        <v>1</v>
      </c>
      <c r="F661" s="25">
        <v>3</v>
      </c>
      <c r="G661" s="25">
        <v>77</v>
      </c>
      <c r="H661" s="25">
        <v>0.2</v>
      </c>
      <c r="I661" s="25">
        <v>0.06</v>
      </c>
      <c r="J661" s="25">
        <v>0.1</v>
      </c>
      <c r="K661" s="26">
        <v>0</v>
      </c>
      <c r="L661" s="25">
        <f t="shared" si="80"/>
        <v>-1.5294133723871859</v>
      </c>
      <c r="M661" s="25">
        <f t="shared" si="86"/>
        <v>0.17807953262040011</v>
      </c>
      <c r="N661" s="25">
        <f t="shared" si="81"/>
        <v>0.82192046737959989</v>
      </c>
      <c r="O661" s="25">
        <f t="shared" si="82"/>
        <v>-0.19611164361967751</v>
      </c>
      <c r="P661" s="25">
        <f t="shared" si="83"/>
        <v>0</v>
      </c>
      <c r="Q661" s="25">
        <f t="shared" si="87"/>
        <v>531.25254050552257</v>
      </c>
      <c r="R661" s="25">
        <f t="shared" si="84"/>
        <v>6</v>
      </c>
      <c r="S661" s="26">
        <f t="shared" si="85"/>
        <v>12</v>
      </c>
    </row>
    <row r="662" spans="2:19" x14ac:dyDescent="0.3">
      <c r="B662" s="24">
        <v>297470</v>
      </c>
      <c r="C662" s="25">
        <v>31</v>
      </c>
      <c r="D662" s="25">
        <v>2</v>
      </c>
      <c r="E662" s="25">
        <v>11</v>
      </c>
      <c r="F662" s="25">
        <v>4</v>
      </c>
      <c r="G662" s="25">
        <v>41</v>
      </c>
      <c r="H662" s="25">
        <v>2</v>
      </c>
      <c r="I662" s="25">
        <v>0.34</v>
      </c>
      <c r="J662" s="25">
        <v>0.48</v>
      </c>
      <c r="K662" s="26">
        <v>0</v>
      </c>
      <c r="L662" s="25">
        <f t="shared" si="80"/>
        <v>-3.4153861804054397</v>
      </c>
      <c r="M662" s="25">
        <f t="shared" si="86"/>
        <v>3.1818053550803138E-2</v>
      </c>
      <c r="N662" s="25">
        <f t="shared" si="81"/>
        <v>0.96818194644919686</v>
      </c>
      <c r="O662" s="25">
        <f t="shared" si="82"/>
        <v>-3.2335248160206657E-2</v>
      </c>
      <c r="P662" s="25">
        <f t="shared" si="83"/>
        <v>0</v>
      </c>
      <c r="Q662" s="25">
        <f t="shared" si="87"/>
        <v>585.67021131080048</v>
      </c>
      <c r="R662" s="25">
        <f t="shared" si="84"/>
        <v>5</v>
      </c>
      <c r="S662" s="26">
        <f t="shared" si="85"/>
        <v>8</v>
      </c>
    </row>
    <row r="663" spans="2:19" x14ac:dyDescent="0.3">
      <c r="B663" s="24">
        <v>297480</v>
      </c>
      <c r="C663" s="25">
        <v>44</v>
      </c>
      <c r="D663" s="25">
        <v>1</v>
      </c>
      <c r="E663" s="25">
        <v>14</v>
      </c>
      <c r="F663" s="25">
        <v>12</v>
      </c>
      <c r="G663" s="25">
        <v>68</v>
      </c>
      <c r="H663" s="25">
        <v>14.9</v>
      </c>
      <c r="I663" s="25">
        <v>1.78</v>
      </c>
      <c r="J663" s="25">
        <v>8.35</v>
      </c>
      <c r="K663" s="26">
        <v>0</v>
      </c>
      <c r="L663" s="25">
        <f t="shared" si="80"/>
        <v>-2.4109449639824283</v>
      </c>
      <c r="M663" s="25">
        <f t="shared" si="86"/>
        <v>8.2341886855867172E-2</v>
      </c>
      <c r="N663" s="25">
        <f t="shared" si="81"/>
        <v>0.91765811314413281</v>
      </c>
      <c r="O663" s="25">
        <f t="shared" si="82"/>
        <v>-8.5930383498265178E-2</v>
      </c>
      <c r="P663" s="25">
        <f t="shared" si="83"/>
        <v>0</v>
      </c>
      <c r="Q663" s="25">
        <f t="shared" si="87"/>
        <v>556.6881648962526</v>
      </c>
      <c r="R663" s="25">
        <f t="shared" si="84"/>
        <v>5</v>
      </c>
      <c r="S663" s="26">
        <f t="shared" si="85"/>
        <v>10</v>
      </c>
    </row>
    <row r="664" spans="2:19" x14ac:dyDescent="0.3">
      <c r="B664" s="24">
        <v>297533</v>
      </c>
      <c r="C664" s="25">
        <v>69</v>
      </c>
      <c r="D664" s="25">
        <v>2</v>
      </c>
      <c r="E664" s="25">
        <v>24</v>
      </c>
      <c r="F664" s="25">
        <v>22</v>
      </c>
      <c r="G664" s="25">
        <v>84</v>
      </c>
      <c r="H664" s="25">
        <v>20.2</v>
      </c>
      <c r="I664" s="25">
        <v>5.63</v>
      </c>
      <c r="J664" s="25">
        <v>11.33</v>
      </c>
      <c r="K664" s="26">
        <v>0</v>
      </c>
      <c r="L664" s="25">
        <f t="shared" si="80"/>
        <v>-3.1622275021655293</v>
      </c>
      <c r="M664" s="25">
        <f t="shared" si="86"/>
        <v>4.0612174925890906E-2</v>
      </c>
      <c r="N664" s="25">
        <f t="shared" si="81"/>
        <v>0.95938782507410914</v>
      </c>
      <c r="O664" s="25">
        <f t="shared" si="82"/>
        <v>-4.1459880140504869E-2</v>
      </c>
      <c r="P664" s="25">
        <f t="shared" si="83"/>
        <v>0</v>
      </c>
      <c r="Q664" s="25">
        <f t="shared" si="87"/>
        <v>578.365596124734</v>
      </c>
      <c r="R664" s="25">
        <f t="shared" si="84"/>
        <v>5</v>
      </c>
      <c r="S664" s="26">
        <f t="shared" si="85"/>
        <v>8</v>
      </c>
    </row>
    <row r="665" spans="2:19" x14ac:dyDescent="0.3">
      <c r="B665" s="24">
        <v>297538</v>
      </c>
      <c r="C665" s="25">
        <v>26</v>
      </c>
      <c r="D665" s="25">
        <v>2</v>
      </c>
      <c r="E665" s="25">
        <v>5</v>
      </c>
      <c r="F665" s="25">
        <v>2</v>
      </c>
      <c r="G665" s="25">
        <v>42</v>
      </c>
      <c r="H665" s="25">
        <v>10.6</v>
      </c>
      <c r="I665" s="25">
        <v>2.13</v>
      </c>
      <c r="J665" s="25">
        <v>2.3199999999999998</v>
      </c>
      <c r="K665" s="26">
        <v>1</v>
      </c>
      <c r="L665" s="25">
        <f t="shared" si="80"/>
        <v>-0.1335485643347879</v>
      </c>
      <c r="M665" s="25">
        <f t="shared" si="86"/>
        <v>0.46666239282122479</v>
      </c>
      <c r="N665" s="25">
        <f t="shared" si="81"/>
        <v>0.46666239282122479</v>
      </c>
      <c r="O665" s="25">
        <f t="shared" si="82"/>
        <v>-0.76214921032906624</v>
      </c>
      <c r="P665" s="25">
        <f t="shared" si="83"/>
        <v>1</v>
      </c>
      <c r="Q665" s="25">
        <f t="shared" si="87"/>
        <v>490.97639692045954</v>
      </c>
      <c r="R665" s="25">
        <f t="shared" si="84"/>
        <v>7</v>
      </c>
      <c r="S665" s="26">
        <f t="shared" si="85"/>
        <v>15</v>
      </c>
    </row>
    <row r="666" spans="2:19" x14ac:dyDescent="0.3">
      <c r="B666" s="24">
        <v>297698</v>
      </c>
      <c r="C666" s="25">
        <v>51</v>
      </c>
      <c r="D666" s="25">
        <v>3</v>
      </c>
      <c r="E666" s="25">
        <v>9</v>
      </c>
      <c r="F666" s="25">
        <v>15</v>
      </c>
      <c r="G666" s="25">
        <v>96</v>
      </c>
      <c r="H666" s="25">
        <v>16.8</v>
      </c>
      <c r="I666" s="25">
        <v>0.57999999999999996</v>
      </c>
      <c r="J666" s="25">
        <v>15.55</v>
      </c>
      <c r="K666" s="26">
        <v>1</v>
      </c>
      <c r="L666" s="25">
        <f t="shared" si="80"/>
        <v>-1.827470475820109</v>
      </c>
      <c r="M666" s="25">
        <f t="shared" si="86"/>
        <v>0.13853988731664438</v>
      </c>
      <c r="N666" s="25">
        <f t="shared" si="81"/>
        <v>0.13853988731664438</v>
      </c>
      <c r="O666" s="25">
        <f t="shared" si="82"/>
        <v>-1.976596999751338</v>
      </c>
      <c r="P666" s="25">
        <f t="shared" si="83"/>
        <v>0</v>
      </c>
      <c r="Q666" s="25">
        <f t="shared" si="87"/>
        <v>539.85265036226588</v>
      </c>
      <c r="R666" s="25">
        <f t="shared" si="84"/>
        <v>6</v>
      </c>
      <c r="S666" s="26">
        <f t="shared" si="85"/>
        <v>12</v>
      </c>
    </row>
    <row r="667" spans="2:19" x14ac:dyDescent="0.3">
      <c r="B667" s="24">
        <v>297702</v>
      </c>
      <c r="C667" s="25">
        <v>20</v>
      </c>
      <c r="D667" s="25">
        <v>3</v>
      </c>
      <c r="E667" s="25">
        <v>0</v>
      </c>
      <c r="F667" s="25">
        <v>0</v>
      </c>
      <c r="G667" s="25">
        <v>77</v>
      </c>
      <c r="H667" s="25">
        <v>9.6</v>
      </c>
      <c r="I667" s="25">
        <v>3.85</v>
      </c>
      <c r="J667" s="25">
        <v>3.54</v>
      </c>
      <c r="K667" s="26">
        <v>1</v>
      </c>
      <c r="L667" s="25">
        <f t="shared" si="80"/>
        <v>1.8925951569811021</v>
      </c>
      <c r="M667" s="25">
        <f t="shared" si="86"/>
        <v>0.86905114563296215</v>
      </c>
      <c r="N667" s="25">
        <f t="shared" si="81"/>
        <v>0.86905114563296215</v>
      </c>
      <c r="O667" s="25">
        <f t="shared" si="82"/>
        <v>-0.14035329971454211</v>
      </c>
      <c r="P667" s="25">
        <f t="shared" si="83"/>
        <v>1</v>
      </c>
      <c r="Q667" s="25">
        <f t="shared" si="87"/>
        <v>432.51424859998298</v>
      </c>
      <c r="R667" s="25">
        <f t="shared" si="84"/>
        <v>8</v>
      </c>
      <c r="S667" s="26">
        <f t="shared" si="85"/>
        <v>16</v>
      </c>
    </row>
    <row r="668" spans="2:19" x14ac:dyDescent="0.3">
      <c r="B668" s="24">
        <v>297820</v>
      </c>
      <c r="C668" s="25">
        <v>24</v>
      </c>
      <c r="D668" s="25">
        <v>3</v>
      </c>
      <c r="E668" s="25">
        <v>2</v>
      </c>
      <c r="F668" s="25">
        <v>0</v>
      </c>
      <c r="G668" s="25">
        <v>43</v>
      </c>
      <c r="H668" s="25">
        <v>7.3</v>
      </c>
      <c r="I668" s="25">
        <v>1.24</v>
      </c>
      <c r="J668" s="25">
        <v>1.9</v>
      </c>
      <c r="K668" s="26">
        <v>0</v>
      </c>
      <c r="L668" s="25">
        <f t="shared" si="80"/>
        <v>-0.16060345714949267</v>
      </c>
      <c r="M668" s="25">
        <f t="shared" si="86"/>
        <v>0.45993521619895072</v>
      </c>
      <c r="N668" s="25">
        <f t="shared" si="81"/>
        <v>0.54006478380104928</v>
      </c>
      <c r="O668" s="25">
        <f t="shared" si="82"/>
        <v>-0.61606617661769902</v>
      </c>
      <c r="P668" s="25">
        <f t="shared" si="83"/>
        <v>1</v>
      </c>
      <c r="Q668" s="25">
        <f t="shared" si="87"/>
        <v>491.75703609224576</v>
      </c>
      <c r="R668" s="25">
        <f t="shared" si="84"/>
        <v>7</v>
      </c>
      <c r="S668" s="26">
        <f t="shared" si="85"/>
        <v>14</v>
      </c>
    </row>
    <row r="669" spans="2:19" x14ac:dyDescent="0.3">
      <c r="B669" s="24">
        <v>297849</v>
      </c>
      <c r="C669" s="25">
        <v>53</v>
      </c>
      <c r="D669" s="25">
        <v>1</v>
      </c>
      <c r="E669" s="25">
        <v>17</v>
      </c>
      <c r="F669" s="25">
        <v>9</v>
      </c>
      <c r="G669" s="25">
        <v>59</v>
      </c>
      <c r="H669" s="25">
        <v>0.5</v>
      </c>
      <c r="I669" s="25">
        <v>0.03</v>
      </c>
      <c r="J669" s="25">
        <v>0.26</v>
      </c>
      <c r="K669" s="26">
        <v>0</v>
      </c>
      <c r="L669" s="25">
        <f t="shared" si="80"/>
        <v>-5.6553461430759517</v>
      </c>
      <c r="M669" s="25">
        <f t="shared" si="86"/>
        <v>3.4865631510240984E-3</v>
      </c>
      <c r="N669" s="25">
        <f t="shared" si="81"/>
        <v>0.99651343684897586</v>
      </c>
      <c r="O669" s="25">
        <f t="shared" si="82"/>
        <v>-3.4926553770697269E-3</v>
      </c>
      <c r="P669" s="25">
        <f t="shared" si="83"/>
        <v>0</v>
      </c>
      <c r="Q669" s="25">
        <f t="shared" si="87"/>
        <v>650.30179207769925</v>
      </c>
      <c r="R669" s="25">
        <f t="shared" si="84"/>
        <v>3</v>
      </c>
      <c r="S669" s="26">
        <f t="shared" si="85"/>
        <v>2</v>
      </c>
    </row>
    <row r="670" spans="2:19" x14ac:dyDescent="0.3">
      <c r="B670" s="24">
        <v>297867</v>
      </c>
      <c r="C670" s="25">
        <v>29</v>
      </c>
      <c r="D670" s="25">
        <v>2</v>
      </c>
      <c r="E670" s="25">
        <v>0</v>
      </c>
      <c r="F670" s="25">
        <v>4</v>
      </c>
      <c r="G670" s="25">
        <v>28</v>
      </c>
      <c r="H670" s="25">
        <v>4.7</v>
      </c>
      <c r="I670" s="25">
        <v>0.14000000000000001</v>
      </c>
      <c r="J670" s="25">
        <v>1.18</v>
      </c>
      <c r="K670" s="26">
        <v>1</v>
      </c>
      <c r="L670" s="25">
        <f t="shared" si="80"/>
        <v>-0.69454736740408307</v>
      </c>
      <c r="M670" s="25">
        <f t="shared" si="86"/>
        <v>0.33302225334714336</v>
      </c>
      <c r="N670" s="25">
        <f t="shared" si="81"/>
        <v>0.33302225334714336</v>
      </c>
      <c r="O670" s="25">
        <f t="shared" si="82"/>
        <v>-1.0995459643662104</v>
      </c>
      <c r="P670" s="25">
        <f t="shared" si="83"/>
        <v>0</v>
      </c>
      <c r="Q670" s="25">
        <f t="shared" si="87"/>
        <v>507.16340028434064</v>
      </c>
      <c r="R670" s="25">
        <f t="shared" si="84"/>
        <v>7</v>
      </c>
      <c r="S670" s="26">
        <f t="shared" si="85"/>
        <v>14</v>
      </c>
    </row>
    <row r="671" spans="2:19" x14ac:dyDescent="0.3">
      <c r="B671" s="24">
        <v>297897</v>
      </c>
      <c r="C671" s="25">
        <v>52</v>
      </c>
      <c r="D671" s="25">
        <v>3</v>
      </c>
      <c r="E671" s="25">
        <v>28</v>
      </c>
      <c r="F671" s="25">
        <v>16</v>
      </c>
      <c r="G671" s="25">
        <v>368</v>
      </c>
      <c r="H671" s="25">
        <v>21.3</v>
      </c>
      <c r="I671" s="25">
        <v>24.06</v>
      </c>
      <c r="J671" s="25">
        <v>54.32</v>
      </c>
      <c r="K671" s="26">
        <v>1</v>
      </c>
      <c r="L671" s="25">
        <f t="shared" si="80"/>
        <v>6.4261324131893058</v>
      </c>
      <c r="M671" s="25">
        <f t="shared" si="86"/>
        <v>0.99838391674933757</v>
      </c>
      <c r="N671" s="25">
        <f t="shared" si="81"/>
        <v>0.99838391674933757</v>
      </c>
      <c r="O671" s="25">
        <f t="shared" si="82"/>
        <v>-1.6173905218281614E-3</v>
      </c>
      <c r="P671" s="25">
        <f t="shared" si="83"/>
        <v>1</v>
      </c>
      <c r="Q671" s="25">
        <f t="shared" si="87"/>
        <v>301.70401796307704</v>
      </c>
      <c r="R671" s="25">
        <f t="shared" si="84"/>
        <v>8</v>
      </c>
      <c r="S671" s="26">
        <f t="shared" si="85"/>
        <v>17</v>
      </c>
    </row>
    <row r="672" spans="2:19" x14ac:dyDescent="0.3">
      <c r="B672" s="24">
        <v>297922</v>
      </c>
      <c r="C672" s="25">
        <v>28</v>
      </c>
      <c r="D672" s="25">
        <v>3</v>
      </c>
      <c r="E672" s="25">
        <v>4</v>
      </c>
      <c r="F672" s="25">
        <v>4</v>
      </c>
      <c r="G672" s="25">
        <v>20</v>
      </c>
      <c r="H672" s="25">
        <v>21.1</v>
      </c>
      <c r="I672" s="25">
        <v>0.56999999999999995</v>
      </c>
      <c r="J672" s="25">
        <v>3.65</v>
      </c>
      <c r="K672" s="26">
        <v>0</v>
      </c>
      <c r="L672" s="25">
        <f t="shared" si="80"/>
        <v>0.26653284285901441</v>
      </c>
      <c r="M672" s="25">
        <f t="shared" si="86"/>
        <v>0.56624152574574671</v>
      </c>
      <c r="N672" s="25">
        <f t="shared" si="81"/>
        <v>0.43375847425425329</v>
      </c>
      <c r="O672" s="25">
        <f t="shared" si="82"/>
        <v>-0.83526741072631805</v>
      </c>
      <c r="P672" s="25">
        <f t="shared" si="83"/>
        <v>1</v>
      </c>
      <c r="Q672" s="25">
        <f t="shared" si="87"/>
        <v>479.43248800543029</v>
      </c>
      <c r="R672" s="25">
        <f t="shared" si="84"/>
        <v>7</v>
      </c>
      <c r="S672" s="26">
        <f t="shared" si="85"/>
        <v>15</v>
      </c>
    </row>
    <row r="673" spans="2:19" x14ac:dyDescent="0.3">
      <c r="B673" s="24">
        <v>297926</v>
      </c>
      <c r="C673" s="25">
        <v>35</v>
      </c>
      <c r="D673" s="25">
        <v>2</v>
      </c>
      <c r="E673" s="25">
        <v>17</v>
      </c>
      <c r="F673" s="25">
        <v>5</v>
      </c>
      <c r="G673" s="25">
        <v>160</v>
      </c>
      <c r="H673" s="25">
        <v>13.5</v>
      </c>
      <c r="I673" s="25">
        <v>9.07</v>
      </c>
      <c r="J673" s="25">
        <v>12.53</v>
      </c>
      <c r="K673" s="26">
        <v>1</v>
      </c>
      <c r="L673" s="25">
        <f t="shared" si="80"/>
        <v>0.71878575844743486</v>
      </c>
      <c r="M673" s="25">
        <f t="shared" si="86"/>
        <v>0.67233957678055611</v>
      </c>
      <c r="N673" s="25">
        <f t="shared" si="81"/>
        <v>0.67233957678055611</v>
      </c>
      <c r="O673" s="25">
        <f t="shared" si="82"/>
        <v>-0.39699174350133903</v>
      </c>
      <c r="P673" s="25">
        <f t="shared" si="83"/>
        <v>1</v>
      </c>
      <c r="Q673" s="25">
        <f t="shared" si="87"/>
        <v>466.38322760433357</v>
      </c>
      <c r="R673" s="25">
        <f t="shared" si="84"/>
        <v>8</v>
      </c>
      <c r="S673" s="26">
        <f t="shared" si="85"/>
        <v>15</v>
      </c>
    </row>
    <row r="674" spans="2:19" x14ac:dyDescent="0.3">
      <c r="B674" s="24">
        <v>297953</v>
      </c>
      <c r="C674" s="25">
        <v>20</v>
      </c>
      <c r="D674" s="25">
        <v>2</v>
      </c>
      <c r="E674" s="25">
        <v>0</v>
      </c>
      <c r="F674" s="25">
        <v>0</v>
      </c>
      <c r="G674" s="25">
        <v>27</v>
      </c>
      <c r="H674" s="25">
        <v>10.3</v>
      </c>
      <c r="I674" s="25">
        <v>0.39</v>
      </c>
      <c r="J674" s="25">
        <v>2.39</v>
      </c>
      <c r="K674" s="26">
        <v>1</v>
      </c>
      <c r="L674" s="25">
        <f t="shared" si="80"/>
        <v>0.33668762232361166</v>
      </c>
      <c r="M674" s="25">
        <f t="shared" si="86"/>
        <v>0.58338568308507055</v>
      </c>
      <c r="N674" s="25">
        <f t="shared" si="81"/>
        <v>0.58338568308507055</v>
      </c>
      <c r="O674" s="25">
        <f t="shared" si="82"/>
        <v>-0.53890676232774859</v>
      </c>
      <c r="P674" s="25">
        <f t="shared" si="83"/>
        <v>1</v>
      </c>
      <c r="Q674" s="25">
        <f t="shared" si="87"/>
        <v>477.40824901423673</v>
      </c>
      <c r="R674" s="25">
        <f t="shared" si="84"/>
        <v>7</v>
      </c>
      <c r="S674" s="26">
        <f t="shared" si="85"/>
        <v>15</v>
      </c>
    </row>
    <row r="675" spans="2:19" x14ac:dyDescent="0.3">
      <c r="B675" s="24">
        <v>297963</v>
      </c>
      <c r="C675" s="25">
        <v>27</v>
      </c>
      <c r="D675" s="25">
        <v>5</v>
      </c>
      <c r="E675" s="25">
        <v>0</v>
      </c>
      <c r="F675" s="25">
        <v>3</v>
      </c>
      <c r="G675" s="25">
        <v>36</v>
      </c>
      <c r="H675" s="25">
        <v>4.0999999999999996</v>
      </c>
      <c r="I675" s="25">
        <v>0.73</v>
      </c>
      <c r="J675" s="25">
        <v>0.75</v>
      </c>
      <c r="K675" s="26">
        <v>0</v>
      </c>
      <c r="L675" s="25">
        <f t="shared" si="80"/>
        <v>-0.56835062668042891</v>
      </c>
      <c r="M675" s="25">
        <f t="shared" si="86"/>
        <v>0.36161749617575129</v>
      </c>
      <c r="N675" s="25">
        <f t="shared" si="81"/>
        <v>0.63838250382424877</v>
      </c>
      <c r="O675" s="25">
        <f t="shared" si="82"/>
        <v>-0.44881763951243442</v>
      </c>
      <c r="P675" s="25">
        <f t="shared" si="83"/>
        <v>0</v>
      </c>
      <c r="Q675" s="25">
        <f t="shared" si="87"/>
        <v>503.52213214717443</v>
      </c>
      <c r="R675" s="25">
        <f t="shared" si="84"/>
        <v>7</v>
      </c>
      <c r="S675" s="26">
        <f t="shared" si="85"/>
        <v>14</v>
      </c>
    </row>
    <row r="676" spans="2:19" x14ac:dyDescent="0.3">
      <c r="B676" s="24">
        <v>298020</v>
      </c>
      <c r="C676" s="25">
        <v>34</v>
      </c>
      <c r="D676" s="25">
        <v>4</v>
      </c>
      <c r="E676" s="25">
        <v>2</v>
      </c>
      <c r="F676" s="25">
        <v>4</v>
      </c>
      <c r="G676" s="25">
        <v>46</v>
      </c>
      <c r="H676" s="25">
        <v>22.5</v>
      </c>
      <c r="I676" s="25">
        <v>1.21</v>
      </c>
      <c r="J676" s="25">
        <v>9.14</v>
      </c>
      <c r="K676" s="26">
        <v>0</v>
      </c>
      <c r="L676" s="25">
        <f t="shared" si="80"/>
        <v>1.1224460446138764</v>
      </c>
      <c r="M676" s="25">
        <f t="shared" si="86"/>
        <v>0.75444215067849696</v>
      </c>
      <c r="N676" s="25">
        <f t="shared" si="81"/>
        <v>0.24555784932150304</v>
      </c>
      <c r="O676" s="25">
        <f t="shared" si="82"/>
        <v>-1.4042227207218931</v>
      </c>
      <c r="P676" s="25">
        <f t="shared" si="83"/>
        <v>1</v>
      </c>
      <c r="Q676" s="25">
        <f t="shared" si="87"/>
        <v>454.73605407331564</v>
      </c>
      <c r="R676" s="25">
        <f t="shared" si="84"/>
        <v>8</v>
      </c>
      <c r="S676" s="26">
        <f t="shared" si="85"/>
        <v>16</v>
      </c>
    </row>
    <row r="677" spans="2:19" x14ac:dyDescent="0.3">
      <c r="B677" s="24">
        <v>298062</v>
      </c>
      <c r="C677" s="25">
        <v>46</v>
      </c>
      <c r="D677" s="25">
        <v>5</v>
      </c>
      <c r="E677" s="25">
        <v>13</v>
      </c>
      <c r="F677" s="25">
        <v>14</v>
      </c>
      <c r="G677" s="25">
        <v>84</v>
      </c>
      <c r="H677" s="25">
        <v>9.9</v>
      </c>
      <c r="I677" s="25">
        <v>1.71</v>
      </c>
      <c r="J677" s="25">
        <v>6.6</v>
      </c>
      <c r="K677" s="26">
        <v>0</v>
      </c>
      <c r="L677" s="25">
        <f t="shared" si="80"/>
        <v>-3.078486898225381</v>
      </c>
      <c r="M677" s="25">
        <f t="shared" si="86"/>
        <v>4.4003423333540952E-2</v>
      </c>
      <c r="N677" s="25">
        <f t="shared" si="81"/>
        <v>0.9559965766664591</v>
      </c>
      <c r="O677" s="25">
        <f t="shared" si="82"/>
        <v>-4.5000946829972389E-2</v>
      </c>
      <c r="P677" s="25">
        <f t="shared" si="83"/>
        <v>0</v>
      </c>
      <c r="Q677" s="25">
        <f t="shared" si="87"/>
        <v>575.94935311270535</v>
      </c>
      <c r="R677" s="25">
        <f t="shared" si="84"/>
        <v>5</v>
      </c>
      <c r="S677" s="26">
        <f t="shared" si="85"/>
        <v>9</v>
      </c>
    </row>
    <row r="678" spans="2:19" x14ac:dyDescent="0.3">
      <c r="B678" s="24">
        <v>298134</v>
      </c>
      <c r="C678" s="25">
        <v>36</v>
      </c>
      <c r="D678" s="25">
        <v>4</v>
      </c>
      <c r="E678" s="25">
        <v>4</v>
      </c>
      <c r="F678" s="25">
        <v>8</v>
      </c>
      <c r="G678" s="25">
        <v>101</v>
      </c>
      <c r="H678" s="25">
        <v>6.7</v>
      </c>
      <c r="I678" s="25">
        <v>2.09</v>
      </c>
      <c r="J678" s="25">
        <v>4.68</v>
      </c>
      <c r="K678" s="26">
        <v>1</v>
      </c>
      <c r="L678" s="25">
        <f t="shared" si="80"/>
        <v>-0.76071942367343492</v>
      </c>
      <c r="M678" s="25">
        <f t="shared" si="86"/>
        <v>0.3184900919277972</v>
      </c>
      <c r="N678" s="25">
        <f t="shared" si="81"/>
        <v>0.3184900919277972</v>
      </c>
      <c r="O678" s="25">
        <f t="shared" si="82"/>
        <v>-1.1441639130007475</v>
      </c>
      <c r="P678" s="25">
        <f t="shared" si="83"/>
        <v>0</v>
      </c>
      <c r="Q678" s="25">
        <f t="shared" si="87"/>
        <v>509.07272217873094</v>
      </c>
      <c r="R678" s="25">
        <f t="shared" si="84"/>
        <v>7</v>
      </c>
      <c r="S678" s="26">
        <f t="shared" si="85"/>
        <v>14</v>
      </c>
    </row>
    <row r="679" spans="2:19" x14ac:dyDescent="0.3">
      <c r="B679" s="24">
        <v>298170</v>
      </c>
      <c r="C679" s="25">
        <v>51</v>
      </c>
      <c r="D679" s="25">
        <v>4</v>
      </c>
      <c r="E679" s="25">
        <v>4</v>
      </c>
      <c r="F679" s="25">
        <v>6</v>
      </c>
      <c r="G679" s="25">
        <v>43</v>
      </c>
      <c r="H679" s="25">
        <v>3.3</v>
      </c>
      <c r="I679" s="25">
        <v>0.2</v>
      </c>
      <c r="J679" s="25">
        <v>1.22</v>
      </c>
      <c r="K679" s="26">
        <v>0</v>
      </c>
      <c r="L679" s="25">
        <f t="shared" si="80"/>
        <v>-2.3534311209142604</v>
      </c>
      <c r="M679" s="25">
        <f t="shared" si="86"/>
        <v>8.6793434806275868E-2</v>
      </c>
      <c r="N679" s="25">
        <f t="shared" si="81"/>
        <v>0.91320656519372412</v>
      </c>
      <c r="O679" s="25">
        <f t="shared" si="82"/>
        <v>-9.0793175134506965E-2</v>
      </c>
      <c r="P679" s="25">
        <f t="shared" si="83"/>
        <v>0</v>
      </c>
      <c r="Q679" s="25">
        <f t="shared" si="87"/>
        <v>555.02866621974795</v>
      </c>
      <c r="R679" s="25">
        <f t="shared" si="84"/>
        <v>6</v>
      </c>
      <c r="S679" s="26">
        <f t="shared" si="85"/>
        <v>10</v>
      </c>
    </row>
    <row r="680" spans="2:19" x14ac:dyDescent="0.3">
      <c r="B680" s="24">
        <v>298250</v>
      </c>
      <c r="C680" s="25">
        <v>39</v>
      </c>
      <c r="D680" s="25">
        <v>1</v>
      </c>
      <c r="E680" s="25">
        <v>20</v>
      </c>
      <c r="F680" s="25">
        <v>10</v>
      </c>
      <c r="G680" s="25">
        <v>52</v>
      </c>
      <c r="H680" s="25">
        <v>19.7</v>
      </c>
      <c r="I680" s="25">
        <v>2.33</v>
      </c>
      <c r="J680" s="25">
        <v>7.92</v>
      </c>
      <c r="K680" s="26">
        <v>0</v>
      </c>
      <c r="L680" s="25">
        <f t="shared" si="80"/>
        <v>-2.8708498696053661</v>
      </c>
      <c r="M680" s="25">
        <f t="shared" si="86"/>
        <v>5.361351402123922E-2</v>
      </c>
      <c r="N680" s="25">
        <f t="shared" si="81"/>
        <v>0.94638648597876074</v>
      </c>
      <c r="O680" s="25">
        <f t="shared" si="82"/>
        <v>-5.510424581682543E-2</v>
      </c>
      <c r="P680" s="25">
        <f t="shared" si="83"/>
        <v>0</v>
      </c>
      <c r="Q680" s="25">
        <f t="shared" si="87"/>
        <v>569.95821505260631</v>
      </c>
      <c r="R680" s="25">
        <f t="shared" si="84"/>
        <v>5</v>
      </c>
      <c r="S680" s="26">
        <f t="shared" si="85"/>
        <v>9</v>
      </c>
    </row>
    <row r="681" spans="2:19" x14ac:dyDescent="0.3">
      <c r="B681" s="24">
        <v>298314</v>
      </c>
      <c r="C681" s="25">
        <v>33</v>
      </c>
      <c r="D681" s="25">
        <v>4</v>
      </c>
      <c r="E681" s="25">
        <v>4</v>
      </c>
      <c r="F681" s="25">
        <v>6</v>
      </c>
      <c r="G681" s="25">
        <v>24</v>
      </c>
      <c r="H681" s="25">
        <v>27.7</v>
      </c>
      <c r="I681" s="25">
        <v>3.2</v>
      </c>
      <c r="J681" s="25">
        <v>3.44</v>
      </c>
      <c r="K681" s="26">
        <v>1</v>
      </c>
      <c r="L681" s="25">
        <f t="shared" si="80"/>
        <v>1.9389903940288236</v>
      </c>
      <c r="M681" s="25">
        <f t="shared" si="86"/>
        <v>0.87424118576861243</v>
      </c>
      <c r="N681" s="25">
        <f t="shared" si="81"/>
        <v>0.87424118576861243</v>
      </c>
      <c r="O681" s="25">
        <f t="shared" si="82"/>
        <v>-0.13439898513853243</v>
      </c>
      <c r="P681" s="25">
        <f t="shared" si="83"/>
        <v>1</v>
      </c>
      <c r="Q681" s="25">
        <f t="shared" si="87"/>
        <v>431.1755650697317</v>
      </c>
      <c r="R681" s="25">
        <f t="shared" si="84"/>
        <v>8</v>
      </c>
      <c r="S681" s="26">
        <f t="shared" si="85"/>
        <v>16</v>
      </c>
    </row>
    <row r="682" spans="2:19" x14ac:dyDescent="0.3">
      <c r="B682" s="24">
        <v>298328</v>
      </c>
      <c r="C682" s="25">
        <v>65</v>
      </c>
      <c r="D682" s="25">
        <v>2</v>
      </c>
      <c r="E682" s="25">
        <v>38</v>
      </c>
      <c r="F682" s="25">
        <v>25</v>
      </c>
      <c r="G682" s="25">
        <v>231</v>
      </c>
      <c r="H682" s="25">
        <v>9.3000000000000007</v>
      </c>
      <c r="I682" s="25">
        <v>2.02</v>
      </c>
      <c r="J682" s="25">
        <v>19.46</v>
      </c>
      <c r="K682" s="26">
        <v>0</v>
      </c>
      <c r="L682" s="25">
        <f t="shared" si="80"/>
        <v>-8.9001445309258607</v>
      </c>
      <c r="M682" s="25">
        <f t="shared" si="86"/>
        <v>1.3635062146136816E-4</v>
      </c>
      <c r="N682" s="25">
        <f t="shared" si="81"/>
        <v>0.99986364937853867</v>
      </c>
      <c r="O682" s="25">
        <f t="shared" si="82"/>
        <v>-1.3635991805239418E-4</v>
      </c>
      <c r="P682" s="25">
        <f t="shared" si="83"/>
        <v>0</v>
      </c>
      <c r="Q682" s="25">
        <f t="shared" si="87"/>
        <v>743.92688028088173</v>
      </c>
      <c r="R682" s="25">
        <f t="shared" si="84"/>
        <v>1</v>
      </c>
      <c r="S682" s="26">
        <f t="shared" si="85"/>
        <v>1</v>
      </c>
    </row>
    <row r="683" spans="2:19" x14ac:dyDescent="0.3">
      <c r="B683" s="24">
        <v>298383</v>
      </c>
      <c r="C683" s="25">
        <v>35</v>
      </c>
      <c r="D683" s="25">
        <v>3</v>
      </c>
      <c r="E683" s="25">
        <v>10</v>
      </c>
      <c r="F683" s="25">
        <v>8</v>
      </c>
      <c r="G683" s="25">
        <v>263</v>
      </c>
      <c r="H683" s="25">
        <v>4.9000000000000004</v>
      </c>
      <c r="I683" s="25">
        <v>9.27</v>
      </c>
      <c r="J683" s="25">
        <v>3.62</v>
      </c>
      <c r="K683" s="26">
        <v>1</v>
      </c>
      <c r="L683" s="25">
        <f t="shared" si="80"/>
        <v>1.1880281146832972</v>
      </c>
      <c r="M683" s="25">
        <f t="shared" si="86"/>
        <v>0.76638820862634283</v>
      </c>
      <c r="N683" s="25">
        <f t="shared" si="81"/>
        <v>0.76638820862634283</v>
      </c>
      <c r="O683" s="25">
        <f t="shared" si="82"/>
        <v>-0.26606643784788403</v>
      </c>
      <c r="P683" s="25">
        <f t="shared" si="83"/>
        <v>1</v>
      </c>
      <c r="Q683" s="25">
        <f t="shared" si="87"/>
        <v>452.84375558173957</v>
      </c>
      <c r="R683" s="25">
        <f t="shared" si="84"/>
        <v>8</v>
      </c>
      <c r="S683" s="26">
        <f t="shared" si="85"/>
        <v>16</v>
      </c>
    </row>
    <row r="684" spans="2:19" x14ac:dyDescent="0.3">
      <c r="B684" s="24">
        <v>298392</v>
      </c>
      <c r="C684" s="25">
        <v>41</v>
      </c>
      <c r="D684" s="25">
        <v>2</v>
      </c>
      <c r="E684" s="25">
        <v>22</v>
      </c>
      <c r="F684" s="25">
        <v>7</v>
      </c>
      <c r="G684" s="25">
        <v>226</v>
      </c>
      <c r="H684" s="25">
        <v>17.399999999999999</v>
      </c>
      <c r="I684" s="25">
        <v>7.12</v>
      </c>
      <c r="J684" s="25">
        <v>32.21</v>
      </c>
      <c r="K684" s="26">
        <v>1</v>
      </c>
      <c r="L684" s="25">
        <f t="shared" si="80"/>
        <v>-0.63301131742081473</v>
      </c>
      <c r="M684" s="25">
        <f t="shared" si="86"/>
        <v>0.34682804463731237</v>
      </c>
      <c r="N684" s="25">
        <f t="shared" si="81"/>
        <v>0.34682804463731237</v>
      </c>
      <c r="O684" s="25">
        <f t="shared" si="82"/>
        <v>-1.0589261704557036</v>
      </c>
      <c r="P684" s="25">
        <f t="shared" si="83"/>
        <v>0</v>
      </c>
      <c r="Q684" s="25">
        <f t="shared" si="87"/>
        <v>505.38784525172844</v>
      </c>
      <c r="R684" s="25">
        <f t="shared" si="84"/>
        <v>7</v>
      </c>
      <c r="S684" s="26">
        <f t="shared" si="85"/>
        <v>14</v>
      </c>
    </row>
    <row r="685" spans="2:19" x14ac:dyDescent="0.3">
      <c r="B685" s="24">
        <v>298415</v>
      </c>
      <c r="C685" s="25">
        <v>23</v>
      </c>
      <c r="D685" s="25">
        <v>3</v>
      </c>
      <c r="E685" s="25">
        <v>0</v>
      </c>
      <c r="F685" s="25">
        <v>1</v>
      </c>
      <c r="G685" s="25">
        <v>33</v>
      </c>
      <c r="H685" s="25">
        <v>1.7</v>
      </c>
      <c r="I685" s="25">
        <v>0.24</v>
      </c>
      <c r="J685" s="25">
        <v>0.32</v>
      </c>
      <c r="K685" s="26">
        <v>0</v>
      </c>
      <c r="L685" s="25">
        <f t="shared" si="80"/>
        <v>-0.7926558733294613</v>
      </c>
      <c r="M685" s="25">
        <f t="shared" si="86"/>
        <v>0.3115986865871363</v>
      </c>
      <c r="N685" s="25">
        <f t="shared" si="81"/>
        <v>0.6884013134128637</v>
      </c>
      <c r="O685" s="25">
        <f t="shared" si="82"/>
        <v>-0.37338330672550407</v>
      </c>
      <c r="P685" s="25">
        <f t="shared" si="83"/>
        <v>0</v>
      </c>
      <c r="Q685" s="25">
        <f t="shared" si="87"/>
        <v>509.99421330346092</v>
      </c>
      <c r="R685" s="25">
        <f t="shared" si="84"/>
        <v>7</v>
      </c>
      <c r="S685" s="26">
        <f t="shared" si="85"/>
        <v>14</v>
      </c>
    </row>
    <row r="686" spans="2:19" x14ac:dyDescent="0.3">
      <c r="B686" s="24">
        <v>298439</v>
      </c>
      <c r="C686" s="25">
        <v>23</v>
      </c>
      <c r="D686" s="25">
        <v>1</v>
      </c>
      <c r="E686" s="25">
        <v>5</v>
      </c>
      <c r="F686" s="25">
        <v>1</v>
      </c>
      <c r="G686" s="25">
        <v>23</v>
      </c>
      <c r="H686" s="25">
        <v>24.3</v>
      </c>
      <c r="I686" s="25">
        <v>3.5</v>
      </c>
      <c r="J686" s="25">
        <v>2.08</v>
      </c>
      <c r="K686" s="26">
        <v>1</v>
      </c>
      <c r="L686" s="25">
        <f t="shared" si="80"/>
        <v>2.0208733195244406</v>
      </c>
      <c r="M686" s="25">
        <f t="shared" si="86"/>
        <v>0.88297128203474373</v>
      </c>
      <c r="N686" s="25">
        <f t="shared" si="81"/>
        <v>0.88297128203474373</v>
      </c>
      <c r="O686" s="25">
        <f t="shared" si="82"/>
        <v>-0.12446260208402769</v>
      </c>
      <c r="P686" s="25">
        <f t="shared" si="83"/>
        <v>1</v>
      </c>
      <c r="Q686" s="25">
        <f t="shared" si="87"/>
        <v>428.8129233257738</v>
      </c>
      <c r="R686" s="25">
        <f t="shared" si="84"/>
        <v>8</v>
      </c>
      <c r="S686" s="26">
        <f t="shared" si="85"/>
        <v>16</v>
      </c>
    </row>
    <row r="687" spans="2:19" x14ac:dyDescent="0.3">
      <c r="B687" s="24">
        <v>298509</v>
      </c>
      <c r="C687" s="25">
        <v>34</v>
      </c>
      <c r="D687" s="25">
        <v>5</v>
      </c>
      <c r="E687" s="25">
        <v>0</v>
      </c>
      <c r="F687" s="25">
        <v>5</v>
      </c>
      <c r="G687" s="25">
        <v>120</v>
      </c>
      <c r="H687" s="25">
        <v>6.4</v>
      </c>
      <c r="I687" s="25">
        <v>5.55</v>
      </c>
      <c r="J687" s="25">
        <v>2.13</v>
      </c>
      <c r="K687" s="26">
        <v>1</v>
      </c>
      <c r="L687" s="25">
        <f t="shared" si="80"/>
        <v>1.7810628603343235</v>
      </c>
      <c r="M687" s="25">
        <f t="shared" si="86"/>
        <v>0.85582805801645045</v>
      </c>
      <c r="N687" s="25">
        <f t="shared" si="81"/>
        <v>0.85582805801645045</v>
      </c>
      <c r="O687" s="25">
        <f t="shared" si="82"/>
        <v>-0.15568578982004525</v>
      </c>
      <c r="P687" s="25">
        <f t="shared" si="83"/>
        <v>1</v>
      </c>
      <c r="Q687" s="25">
        <f t="shared" si="87"/>
        <v>435.73239033419947</v>
      </c>
      <c r="R687" s="25">
        <f t="shared" si="84"/>
        <v>8</v>
      </c>
      <c r="S687" s="26">
        <f t="shared" si="85"/>
        <v>16</v>
      </c>
    </row>
    <row r="688" spans="2:19" x14ac:dyDescent="0.3">
      <c r="B688" s="24">
        <v>298541</v>
      </c>
      <c r="C688" s="25">
        <v>18</v>
      </c>
      <c r="D688" s="25">
        <v>2</v>
      </c>
      <c r="E688" s="25">
        <v>0</v>
      </c>
      <c r="F688" s="25">
        <v>0</v>
      </c>
      <c r="G688" s="25">
        <v>30</v>
      </c>
      <c r="H688" s="25">
        <v>19.8</v>
      </c>
      <c r="I688" s="25">
        <v>2.2999999999999998</v>
      </c>
      <c r="J688" s="25">
        <v>3.64</v>
      </c>
      <c r="K688" s="26">
        <v>1</v>
      </c>
      <c r="L688" s="25">
        <f t="shared" si="80"/>
        <v>2.2632294019350745</v>
      </c>
      <c r="M688" s="25">
        <f t="shared" si="86"/>
        <v>0.90578558332750092</v>
      </c>
      <c r="N688" s="25">
        <f t="shared" si="81"/>
        <v>0.90578558332750092</v>
      </c>
      <c r="O688" s="25">
        <f t="shared" si="82"/>
        <v>-9.895266394219164E-2</v>
      </c>
      <c r="P688" s="25">
        <f t="shared" si="83"/>
        <v>1</v>
      </c>
      <c r="Q688" s="25">
        <f t="shared" si="87"/>
        <v>421.82000515950551</v>
      </c>
      <c r="R688" s="25">
        <f t="shared" si="84"/>
        <v>8</v>
      </c>
      <c r="S688" s="26">
        <f t="shared" si="85"/>
        <v>16</v>
      </c>
    </row>
    <row r="689" spans="2:19" x14ac:dyDescent="0.3">
      <c r="B689" s="24">
        <v>298547</v>
      </c>
      <c r="C689" s="25">
        <v>29</v>
      </c>
      <c r="D689" s="25">
        <v>5</v>
      </c>
      <c r="E689" s="25">
        <v>3</v>
      </c>
      <c r="F689" s="25">
        <v>2</v>
      </c>
      <c r="G689" s="25">
        <v>26</v>
      </c>
      <c r="H689" s="25">
        <v>7.8</v>
      </c>
      <c r="I689" s="25">
        <v>0.46</v>
      </c>
      <c r="J689" s="25">
        <v>1.57</v>
      </c>
      <c r="K689" s="26">
        <v>0</v>
      </c>
      <c r="L689" s="25">
        <f t="shared" si="80"/>
        <v>-0.9985894669156119</v>
      </c>
      <c r="M689" s="25">
        <f t="shared" si="86"/>
        <v>0.26921883937552454</v>
      </c>
      <c r="N689" s="25">
        <f t="shared" si="81"/>
        <v>0.7307811606244754</v>
      </c>
      <c r="O689" s="25">
        <f t="shared" si="82"/>
        <v>-0.31364123392322241</v>
      </c>
      <c r="P689" s="25">
        <f t="shared" si="83"/>
        <v>0</v>
      </c>
      <c r="Q689" s="25">
        <f t="shared" si="87"/>
        <v>515.93620061943636</v>
      </c>
      <c r="R689" s="25">
        <f t="shared" si="84"/>
        <v>7</v>
      </c>
      <c r="S689" s="26">
        <f t="shared" si="85"/>
        <v>13</v>
      </c>
    </row>
    <row r="690" spans="2:19" x14ac:dyDescent="0.3">
      <c r="B690" s="24">
        <v>298591</v>
      </c>
      <c r="C690" s="25">
        <v>38</v>
      </c>
      <c r="D690" s="25">
        <v>4</v>
      </c>
      <c r="E690" s="25">
        <v>13</v>
      </c>
      <c r="F690" s="25">
        <v>12</v>
      </c>
      <c r="G690" s="25">
        <v>204</v>
      </c>
      <c r="H690" s="25">
        <v>19.5</v>
      </c>
      <c r="I690" s="25">
        <v>15.43</v>
      </c>
      <c r="J690" s="25">
        <v>24.35</v>
      </c>
      <c r="K690" s="26">
        <v>1</v>
      </c>
      <c r="L690" s="25">
        <f t="shared" si="80"/>
        <v>5.1416584241895489</v>
      </c>
      <c r="M690" s="25">
        <f t="shared" si="86"/>
        <v>0.99418601684600572</v>
      </c>
      <c r="N690" s="25">
        <f t="shared" si="81"/>
        <v>0.99418601684600572</v>
      </c>
      <c r="O690" s="25">
        <f t="shared" si="82"/>
        <v>-5.8309501498990069E-3</v>
      </c>
      <c r="P690" s="25">
        <f t="shared" si="83"/>
        <v>1</v>
      </c>
      <c r="Q690" s="25">
        <f t="shared" si="87"/>
        <v>338.76610199427699</v>
      </c>
      <c r="R690" s="25">
        <f t="shared" si="84"/>
        <v>8</v>
      </c>
      <c r="S690" s="26">
        <f t="shared" si="85"/>
        <v>17</v>
      </c>
    </row>
    <row r="691" spans="2:19" x14ac:dyDescent="0.3">
      <c r="B691" s="24">
        <v>298602</v>
      </c>
      <c r="C691" s="25">
        <v>32</v>
      </c>
      <c r="D691" s="25">
        <v>4</v>
      </c>
      <c r="E691" s="25">
        <v>8</v>
      </c>
      <c r="F691" s="25">
        <v>5</v>
      </c>
      <c r="G691" s="25">
        <v>44</v>
      </c>
      <c r="H691" s="25">
        <v>13.7</v>
      </c>
      <c r="I691" s="25">
        <v>1.35</v>
      </c>
      <c r="J691" s="25">
        <v>4.68</v>
      </c>
      <c r="K691" s="26">
        <v>0</v>
      </c>
      <c r="L691" s="25">
        <f t="shared" si="80"/>
        <v>-1.147342311151861</v>
      </c>
      <c r="M691" s="25">
        <f t="shared" si="86"/>
        <v>0.24097485552395079</v>
      </c>
      <c r="N691" s="25">
        <f t="shared" si="81"/>
        <v>0.75902514447604919</v>
      </c>
      <c r="O691" s="25">
        <f t="shared" si="82"/>
        <v>-0.27572037370829905</v>
      </c>
      <c r="P691" s="25">
        <f t="shared" si="83"/>
        <v>0</v>
      </c>
      <c r="Q691" s="25">
        <f t="shared" si="87"/>
        <v>520.22830031174465</v>
      </c>
      <c r="R691" s="25">
        <f t="shared" si="84"/>
        <v>6</v>
      </c>
      <c r="S691" s="26">
        <f t="shared" si="85"/>
        <v>13</v>
      </c>
    </row>
    <row r="692" spans="2:19" x14ac:dyDescent="0.3">
      <c r="B692" s="24">
        <v>298624</v>
      </c>
      <c r="C692" s="25">
        <v>34</v>
      </c>
      <c r="D692" s="25">
        <v>2</v>
      </c>
      <c r="E692" s="25">
        <v>12</v>
      </c>
      <c r="F692" s="25">
        <v>7</v>
      </c>
      <c r="G692" s="25">
        <v>58</v>
      </c>
      <c r="H692" s="25">
        <v>19.899999999999999</v>
      </c>
      <c r="I692" s="25">
        <v>2.4900000000000002</v>
      </c>
      <c r="J692" s="25">
        <v>9.0500000000000007</v>
      </c>
      <c r="K692" s="26">
        <v>0</v>
      </c>
      <c r="L692" s="25">
        <f t="shared" si="80"/>
        <v>-0.78313673709027953</v>
      </c>
      <c r="M692" s="25">
        <f t="shared" si="86"/>
        <v>0.31364424147174724</v>
      </c>
      <c r="N692" s="25">
        <f t="shared" si="81"/>
        <v>0.6863557585282527</v>
      </c>
      <c r="O692" s="25">
        <f t="shared" si="82"/>
        <v>-0.37635918724426215</v>
      </c>
      <c r="P692" s="25">
        <f t="shared" si="83"/>
        <v>0</v>
      </c>
      <c r="Q692" s="25">
        <f t="shared" si="87"/>
        <v>509.7195490983292</v>
      </c>
      <c r="R692" s="25">
        <f t="shared" si="84"/>
        <v>7</v>
      </c>
      <c r="S692" s="26">
        <f t="shared" si="85"/>
        <v>14</v>
      </c>
    </row>
    <row r="693" spans="2:19" x14ac:dyDescent="0.3">
      <c r="B693" s="24">
        <v>298629</v>
      </c>
      <c r="C693" s="25">
        <v>37</v>
      </c>
      <c r="D693" s="25">
        <v>1</v>
      </c>
      <c r="E693" s="25">
        <v>14</v>
      </c>
      <c r="F693" s="25">
        <v>4</v>
      </c>
      <c r="G693" s="25">
        <v>67</v>
      </c>
      <c r="H693" s="25">
        <v>13.4</v>
      </c>
      <c r="I693" s="25">
        <v>2.12</v>
      </c>
      <c r="J693" s="25">
        <v>6.86</v>
      </c>
      <c r="K693" s="26">
        <v>0</v>
      </c>
      <c r="L693" s="25">
        <f t="shared" si="80"/>
        <v>-2.0251782859821494</v>
      </c>
      <c r="M693" s="25">
        <f t="shared" si="86"/>
        <v>0.11658460576274288</v>
      </c>
      <c r="N693" s="25">
        <f t="shared" si="81"/>
        <v>0.88341539423725712</v>
      </c>
      <c r="O693" s="25">
        <f t="shared" si="82"/>
        <v>-0.12395975384831891</v>
      </c>
      <c r="P693" s="25">
        <f t="shared" si="83"/>
        <v>0</v>
      </c>
      <c r="Q693" s="25">
        <f t="shared" si="87"/>
        <v>545.55729174590033</v>
      </c>
      <c r="R693" s="25">
        <f t="shared" si="84"/>
        <v>6</v>
      </c>
      <c r="S693" s="26">
        <f t="shared" si="85"/>
        <v>11</v>
      </c>
    </row>
    <row r="694" spans="2:19" x14ac:dyDescent="0.3">
      <c r="B694" s="24">
        <v>298696</v>
      </c>
      <c r="C694" s="25">
        <v>37</v>
      </c>
      <c r="D694" s="25">
        <v>3</v>
      </c>
      <c r="E694" s="25">
        <v>4</v>
      </c>
      <c r="F694" s="25">
        <v>6</v>
      </c>
      <c r="G694" s="25">
        <v>53</v>
      </c>
      <c r="H694" s="25">
        <v>15.5</v>
      </c>
      <c r="I694" s="25">
        <v>1.27</v>
      </c>
      <c r="J694" s="25">
        <v>6.95</v>
      </c>
      <c r="K694" s="26">
        <v>0</v>
      </c>
      <c r="L694" s="25">
        <f t="shared" si="80"/>
        <v>-0.12903555268605921</v>
      </c>
      <c r="M694" s="25">
        <f t="shared" si="86"/>
        <v>0.4677857971029083</v>
      </c>
      <c r="N694" s="25">
        <f t="shared" si="81"/>
        <v>0.53221420289709176</v>
      </c>
      <c r="O694" s="25">
        <f t="shared" si="82"/>
        <v>-0.63070923365241938</v>
      </c>
      <c r="P694" s="25">
        <f t="shared" si="83"/>
        <v>1</v>
      </c>
      <c r="Q694" s="25">
        <f t="shared" si="87"/>
        <v>490.84617893364828</v>
      </c>
      <c r="R694" s="25">
        <f t="shared" si="84"/>
        <v>7</v>
      </c>
      <c r="S694" s="26">
        <f t="shared" si="85"/>
        <v>15</v>
      </c>
    </row>
    <row r="695" spans="2:19" x14ac:dyDescent="0.3">
      <c r="B695" s="24">
        <v>298736</v>
      </c>
      <c r="C695" s="25">
        <v>37</v>
      </c>
      <c r="D695" s="25">
        <v>3</v>
      </c>
      <c r="E695" s="25">
        <v>4</v>
      </c>
      <c r="F695" s="25">
        <v>6</v>
      </c>
      <c r="G695" s="25">
        <v>30</v>
      </c>
      <c r="H695" s="25">
        <v>4.5999999999999996</v>
      </c>
      <c r="I695" s="25">
        <v>0.71</v>
      </c>
      <c r="J695" s="25">
        <v>0.67</v>
      </c>
      <c r="K695" s="26">
        <v>0</v>
      </c>
      <c r="L695" s="25">
        <f t="shared" si="80"/>
        <v>-1.6432078545960029</v>
      </c>
      <c r="M695" s="25">
        <f t="shared" si="86"/>
        <v>0.16202904175436358</v>
      </c>
      <c r="N695" s="25">
        <f t="shared" si="81"/>
        <v>0.83797095824563639</v>
      </c>
      <c r="O695" s="25">
        <f t="shared" si="82"/>
        <v>-0.17677183513204831</v>
      </c>
      <c r="P695" s="25">
        <f t="shared" si="83"/>
        <v>0</v>
      </c>
      <c r="Q695" s="25">
        <f t="shared" si="87"/>
        <v>534.53595511572757</v>
      </c>
      <c r="R695" s="25">
        <f t="shared" si="84"/>
        <v>6</v>
      </c>
      <c r="S695" s="26">
        <f t="shared" si="85"/>
        <v>12</v>
      </c>
    </row>
    <row r="696" spans="2:19" x14ac:dyDescent="0.3">
      <c r="B696" s="24">
        <v>298857</v>
      </c>
      <c r="C696" s="25">
        <v>45</v>
      </c>
      <c r="D696" s="25">
        <v>4</v>
      </c>
      <c r="E696" s="25">
        <v>16</v>
      </c>
      <c r="F696" s="25">
        <v>13</v>
      </c>
      <c r="G696" s="25">
        <v>53</v>
      </c>
      <c r="H696" s="25">
        <v>5.7</v>
      </c>
      <c r="I696" s="25">
        <v>0.93</v>
      </c>
      <c r="J696" s="25">
        <v>2.09</v>
      </c>
      <c r="K696" s="26">
        <v>0</v>
      </c>
      <c r="L696" s="25">
        <f t="shared" si="80"/>
        <v>-4.5577933587905237</v>
      </c>
      <c r="M696" s="25">
        <f t="shared" si="86"/>
        <v>1.0376372410530734E-2</v>
      </c>
      <c r="N696" s="25">
        <f t="shared" si="81"/>
        <v>0.98962362758946931</v>
      </c>
      <c r="O696" s="25">
        <f t="shared" si="82"/>
        <v>-1.0430582290066635E-2</v>
      </c>
      <c r="P696" s="25">
        <f t="shared" si="83"/>
        <v>0</v>
      </c>
      <c r="Q696" s="25">
        <f t="shared" si="87"/>
        <v>618.63311379520587</v>
      </c>
      <c r="R696" s="25">
        <f t="shared" si="84"/>
        <v>4</v>
      </c>
      <c r="S696" s="26">
        <f t="shared" si="85"/>
        <v>5</v>
      </c>
    </row>
    <row r="697" spans="2:19" x14ac:dyDescent="0.3">
      <c r="B697" s="24">
        <v>298915</v>
      </c>
      <c r="C697" s="25">
        <v>48</v>
      </c>
      <c r="D697" s="25">
        <v>3</v>
      </c>
      <c r="E697" s="25">
        <v>4</v>
      </c>
      <c r="F697" s="25">
        <v>12</v>
      </c>
      <c r="G697" s="25">
        <v>57</v>
      </c>
      <c r="H697" s="25">
        <v>12.1</v>
      </c>
      <c r="I697" s="25">
        <v>2.46</v>
      </c>
      <c r="J697" s="25">
        <v>4.43</v>
      </c>
      <c r="K697" s="26">
        <v>0</v>
      </c>
      <c r="L697" s="25">
        <f t="shared" si="80"/>
        <v>-0.3995575677180998</v>
      </c>
      <c r="M697" s="25">
        <f t="shared" si="86"/>
        <v>0.40141864363730223</v>
      </c>
      <c r="N697" s="25">
        <f t="shared" si="81"/>
        <v>0.59858135636269783</v>
      </c>
      <c r="O697" s="25">
        <f t="shared" si="82"/>
        <v>-0.51319282945000688</v>
      </c>
      <c r="P697" s="25">
        <f t="shared" si="83"/>
        <v>1</v>
      </c>
      <c r="Q697" s="25">
        <f t="shared" si="87"/>
        <v>498.65179410318126</v>
      </c>
      <c r="R697" s="25">
        <f t="shared" si="84"/>
        <v>7</v>
      </c>
      <c r="S697" s="26">
        <f t="shared" si="85"/>
        <v>14</v>
      </c>
    </row>
    <row r="698" spans="2:19" x14ac:dyDescent="0.3">
      <c r="B698" s="24">
        <v>298944</v>
      </c>
      <c r="C698" s="25">
        <v>36</v>
      </c>
      <c r="D698" s="25">
        <v>1</v>
      </c>
      <c r="E698" s="25">
        <v>12</v>
      </c>
      <c r="F698" s="25">
        <v>5</v>
      </c>
      <c r="G698" s="25">
        <v>55</v>
      </c>
      <c r="H698" s="25">
        <v>5.8</v>
      </c>
      <c r="I698" s="25">
        <v>1.2</v>
      </c>
      <c r="J698" s="25">
        <v>1.99</v>
      </c>
      <c r="K698" s="26">
        <v>0</v>
      </c>
      <c r="L698" s="25">
        <f t="shared" si="80"/>
        <v>-2.9017453608542829</v>
      </c>
      <c r="M698" s="25">
        <f t="shared" si="86"/>
        <v>5.206735107212225E-2</v>
      </c>
      <c r="N698" s="25">
        <f t="shared" si="81"/>
        <v>0.94793264892787776</v>
      </c>
      <c r="O698" s="25">
        <f t="shared" si="82"/>
        <v>-5.3471824685689784E-2</v>
      </c>
      <c r="P698" s="25">
        <f t="shared" si="83"/>
        <v>0</v>
      </c>
      <c r="Q698" s="25">
        <f t="shared" si="87"/>
        <v>570.84967046755332</v>
      </c>
      <c r="R698" s="25">
        <f t="shared" si="84"/>
        <v>5</v>
      </c>
      <c r="S698" s="26">
        <f t="shared" si="85"/>
        <v>9</v>
      </c>
    </row>
    <row r="699" spans="2:19" x14ac:dyDescent="0.3">
      <c r="B699" s="24">
        <v>298965</v>
      </c>
      <c r="C699" s="25">
        <v>26</v>
      </c>
      <c r="D699" s="25">
        <v>2</v>
      </c>
      <c r="E699" s="25">
        <v>1</v>
      </c>
      <c r="F699" s="25">
        <v>3</v>
      </c>
      <c r="G699" s="25">
        <v>42</v>
      </c>
      <c r="H699" s="25">
        <v>1.5</v>
      </c>
      <c r="I699" s="25">
        <v>0.08</v>
      </c>
      <c r="J699" s="25">
        <v>0.55000000000000004</v>
      </c>
      <c r="K699" s="26">
        <v>1</v>
      </c>
      <c r="L699" s="25">
        <f t="shared" si="80"/>
        <v>-1.183383119071133</v>
      </c>
      <c r="M699" s="25">
        <f t="shared" si="86"/>
        <v>0.2344444477588091</v>
      </c>
      <c r="N699" s="25">
        <f t="shared" si="81"/>
        <v>0.2344444477588091</v>
      </c>
      <c r="O699" s="25">
        <f t="shared" si="82"/>
        <v>-1.4505366157111439</v>
      </c>
      <c r="P699" s="25">
        <f t="shared" si="83"/>
        <v>0</v>
      </c>
      <c r="Q699" s="25">
        <f t="shared" si="87"/>
        <v>521.26821817936661</v>
      </c>
      <c r="R699" s="25">
        <f t="shared" si="84"/>
        <v>6</v>
      </c>
      <c r="S699" s="26">
        <f t="shared" si="85"/>
        <v>13</v>
      </c>
    </row>
    <row r="700" spans="2:19" x14ac:dyDescent="0.3">
      <c r="B700" s="24">
        <v>298970</v>
      </c>
      <c r="C700" s="25">
        <v>60</v>
      </c>
      <c r="D700" s="25">
        <v>1</v>
      </c>
      <c r="E700" s="25">
        <v>31</v>
      </c>
      <c r="F700" s="25">
        <v>22</v>
      </c>
      <c r="G700" s="25">
        <v>170</v>
      </c>
      <c r="H700" s="25">
        <v>8</v>
      </c>
      <c r="I700" s="25">
        <v>8.77</v>
      </c>
      <c r="J700" s="25">
        <v>4.83</v>
      </c>
      <c r="K700" s="26">
        <v>0</v>
      </c>
      <c r="L700" s="25">
        <f t="shared" si="80"/>
        <v>-4.3704543543948731</v>
      </c>
      <c r="M700" s="25">
        <f t="shared" si="86"/>
        <v>1.2487582085970434E-2</v>
      </c>
      <c r="N700" s="25">
        <f t="shared" si="81"/>
        <v>0.98751241791402955</v>
      </c>
      <c r="O700" s="25">
        <f t="shared" si="82"/>
        <v>-1.2566207183111326E-2</v>
      </c>
      <c r="P700" s="25">
        <f t="shared" si="83"/>
        <v>0</v>
      </c>
      <c r="Q700" s="25">
        <f t="shared" si="87"/>
        <v>613.22765289627421</v>
      </c>
      <c r="R700" s="25">
        <f t="shared" si="84"/>
        <v>4</v>
      </c>
      <c r="S700" s="26">
        <f t="shared" si="85"/>
        <v>6</v>
      </c>
    </row>
    <row r="701" spans="2:19" x14ac:dyDescent="0.3">
      <c r="B701" s="24">
        <v>298976</v>
      </c>
      <c r="C701" s="25">
        <v>37</v>
      </c>
      <c r="D701" s="25">
        <v>2</v>
      </c>
      <c r="E701" s="25">
        <v>2</v>
      </c>
      <c r="F701" s="25">
        <v>9</v>
      </c>
      <c r="G701" s="25">
        <v>31</v>
      </c>
      <c r="H701" s="25">
        <v>9.6</v>
      </c>
      <c r="I701" s="25">
        <v>1.54</v>
      </c>
      <c r="J701" s="25">
        <v>1.44</v>
      </c>
      <c r="K701" s="26">
        <v>0</v>
      </c>
      <c r="L701" s="25">
        <f t="shared" si="80"/>
        <v>-0.32413902046932008</v>
      </c>
      <c r="M701" s="25">
        <f t="shared" si="86"/>
        <v>0.41966736936063026</v>
      </c>
      <c r="N701" s="25">
        <f t="shared" si="81"/>
        <v>0.58033263063936968</v>
      </c>
      <c r="O701" s="25">
        <f t="shared" si="82"/>
        <v>-0.54415383872821921</v>
      </c>
      <c r="P701" s="25">
        <f t="shared" si="83"/>
        <v>1</v>
      </c>
      <c r="Q701" s="25">
        <f t="shared" si="87"/>
        <v>496.47567488271972</v>
      </c>
      <c r="R701" s="25">
        <f t="shared" si="84"/>
        <v>7</v>
      </c>
      <c r="S701" s="26">
        <f t="shared" si="85"/>
        <v>14</v>
      </c>
    </row>
    <row r="702" spans="2:19" x14ac:dyDescent="0.3">
      <c r="B702" s="24">
        <v>298996</v>
      </c>
      <c r="C702" s="25">
        <v>27</v>
      </c>
      <c r="D702" s="25">
        <v>4</v>
      </c>
      <c r="E702" s="25">
        <v>1</v>
      </c>
      <c r="F702" s="25">
        <v>2</v>
      </c>
      <c r="G702" s="25">
        <v>21</v>
      </c>
      <c r="H702" s="25">
        <v>14.4</v>
      </c>
      <c r="I702" s="25">
        <v>0.52</v>
      </c>
      <c r="J702" s="25">
        <v>2.5099999999999998</v>
      </c>
      <c r="K702" s="26">
        <v>0</v>
      </c>
      <c r="L702" s="25">
        <f t="shared" si="80"/>
        <v>0.25898737994376558</v>
      </c>
      <c r="M702" s="25">
        <f t="shared" si="86"/>
        <v>0.5643873510914964</v>
      </c>
      <c r="N702" s="25">
        <f t="shared" si="81"/>
        <v>0.4356126489085036</v>
      </c>
      <c r="O702" s="25">
        <f t="shared" si="82"/>
        <v>-0.83100185044661379</v>
      </c>
      <c r="P702" s="25">
        <f t="shared" si="83"/>
        <v>1</v>
      </c>
      <c r="Q702" s="25">
        <f t="shared" si="87"/>
        <v>479.65020403784058</v>
      </c>
      <c r="R702" s="25">
        <f t="shared" si="84"/>
        <v>7</v>
      </c>
      <c r="S702" s="26">
        <f t="shared" si="85"/>
        <v>15</v>
      </c>
    </row>
    <row r="703" spans="2:19" x14ac:dyDescent="0.3">
      <c r="B703" s="24">
        <v>299036</v>
      </c>
      <c r="C703" s="25">
        <v>26</v>
      </c>
      <c r="D703" s="25">
        <v>1</v>
      </c>
      <c r="E703" s="25">
        <v>6</v>
      </c>
      <c r="F703" s="25">
        <v>2</v>
      </c>
      <c r="G703" s="25">
        <v>46</v>
      </c>
      <c r="H703" s="25">
        <v>9.8000000000000007</v>
      </c>
      <c r="I703" s="25">
        <v>0.34</v>
      </c>
      <c r="J703" s="25">
        <v>4.17</v>
      </c>
      <c r="K703" s="26">
        <v>0</v>
      </c>
      <c r="L703" s="25">
        <f t="shared" si="80"/>
        <v>-1.1866472239462971</v>
      </c>
      <c r="M703" s="25">
        <f t="shared" si="86"/>
        <v>0.23385911329241685</v>
      </c>
      <c r="N703" s="25">
        <f t="shared" si="81"/>
        <v>0.76614088670758318</v>
      </c>
      <c r="O703" s="25">
        <f t="shared" si="82"/>
        <v>-0.26638920094799057</v>
      </c>
      <c r="P703" s="25">
        <f t="shared" si="83"/>
        <v>0</v>
      </c>
      <c r="Q703" s="25">
        <f t="shared" si="87"/>
        <v>521.36240033502406</v>
      </c>
      <c r="R703" s="25">
        <f t="shared" si="84"/>
        <v>6</v>
      </c>
      <c r="S703" s="26">
        <f t="shared" si="85"/>
        <v>13</v>
      </c>
    </row>
    <row r="704" spans="2:19" x14ac:dyDescent="0.3">
      <c r="B704" s="24">
        <v>315016</v>
      </c>
      <c r="C704" s="25">
        <v>32</v>
      </c>
      <c r="D704" s="25">
        <v>3</v>
      </c>
      <c r="E704" s="25">
        <v>7</v>
      </c>
      <c r="F704" s="25">
        <v>5</v>
      </c>
      <c r="G704" s="25">
        <v>34</v>
      </c>
      <c r="H704" s="25">
        <v>10.7</v>
      </c>
      <c r="I704" s="25">
        <v>0.52</v>
      </c>
      <c r="J704" s="25">
        <v>3.12</v>
      </c>
      <c r="K704" s="26">
        <v>0</v>
      </c>
      <c r="L704" s="25">
        <f t="shared" si="80"/>
        <v>-1.6011795413977663</v>
      </c>
      <c r="M704" s="25">
        <f t="shared" si="86"/>
        <v>0.16781682224432878</v>
      </c>
      <c r="N704" s="25">
        <f t="shared" si="81"/>
        <v>0.83218317775567119</v>
      </c>
      <c r="O704" s="25">
        <f t="shared" si="82"/>
        <v>-0.18370269682209101</v>
      </c>
      <c r="P704" s="25">
        <f t="shared" si="83"/>
        <v>0</v>
      </c>
      <c r="Q704" s="25">
        <f t="shared" si="87"/>
        <v>533.32327436953699</v>
      </c>
      <c r="R704" s="25">
        <f t="shared" si="84"/>
        <v>6</v>
      </c>
      <c r="S704" s="26">
        <f t="shared" si="85"/>
        <v>12</v>
      </c>
    </row>
    <row r="705" spans="2:19" x14ac:dyDescent="0.3">
      <c r="B705" s="24">
        <v>315053</v>
      </c>
      <c r="C705" s="25">
        <v>23</v>
      </c>
      <c r="D705" s="25">
        <v>3</v>
      </c>
      <c r="E705" s="25">
        <v>0</v>
      </c>
      <c r="F705" s="25">
        <v>1</v>
      </c>
      <c r="G705" s="25">
        <v>16</v>
      </c>
      <c r="H705" s="25">
        <v>7.8</v>
      </c>
      <c r="I705" s="25">
        <v>0.35</v>
      </c>
      <c r="J705" s="25">
        <v>0.9</v>
      </c>
      <c r="K705" s="26">
        <v>0</v>
      </c>
      <c r="L705" s="25">
        <f t="shared" si="80"/>
        <v>-0.1220113956295425</v>
      </c>
      <c r="M705" s="25">
        <f t="shared" si="86"/>
        <v>0.46953493561306553</v>
      </c>
      <c r="N705" s="25">
        <f t="shared" si="81"/>
        <v>0.53046506438693442</v>
      </c>
      <c r="O705" s="25">
        <f t="shared" si="82"/>
        <v>-0.63400117722111182</v>
      </c>
      <c r="P705" s="25">
        <f t="shared" si="83"/>
        <v>1</v>
      </c>
      <c r="Q705" s="25">
        <f t="shared" si="87"/>
        <v>490.64350460835522</v>
      </c>
      <c r="R705" s="25">
        <f t="shared" si="84"/>
        <v>7</v>
      </c>
      <c r="S705" s="26">
        <f t="shared" si="85"/>
        <v>15</v>
      </c>
    </row>
    <row r="706" spans="2:19" x14ac:dyDescent="0.3">
      <c r="B706" s="24">
        <v>315060</v>
      </c>
      <c r="C706" s="25">
        <v>58</v>
      </c>
      <c r="D706" s="25">
        <v>3</v>
      </c>
      <c r="E706" s="25">
        <v>18</v>
      </c>
      <c r="F706" s="25">
        <v>13</v>
      </c>
      <c r="G706" s="25">
        <v>54</v>
      </c>
      <c r="H706" s="25">
        <v>4.2</v>
      </c>
      <c r="I706" s="25">
        <v>0.82</v>
      </c>
      <c r="J706" s="25">
        <v>1.45</v>
      </c>
      <c r="K706" s="26">
        <v>0</v>
      </c>
      <c r="L706" s="25">
        <f t="shared" si="80"/>
        <v>-5.4550666941796697</v>
      </c>
      <c r="M706" s="25">
        <f t="shared" si="86"/>
        <v>4.256397321235973E-3</v>
      </c>
      <c r="N706" s="25">
        <f t="shared" si="81"/>
        <v>0.99574360267876405</v>
      </c>
      <c r="O706" s="25">
        <f t="shared" si="82"/>
        <v>-4.2654815669174494E-3</v>
      </c>
      <c r="P706" s="25">
        <f t="shared" si="83"/>
        <v>0</v>
      </c>
      <c r="Q706" s="25">
        <f t="shared" si="87"/>
        <v>644.52294888719075</v>
      </c>
      <c r="R706" s="25">
        <f t="shared" si="84"/>
        <v>3</v>
      </c>
      <c r="S706" s="26">
        <f t="shared" si="85"/>
        <v>3</v>
      </c>
    </row>
    <row r="707" spans="2:19" x14ac:dyDescent="0.3">
      <c r="B707" s="24">
        <v>315086</v>
      </c>
      <c r="C707" s="25">
        <v>34</v>
      </c>
      <c r="D707" s="25">
        <v>1</v>
      </c>
      <c r="E707" s="25">
        <v>0</v>
      </c>
      <c r="F707" s="25">
        <v>7</v>
      </c>
      <c r="G707" s="25">
        <v>26</v>
      </c>
      <c r="H707" s="25">
        <v>1.9</v>
      </c>
      <c r="I707" s="25">
        <v>0.18</v>
      </c>
      <c r="J707" s="25">
        <v>0.32</v>
      </c>
      <c r="K707" s="26">
        <v>0</v>
      </c>
      <c r="L707" s="25">
        <f t="shared" si="80"/>
        <v>-1.1289205289986717</v>
      </c>
      <c r="M707" s="25">
        <f t="shared" si="86"/>
        <v>0.24436036846720549</v>
      </c>
      <c r="N707" s="25">
        <f t="shared" si="81"/>
        <v>0.75563963153279445</v>
      </c>
      <c r="O707" s="25">
        <f t="shared" si="82"/>
        <v>-0.28019069431628912</v>
      </c>
      <c r="P707" s="25">
        <f t="shared" si="83"/>
        <v>0</v>
      </c>
      <c r="Q707" s="25">
        <f t="shared" si="87"/>
        <v>519.6967600516748</v>
      </c>
      <c r="R707" s="25">
        <f t="shared" si="84"/>
        <v>6</v>
      </c>
      <c r="S707" s="26">
        <f t="shared" si="85"/>
        <v>13</v>
      </c>
    </row>
    <row r="708" spans="2:19" x14ac:dyDescent="0.3">
      <c r="B708" s="24">
        <v>315102</v>
      </c>
      <c r="C708" s="25">
        <v>30</v>
      </c>
      <c r="D708" s="25">
        <v>2</v>
      </c>
      <c r="E708" s="25">
        <v>0</v>
      </c>
      <c r="F708" s="25">
        <v>4</v>
      </c>
      <c r="G708" s="25">
        <v>17</v>
      </c>
      <c r="H708" s="25">
        <v>4.9000000000000004</v>
      </c>
      <c r="I708" s="25">
        <v>0.41</v>
      </c>
      <c r="J708" s="25">
        <v>0.42</v>
      </c>
      <c r="K708" s="26">
        <v>1</v>
      </c>
      <c r="L708" s="25">
        <f t="shared" si="80"/>
        <v>-0.58985359761200495</v>
      </c>
      <c r="M708" s="25">
        <f t="shared" si="86"/>
        <v>0.35666844651660612</v>
      </c>
      <c r="N708" s="25">
        <f t="shared" si="81"/>
        <v>0.35666844651660612</v>
      </c>
      <c r="O708" s="25">
        <f t="shared" si="82"/>
        <v>-1.030948649973271</v>
      </c>
      <c r="P708" s="25">
        <f t="shared" si="83"/>
        <v>0</v>
      </c>
      <c r="Q708" s="25">
        <f t="shared" si="87"/>
        <v>504.14257672013701</v>
      </c>
      <c r="R708" s="25">
        <f t="shared" si="84"/>
        <v>7</v>
      </c>
      <c r="S708" s="26">
        <f t="shared" si="85"/>
        <v>14</v>
      </c>
    </row>
    <row r="709" spans="2:19" x14ac:dyDescent="0.3">
      <c r="B709" s="24">
        <v>315108</v>
      </c>
      <c r="C709" s="25">
        <v>25</v>
      </c>
      <c r="D709" s="25">
        <v>3</v>
      </c>
      <c r="E709" s="25">
        <v>2</v>
      </c>
      <c r="F709" s="25">
        <v>3</v>
      </c>
      <c r="G709" s="25">
        <v>52</v>
      </c>
      <c r="H709" s="25">
        <v>7.7</v>
      </c>
      <c r="I709" s="25">
        <v>1.07</v>
      </c>
      <c r="J709" s="25">
        <v>2.93</v>
      </c>
      <c r="K709" s="26">
        <v>0</v>
      </c>
      <c r="L709" s="25">
        <f t="shared" ref="L709:L772" si="88">$Y$4+SUMPRODUCT($Z$4:$AG$4,C709:J709)</f>
        <v>-0.2927355491264409</v>
      </c>
      <c r="M709" s="25">
        <f t="shared" si="86"/>
        <v>0.42733429164000364</v>
      </c>
      <c r="N709" s="25">
        <f t="shared" ref="N709:N772" si="89">IF(K709=1,M709,(1-M709))</f>
        <v>0.57266570835999642</v>
      </c>
      <c r="O709" s="25">
        <f t="shared" ref="O709:O772" si="90">LN(N709)</f>
        <v>-0.5574531385183954</v>
      </c>
      <c r="P709" s="25">
        <f t="shared" ref="P709:P772" si="91">IF(M709&gt;0.4,1,0)</f>
        <v>1</v>
      </c>
      <c r="Q709" s="25">
        <f t="shared" si="87"/>
        <v>495.56956226093939</v>
      </c>
      <c r="R709" s="25">
        <f t="shared" ref="R709:R772" si="92">VLOOKUP(M709,$U$9:$W$16,3,TRUE)</f>
        <v>7</v>
      </c>
      <c r="S709" s="26">
        <f t="shared" ref="S709:S772" si="93">VLOOKUP(M709,$U$21:$W$37,3,TRUE)</f>
        <v>14</v>
      </c>
    </row>
    <row r="710" spans="2:19" x14ac:dyDescent="0.3">
      <c r="B710" s="24">
        <v>315159</v>
      </c>
      <c r="C710" s="25">
        <v>24</v>
      </c>
      <c r="D710" s="25">
        <v>2</v>
      </c>
      <c r="E710" s="25">
        <v>3</v>
      </c>
      <c r="F710" s="25">
        <v>2</v>
      </c>
      <c r="G710" s="25">
        <v>24</v>
      </c>
      <c r="H710" s="25">
        <v>10.7</v>
      </c>
      <c r="I710" s="25">
        <v>1.98</v>
      </c>
      <c r="J710" s="25">
        <v>0.59</v>
      </c>
      <c r="K710" s="26">
        <v>0</v>
      </c>
      <c r="L710" s="25">
        <f t="shared" si="88"/>
        <v>0.25356420818290365</v>
      </c>
      <c r="M710" s="25">
        <f t="shared" ref="M710:M773" si="94">EXP(L710)/(1+EXP(L710))</f>
        <v>0.56305357869987227</v>
      </c>
      <c r="N710" s="25">
        <f t="shared" si="89"/>
        <v>0.43694642130012773</v>
      </c>
      <c r="O710" s="25">
        <f t="shared" si="90"/>
        <v>-0.82794469712377416</v>
      </c>
      <c r="P710" s="25">
        <f t="shared" si="91"/>
        <v>1</v>
      </c>
      <c r="Q710" s="25">
        <f t="shared" si="87"/>
        <v>479.80668369351133</v>
      </c>
      <c r="R710" s="25">
        <f t="shared" si="92"/>
        <v>7</v>
      </c>
      <c r="S710" s="26">
        <f t="shared" si="93"/>
        <v>15</v>
      </c>
    </row>
    <row r="711" spans="2:19" x14ac:dyDescent="0.3">
      <c r="B711" s="24">
        <v>315169</v>
      </c>
      <c r="C711" s="25">
        <v>34</v>
      </c>
      <c r="D711" s="25">
        <v>4</v>
      </c>
      <c r="E711" s="25">
        <v>1</v>
      </c>
      <c r="F711" s="25">
        <v>7</v>
      </c>
      <c r="G711" s="25">
        <v>40</v>
      </c>
      <c r="H711" s="25">
        <v>17.600000000000001</v>
      </c>
      <c r="I711" s="25">
        <v>1.68</v>
      </c>
      <c r="J711" s="25">
        <v>5.36</v>
      </c>
      <c r="K711" s="26">
        <v>1</v>
      </c>
      <c r="L711" s="25">
        <f t="shared" si="88"/>
        <v>0.88908183527002826</v>
      </c>
      <c r="M711" s="25">
        <f t="shared" si="94"/>
        <v>0.70870065926278536</v>
      </c>
      <c r="N711" s="25">
        <f t="shared" si="89"/>
        <v>0.70870065926278536</v>
      </c>
      <c r="O711" s="25">
        <f t="shared" si="90"/>
        <v>-0.3443220429239644</v>
      </c>
      <c r="P711" s="25">
        <f t="shared" si="91"/>
        <v>1</v>
      </c>
      <c r="Q711" s="25">
        <f t="shared" si="87"/>
        <v>461.46952163330212</v>
      </c>
      <c r="R711" s="25">
        <f t="shared" si="92"/>
        <v>8</v>
      </c>
      <c r="S711" s="26">
        <f t="shared" si="93"/>
        <v>16</v>
      </c>
    </row>
    <row r="712" spans="2:19" x14ac:dyDescent="0.3">
      <c r="B712" s="24">
        <v>315203</v>
      </c>
      <c r="C712" s="25">
        <v>64</v>
      </c>
      <c r="D712" s="25">
        <v>1</v>
      </c>
      <c r="E712" s="25">
        <v>7</v>
      </c>
      <c r="F712" s="25">
        <v>26</v>
      </c>
      <c r="G712" s="25">
        <v>24</v>
      </c>
      <c r="H712" s="25">
        <v>6.5</v>
      </c>
      <c r="I712" s="25">
        <v>0.28999999999999998</v>
      </c>
      <c r="J712" s="25">
        <v>1.27</v>
      </c>
      <c r="K712" s="26">
        <v>0</v>
      </c>
      <c r="L712" s="25">
        <f t="shared" si="88"/>
        <v>-3.4457579534828642</v>
      </c>
      <c r="M712" s="25">
        <f t="shared" si="94"/>
        <v>3.0895618371836804E-2</v>
      </c>
      <c r="N712" s="25">
        <f t="shared" si="89"/>
        <v>0.96910438162816315</v>
      </c>
      <c r="O712" s="25">
        <f t="shared" si="90"/>
        <v>-3.1382951914362259E-2</v>
      </c>
      <c r="P712" s="25">
        <f t="shared" si="91"/>
        <v>0</v>
      </c>
      <c r="Q712" s="25">
        <f t="shared" si="87"/>
        <v>586.54655541399916</v>
      </c>
      <c r="R712" s="25">
        <f t="shared" si="92"/>
        <v>5</v>
      </c>
      <c r="S712" s="26">
        <f t="shared" si="93"/>
        <v>8</v>
      </c>
    </row>
    <row r="713" spans="2:19" x14ac:dyDescent="0.3">
      <c r="B713" s="24">
        <v>315213</v>
      </c>
      <c r="C713" s="25">
        <v>29</v>
      </c>
      <c r="D713" s="25">
        <v>4</v>
      </c>
      <c r="E713" s="25">
        <v>2</v>
      </c>
      <c r="F713" s="25">
        <v>5</v>
      </c>
      <c r="G713" s="25">
        <v>34</v>
      </c>
      <c r="H713" s="25">
        <v>19</v>
      </c>
      <c r="I713" s="25">
        <v>1.03</v>
      </c>
      <c r="J713" s="25">
        <v>5.43</v>
      </c>
      <c r="K713" s="26">
        <v>1</v>
      </c>
      <c r="L713" s="25">
        <f t="shared" si="88"/>
        <v>0.66797510785789571</v>
      </c>
      <c r="M713" s="25">
        <f t="shared" si="94"/>
        <v>0.66104960380711386</v>
      </c>
      <c r="N713" s="25">
        <f t="shared" si="89"/>
        <v>0.66104960380711386</v>
      </c>
      <c r="O713" s="25">
        <f t="shared" si="90"/>
        <v>-0.41392639836496919</v>
      </c>
      <c r="P713" s="25">
        <f t="shared" si="91"/>
        <v>1</v>
      </c>
      <c r="Q713" s="25">
        <f t="shared" ref="Q713:Q776" si="95">28.8539*LN((1-M713)/(M713))+487.123</f>
        <v>467.84931303537905</v>
      </c>
      <c r="R713" s="25">
        <f t="shared" si="92"/>
        <v>7</v>
      </c>
      <c r="S713" s="26">
        <f t="shared" si="93"/>
        <v>15</v>
      </c>
    </row>
    <row r="714" spans="2:19" x14ac:dyDescent="0.3">
      <c r="B714" s="24">
        <v>315234</v>
      </c>
      <c r="C714" s="25">
        <v>21</v>
      </c>
      <c r="D714" s="25">
        <v>2</v>
      </c>
      <c r="E714" s="25">
        <v>1</v>
      </c>
      <c r="F714" s="25">
        <v>1</v>
      </c>
      <c r="G714" s="25">
        <v>29</v>
      </c>
      <c r="H714" s="25">
        <v>0.9</v>
      </c>
      <c r="I714" s="25">
        <v>0.02</v>
      </c>
      <c r="J714" s="25">
        <v>0.24</v>
      </c>
      <c r="K714" s="26">
        <v>0</v>
      </c>
      <c r="L714" s="25">
        <f t="shared" si="88"/>
        <v>-1.1090944414574011</v>
      </c>
      <c r="M714" s="25">
        <f t="shared" si="94"/>
        <v>0.2480397512074263</v>
      </c>
      <c r="N714" s="25">
        <f t="shared" si="89"/>
        <v>0.75196024879257373</v>
      </c>
      <c r="O714" s="25">
        <f t="shared" si="90"/>
        <v>-0.28507181707764379</v>
      </c>
      <c r="P714" s="25">
        <f t="shared" si="91"/>
        <v>0</v>
      </c>
      <c r="Q714" s="25">
        <f t="shared" si="95"/>
        <v>519.12470010436766</v>
      </c>
      <c r="R714" s="25">
        <f t="shared" si="92"/>
        <v>6</v>
      </c>
      <c r="S714" s="26">
        <f t="shared" si="93"/>
        <v>13</v>
      </c>
    </row>
    <row r="715" spans="2:19" x14ac:dyDescent="0.3">
      <c r="B715" s="24">
        <v>315273</v>
      </c>
      <c r="C715" s="25">
        <v>50</v>
      </c>
      <c r="D715" s="25">
        <v>4</v>
      </c>
      <c r="E715" s="25">
        <v>9</v>
      </c>
      <c r="F715" s="25">
        <v>11</v>
      </c>
      <c r="G715" s="25">
        <v>24</v>
      </c>
      <c r="H715" s="25">
        <v>15.7</v>
      </c>
      <c r="I715" s="25">
        <v>0.57999999999999996</v>
      </c>
      <c r="J715" s="25">
        <v>3.18</v>
      </c>
      <c r="K715" s="26">
        <v>0</v>
      </c>
      <c r="L715" s="25">
        <f t="shared" si="88"/>
        <v>-2.1654983726753705</v>
      </c>
      <c r="M715" s="25">
        <f t="shared" si="94"/>
        <v>0.10289181437798726</v>
      </c>
      <c r="N715" s="25">
        <f t="shared" si="89"/>
        <v>0.89710818562201278</v>
      </c>
      <c r="O715" s="25">
        <f t="shared" si="90"/>
        <v>-0.10857881592167236</v>
      </c>
      <c r="P715" s="25">
        <f t="shared" si="91"/>
        <v>0</v>
      </c>
      <c r="Q715" s="25">
        <f t="shared" si="95"/>
        <v>549.60607349533791</v>
      </c>
      <c r="R715" s="25">
        <f t="shared" si="92"/>
        <v>6</v>
      </c>
      <c r="S715" s="26">
        <f t="shared" si="93"/>
        <v>11</v>
      </c>
    </row>
    <row r="716" spans="2:19" x14ac:dyDescent="0.3">
      <c r="B716" s="24">
        <v>315276</v>
      </c>
      <c r="C716" s="25">
        <v>25</v>
      </c>
      <c r="D716" s="25">
        <v>4</v>
      </c>
      <c r="E716" s="25">
        <v>0</v>
      </c>
      <c r="F716" s="25">
        <v>2</v>
      </c>
      <c r="G716" s="25">
        <v>29</v>
      </c>
      <c r="H716" s="25">
        <v>15.7</v>
      </c>
      <c r="I716" s="25">
        <v>1.83</v>
      </c>
      <c r="J716" s="25">
        <v>2.73</v>
      </c>
      <c r="K716" s="26">
        <v>1</v>
      </c>
      <c r="L716" s="25">
        <f t="shared" si="88"/>
        <v>1.2858248078851549</v>
      </c>
      <c r="M716" s="25">
        <f t="shared" si="94"/>
        <v>0.78343965622751122</v>
      </c>
      <c r="N716" s="25">
        <f t="shared" si="89"/>
        <v>0.78343965622751122</v>
      </c>
      <c r="O716" s="25">
        <f t="shared" si="90"/>
        <v>-0.24406123836843929</v>
      </c>
      <c r="P716" s="25">
        <f t="shared" si="91"/>
        <v>1</v>
      </c>
      <c r="Q716" s="25">
        <f t="shared" si="95"/>
        <v>450.02193957576253</v>
      </c>
      <c r="R716" s="25">
        <f t="shared" si="92"/>
        <v>8</v>
      </c>
      <c r="S716" s="26">
        <f t="shared" si="93"/>
        <v>16</v>
      </c>
    </row>
    <row r="717" spans="2:19" x14ac:dyDescent="0.3">
      <c r="B717" s="24">
        <v>315313</v>
      </c>
      <c r="C717" s="25">
        <v>27</v>
      </c>
      <c r="D717" s="25">
        <v>2</v>
      </c>
      <c r="E717" s="25">
        <v>6</v>
      </c>
      <c r="F717" s="25">
        <v>5</v>
      </c>
      <c r="G717" s="25">
        <v>20</v>
      </c>
      <c r="H717" s="25">
        <v>13.2</v>
      </c>
      <c r="I717" s="25">
        <v>1.44</v>
      </c>
      <c r="J717" s="25">
        <v>1.2</v>
      </c>
      <c r="K717" s="26">
        <v>0</v>
      </c>
      <c r="L717" s="25">
        <f t="shared" si="88"/>
        <v>-0.57999702317184687</v>
      </c>
      <c r="M717" s="25">
        <f t="shared" si="94"/>
        <v>0.35893327863358954</v>
      </c>
      <c r="N717" s="25">
        <f t="shared" si="89"/>
        <v>0.64106672136641052</v>
      </c>
      <c r="O717" s="25">
        <f t="shared" si="90"/>
        <v>-0.44462173798322241</v>
      </c>
      <c r="P717" s="25">
        <f t="shared" si="91"/>
        <v>0</v>
      </c>
      <c r="Q717" s="25">
        <f t="shared" si="95"/>
        <v>503.85817610689816</v>
      </c>
      <c r="R717" s="25">
        <f t="shared" si="92"/>
        <v>7</v>
      </c>
      <c r="S717" s="26">
        <f t="shared" si="93"/>
        <v>14</v>
      </c>
    </row>
    <row r="718" spans="2:19" x14ac:dyDescent="0.3">
      <c r="B718" s="24">
        <v>315326</v>
      </c>
      <c r="C718" s="25">
        <v>25</v>
      </c>
      <c r="D718" s="25">
        <v>3</v>
      </c>
      <c r="E718" s="25">
        <v>4</v>
      </c>
      <c r="F718" s="25">
        <v>3</v>
      </c>
      <c r="G718" s="25">
        <v>41</v>
      </c>
      <c r="H718" s="25">
        <v>18.399999999999999</v>
      </c>
      <c r="I718" s="25">
        <v>2.0099999999999998</v>
      </c>
      <c r="J718" s="25">
        <v>5.54</v>
      </c>
      <c r="K718" s="26">
        <v>0</v>
      </c>
      <c r="L718" s="25">
        <f t="shared" si="88"/>
        <v>0.82925599348260381</v>
      </c>
      <c r="M718" s="25">
        <f t="shared" si="94"/>
        <v>0.69619759057973418</v>
      </c>
      <c r="N718" s="25">
        <f t="shared" si="89"/>
        <v>0.30380240942026582</v>
      </c>
      <c r="O718" s="25">
        <f t="shared" si="90"/>
        <v>-1.1913777579096305</v>
      </c>
      <c r="P718" s="25">
        <f t="shared" si="91"/>
        <v>1</v>
      </c>
      <c r="Q718" s="25">
        <f t="shared" si="95"/>
        <v>463.19573048965231</v>
      </c>
      <c r="R718" s="25">
        <f t="shared" si="92"/>
        <v>8</v>
      </c>
      <c r="S718" s="26">
        <f t="shared" si="93"/>
        <v>15</v>
      </c>
    </row>
    <row r="719" spans="2:19" x14ac:dyDescent="0.3">
      <c r="B719" s="24">
        <v>315336</v>
      </c>
      <c r="C719" s="25">
        <v>27</v>
      </c>
      <c r="D719" s="25">
        <v>4</v>
      </c>
      <c r="E719" s="25">
        <v>3</v>
      </c>
      <c r="F719" s="25">
        <v>5</v>
      </c>
      <c r="G719" s="25">
        <v>41</v>
      </c>
      <c r="H719" s="25">
        <v>4.8</v>
      </c>
      <c r="I719" s="25">
        <v>0.55000000000000004</v>
      </c>
      <c r="J719" s="25">
        <v>1.41</v>
      </c>
      <c r="K719" s="26">
        <v>1</v>
      </c>
      <c r="L719" s="25">
        <f t="shared" si="88"/>
        <v>-1.2566506149616294</v>
      </c>
      <c r="M719" s="25">
        <f t="shared" si="94"/>
        <v>0.22155100901654681</v>
      </c>
      <c r="N719" s="25">
        <f t="shared" si="89"/>
        <v>0.22155100901654681</v>
      </c>
      <c r="O719" s="25">
        <f t="shared" si="90"/>
        <v>-1.5071024269956361</v>
      </c>
      <c r="P719" s="25">
        <f t="shared" si="91"/>
        <v>0</v>
      </c>
      <c r="Q719" s="25">
        <f t="shared" si="95"/>
        <v>523.38227117904137</v>
      </c>
      <c r="R719" s="25">
        <f t="shared" si="92"/>
        <v>6</v>
      </c>
      <c r="S719" s="26">
        <f t="shared" si="93"/>
        <v>13</v>
      </c>
    </row>
    <row r="720" spans="2:19" x14ac:dyDescent="0.3">
      <c r="B720" s="24">
        <v>315373</v>
      </c>
      <c r="C720" s="25">
        <v>26</v>
      </c>
      <c r="D720" s="25">
        <v>2</v>
      </c>
      <c r="E720" s="25">
        <v>4</v>
      </c>
      <c r="F720" s="25">
        <v>4</v>
      </c>
      <c r="G720" s="25">
        <v>31</v>
      </c>
      <c r="H720" s="25">
        <v>5.5</v>
      </c>
      <c r="I720" s="25">
        <v>0.25</v>
      </c>
      <c r="J720" s="25">
        <v>1.45</v>
      </c>
      <c r="K720" s="26">
        <v>0</v>
      </c>
      <c r="L720" s="25">
        <f t="shared" si="88"/>
        <v>-1.3954605050007258</v>
      </c>
      <c r="M720" s="25">
        <f t="shared" si="94"/>
        <v>0.19853744900498244</v>
      </c>
      <c r="N720" s="25">
        <f t="shared" si="89"/>
        <v>0.80146255099501751</v>
      </c>
      <c r="O720" s="25">
        <f t="shared" si="90"/>
        <v>-0.22131703167349864</v>
      </c>
      <c r="P720" s="25">
        <f t="shared" si="91"/>
        <v>0</v>
      </c>
      <c r="Q720" s="25">
        <f t="shared" si="95"/>
        <v>527.38747786524038</v>
      </c>
      <c r="R720" s="25">
        <f t="shared" si="92"/>
        <v>6</v>
      </c>
      <c r="S720" s="26">
        <f t="shared" si="93"/>
        <v>12</v>
      </c>
    </row>
    <row r="721" spans="2:19" x14ac:dyDescent="0.3">
      <c r="B721" s="24">
        <v>315412</v>
      </c>
      <c r="C721" s="25">
        <v>49</v>
      </c>
      <c r="D721" s="25">
        <v>2</v>
      </c>
      <c r="E721" s="25">
        <v>6</v>
      </c>
      <c r="F721" s="25">
        <v>12</v>
      </c>
      <c r="G721" s="25">
        <v>49</v>
      </c>
      <c r="H721" s="25">
        <v>1.7</v>
      </c>
      <c r="I721" s="25">
        <v>0.5</v>
      </c>
      <c r="J721" s="25">
        <v>0.33</v>
      </c>
      <c r="K721" s="26">
        <v>0</v>
      </c>
      <c r="L721" s="25">
        <f t="shared" si="88"/>
        <v>-2.8896781197718662</v>
      </c>
      <c r="M721" s="25">
        <f t="shared" si="94"/>
        <v>5.2666175516157127E-2</v>
      </c>
      <c r="N721" s="25">
        <f t="shared" si="89"/>
        <v>0.94733382448384285</v>
      </c>
      <c r="O721" s="25">
        <f t="shared" si="90"/>
        <v>-5.4103740537484193E-2</v>
      </c>
      <c r="P721" s="25">
        <f t="shared" si="91"/>
        <v>0</v>
      </c>
      <c r="Q721" s="25">
        <f t="shared" si="95"/>
        <v>570.50148350008544</v>
      </c>
      <c r="R721" s="25">
        <f t="shared" si="92"/>
        <v>5</v>
      </c>
      <c r="S721" s="26">
        <f t="shared" si="93"/>
        <v>9</v>
      </c>
    </row>
    <row r="722" spans="2:19" x14ac:dyDescent="0.3">
      <c r="B722" s="24">
        <v>315414</v>
      </c>
      <c r="C722" s="25">
        <v>41</v>
      </c>
      <c r="D722" s="25">
        <v>3</v>
      </c>
      <c r="E722" s="25">
        <v>0</v>
      </c>
      <c r="F722" s="25">
        <v>8</v>
      </c>
      <c r="G722" s="25">
        <v>39</v>
      </c>
      <c r="H722" s="25">
        <v>29.1</v>
      </c>
      <c r="I722" s="25">
        <v>2.16</v>
      </c>
      <c r="J722" s="25">
        <v>9.19</v>
      </c>
      <c r="K722" s="26">
        <v>1</v>
      </c>
      <c r="L722" s="25">
        <f t="shared" si="88"/>
        <v>2.4541170525539329</v>
      </c>
      <c r="M722" s="25">
        <f t="shared" si="94"/>
        <v>0.92086200208615165</v>
      </c>
      <c r="N722" s="25">
        <f t="shared" si="89"/>
        <v>0.92086200208615165</v>
      </c>
      <c r="O722" s="25">
        <f t="shared" si="90"/>
        <v>-8.2445088821651927E-2</v>
      </c>
      <c r="P722" s="25">
        <f t="shared" si="91"/>
        <v>1</v>
      </c>
      <c r="Q722" s="25">
        <f t="shared" si="95"/>
        <v>416.31215197731404</v>
      </c>
      <c r="R722" s="25">
        <f t="shared" si="92"/>
        <v>8</v>
      </c>
      <c r="S722" s="26">
        <f t="shared" si="93"/>
        <v>16</v>
      </c>
    </row>
    <row r="723" spans="2:19" x14ac:dyDescent="0.3">
      <c r="B723" s="24">
        <v>315422</v>
      </c>
      <c r="C723" s="25">
        <v>30</v>
      </c>
      <c r="D723" s="25">
        <v>2</v>
      </c>
      <c r="E723" s="25">
        <v>4</v>
      </c>
      <c r="F723" s="25">
        <v>2</v>
      </c>
      <c r="G723" s="25">
        <v>55</v>
      </c>
      <c r="H723" s="25">
        <v>5.5</v>
      </c>
      <c r="I723" s="25">
        <v>1.45</v>
      </c>
      <c r="J723" s="25">
        <v>1.57</v>
      </c>
      <c r="K723" s="26">
        <v>0</v>
      </c>
      <c r="L723" s="25">
        <f t="shared" si="88"/>
        <v>-0.83990747425771528</v>
      </c>
      <c r="M723" s="25">
        <f t="shared" si="94"/>
        <v>0.30155427134603735</v>
      </c>
      <c r="N723" s="25">
        <f t="shared" si="89"/>
        <v>0.69844572865396271</v>
      </c>
      <c r="O723" s="25">
        <f t="shared" si="90"/>
        <v>-0.35889780029157231</v>
      </c>
      <c r="P723" s="25">
        <f t="shared" si="91"/>
        <v>0</v>
      </c>
      <c r="Q723" s="25">
        <f t="shared" si="95"/>
        <v>511.35760627148466</v>
      </c>
      <c r="R723" s="25">
        <f t="shared" si="92"/>
        <v>7</v>
      </c>
      <c r="S723" s="26">
        <f t="shared" si="93"/>
        <v>13</v>
      </c>
    </row>
    <row r="724" spans="2:19" x14ac:dyDescent="0.3">
      <c r="B724" s="24">
        <v>315442</v>
      </c>
      <c r="C724" s="25">
        <v>37</v>
      </c>
      <c r="D724" s="25">
        <v>1</v>
      </c>
      <c r="E724" s="25">
        <v>16</v>
      </c>
      <c r="F724" s="25">
        <v>8</v>
      </c>
      <c r="G724" s="25">
        <v>43</v>
      </c>
      <c r="H724" s="25">
        <v>5.6</v>
      </c>
      <c r="I724" s="25">
        <v>0.64</v>
      </c>
      <c r="J724" s="25">
        <v>1.77</v>
      </c>
      <c r="K724" s="26">
        <v>0</v>
      </c>
      <c r="L724" s="25">
        <f t="shared" si="88"/>
        <v>-4.2194462153619527</v>
      </c>
      <c r="M724" s="25">
        <f t="shared" si="94"/>
        <v>1.4493631890819699E-2</v>
      </c>
      <c r="N724" s="25">
        <f t="shared" si="89"/>
        <v>0.98550636810918035</v>
      </c>
      <c r="O724" s="25">
        <f t="shared" si="90"/>
        <v>-1.4599690604881487E-2</v>
      </c>
      <c r="P724" s="25">
        <f t="shared" si="91"/>
        <v>0</v>
      </c>
      <c r="Q724" s="25">
        <f t="shared" si="95"/>
        <v>608.87047915343226</v>
      </c>
      <c r="R724" s="25">
        <f t="shared" si="92"/>
        <v>4</v>
      </c>
      <c r="S724" s="26">
        <f t="shared" si="93"/>
        <v>6</v>
      </c>
    </row>
    <row r="725" spans="2:19" x14ac:dyDescent="0.3">
      <c r="B725" s="24">
        <v>315481</v>
      </c>
      <c r="C725" s="25">
        <v>34</v>
      </c>
      <c r="D725" s="25">
        <v>2</v>
      </c>
      <c r="E725" s="25">
        <v>9</v>
      </c>
      <c r="F725" s="25">
        <v>3</v>
      </c>
      <c r="G725" s="25">
        <v>62</v>
      </c>
      <c r="H725" s="25">
        <v>8</v>
      </c>
      <c r="I725" s="25">
        <v>0.4</v>
      </c>
      <c r="J725" s="25">
        <v>4.5599999999999996</v>
      </c>
      <c r="K725" s="26">
        <v>0</v>
      </c>
      <c r="L725" s="25">
        <f t="shared" si="88"/>
        <v>-2.2617279433174731</v>
      </c>
      <c r="M725" s="25">
        <f t="shared" si="94"/>
        <v>9.4342626328886056E-2</v>
      </c>
      <c r="N725" s="25">
        <f t="shared" si="89"/>
        <v>0.90565737367111399</v>
      </c>
      <c r="O725" s="25">
        <f t="shared" si="90"/>
        <v>-9.9094219221209048E-2</v>
      </c>
      <c r="P725" s="25">
        <f t="shared" si="91"/>
        <v>0</v>
      </c>
      <c r="Q725" s="25">
        <f t="shared" si="95"/>
        <v>552.38267190368799</v>
      </c>
      <c r="R725" s="25">
        <f t="shared" si="92"/>
        <v>6</v>
      </c>
      <c r="S725" s="26">
        <f t="shared" si="93"/>
        <v>11</v>
      </c>
    </row>
    <row r="726" spans="2:19" x14ac:dyDescent="0.3">
      <c r="B726" s="24">
        <v>315507</v>
      </c>
      <c r="C726" s="25">
        <v>50</v>
      </c>
      <c r="D726" s="25">
        <v>4</v>
      </c>
      <c r="E726" s="25">
        <v>23</v>
      </c>
      <c r="F726" s="25">
        <v>11</v>
      </c>
      <c r="G726" s="25">
        <v>104</v>
      </c>
      <c r="H726" s="25">
        <v>4.8</v>
      </c>
      <c r="I726" s="25">
        <v>0.93</v>
      </c>
      <c r="J726" s="25">
        <v>4.0599999999999996</v>
      </c>
      <c r="K726" s="26">
        <v>0</v>
      </c>
      <c r="L726" s="25">
        <f t="shared" si="88"/>
        <v>-6.2131982667816574</v>
      </c>
      <c r="M726" s="25">
        <f t="shared" si="94"/>
        <v>1.9988183751209355E-3</v>
      </c>
      <c r="N726" s="25">
        <f t="shared" si="89"/>
        <v>0.99800118162487905</v>
      </c>
      <c r="O726" s="25">
        <f t="shared" si="90"/>
        <v>-2.0008186785092142E-3</v>
      </c>
      <c r="P726" s="25">
        <f t="shared" si="91"/>
        <v>0</v>
      </c>
      <c r="Q726" s="25">
        <f t="shared" si="95"/>
        <v>666.39800146989126</v>
      </c>
      <c r="R726" s="25">
        <f t="shared" si="92"/>
        <v>2</v>
      </c>
      <c r="S726" s="26">
        <f t="shared" si="93"/>
        <v>1</v>
      </c>
    </row>
    <row r="727" spans="2:19" x14ac:dyDescent="0.3">
      <c r="B727" s="24">
        <v>315508</v>
      </c>
      <c r="C727" s="25">
        <v>28</v>
      </c>
      <c r="D727" s="25">
        <v>3</v>
      </c>
      <c r="E727" s="25">
        <v>4</v>
      </c>
      <c r="F727" s="25">
        <v>2</v>
      </c>
      <c r="G727" s="25">
        <v>58</v>
      </c>
      <c r="H727" s="25">
        <v>12.6</v>
      </c>
      <c r="I727" s="25">
        <v>2.48</v>
      </c>
      <c r="J727" s="25">
        <v>4.83</v>
      </c>
      <c r="K727" s="26">
        <v>1</v>
      </c>
      <c r="L727" s="25">
        <f t="shared" si="88"/>
        <v>0.42777366669461542</v>
      </c>
      <c r="M727" s="25">
        <f t="shared" si="94"/>
        <v>0.60534191547576555</v>
      </c>
      <c r="N727" s="25">
        <f t="shared" si="89"/>
        <v>0.60534191547576555</v>
      </c>
      <c r="O727" s="25">
        <f t="shared" si="90"/>
        <v>-0.50196183104143777</v>
      </c>
      <c r="P727" s="25">
        <f t="shared" si="91"/>
        <v>1</v>
      </c>
      <c r="Q727" s="25">
        <f t="shared" si="95"/>
        <v>474.78006139856024</v>
      </c>
      <c r="R727" s="25">
        <f t="shared" si="92"/>
        <v>7</v>
      </c>
      <c r="S727" s="26">
        <f t="shared" si="93"/>
        <v>15</v>
      </c>
    </row>
    <row r="728" spans="2:19" x14ac:dyDescent="0.3">
      <c r="B728" s="24">
        <v>315514</v>
      </c>
      <c r="C728" s="25">
        <v>19</v>
      </c>
      <c r="D728" s="25">
        <v>2</v>
      </c>
      <c r="E728" s="25">
        <v>0</v>
      </c>
      <c r="F728" s="25">
        <v>0</v>
      </c>
      <c r="G728" s="25">
        <v>20</v>
      </c>
      <c r="H728" s="25">
        <v>3.1</v>
      </c>
      <c r="I728" s="25">
        <v>0.26</v>
      </c>
      <c r="J728" s="25">
        <v>0.36</v>
      </c>
      <c r="K728" s="26">
        <v>1</v>
      </c>
      <c r="L728" s="25">
        <f t="shared" si="88"/>
        <v>-0.47317769908625423</v>
      </c>
      <c r="M728" s="25">
        <f t="shared" si="94"/>
        <v>0.38386440115133313</v>
      </c>
      <c r="N728" s="25">
        <f t="shared" si="89"/>
        <v>0.38386440115133313</v>
      </c>
      <c r="O728" s="25">
        <f t="shared" si="90"/>
        <v>-0.95746591075840226</v>
      </c>
      <c r="P728" s="25">
        <f t="shared" si="91"/>
        <v>0</v>
      </c>
      <c r="Q728" s="25">
        <f t="shared" si="95"/>
        <v>500.77602201166485</v>
      </c>
      <c r="R728" s="25">
        <f t="shared" si="92"/>
        <v>7</v>
      </c>
      <c r="S728" s="26">
        <f t="shared" si="93"/>
        <v>14</v>
      </c>
    </row>
    <row r="729" spans="2:19" x14ac:dyDescent="0.3">
      <c r="B729" s="24">
        <v>315526</v>
      </c>
      <c r="C729" s="25">
        <v>25</v>
      </c>
      <c r="D729" s="25">
        <v>4</v>
      </c>
      <c r="E729" s="25">
        <v>0</v>
      </c>
      <c r="F729" s="25">
        <v>1</v>
      </c>
      <c r="G729" s="25">
        <v>31</v>
      </c>
      <c r="H729" s="25">
        <v>3.9</v>
      </c>
      <c r="I729" s="25">
        <v>0.37</v>
      </c>
      <c r="J729" s="25">
        <v>0.84</v>
      </c>
      <c r="K729" s="26">
        <v>1</v>
      </c>
      <c r="L729" s="25">
        <f t="shared" si="88"/>
        <v>-0.59588441017049276</v>
      </c>
      <c r="M729" s="25">
        <f t="shared" si="94"/>
        <v>0.35528583931762181</v>
      </c>
      <c r="N729" s="25">
        <f t="shared" si="89"/>
        <v>0.35528583931762181</v>
      </c>
      <c r="O729" s="25">
        <f t="shared" si="90"/>
        <v>-1.0348326323147861</v>
      </c>
      <c r="P729" s="25">
        <f t="shared" si="91"/>
        <v>0</v>
      </c>
      <c r="Q729" s="25">
        <f t="shared" si="95"/>
        <v>504.31658918261837</v>
      </c>
      <c r="R729" s="25">
        <f t="shared" si="92"/>
        <v>7</v>
      </c>
      <c r="S729" s="26">
        <f t="shared" si="93"/>
        <v>14</v>
      </c>
    </row>
    <row r="730" spans="2:19" x14ac:dyDescent="0.3">
      <c r="B730" s="24">
        <v>315544</v>
      </c>
      <c r="C730" s="25">
        <v>18</v>
      </c>
      <c r="D730" s="25">
        <v>2</v>
      </c>
      <c r="E730" s="25">
        <v>0</v>
      </c>
      <c r="F730" s="25">
        <v>0</v>
      </c>
      <c r="G730" s="25">
        <v>15</v>
      </c>
      <c r="H730" s="25">
        <v>12.2</v>
      </c>
      <c r="I730" s="25">
        <v>0.37</v>
      </c>
      <c r="J730" s="25">
        <v>1.46</v>
      </c>
      <c r="K730" s="26">
        <v>0</v>
      </c>
      <c r="L730" s="25">
        <f t="shared" si="88"/>
        <v>0.53366260581207192</v>
      </c>
      <c r="M730" s="25">
        <f t="shared" si="94"/>
        <v>0.63033695074071006</v>
      </c>
      <c r="N730" s="25">
        <f t="shared" si="89"/>
        <v>0.36966304925928994</v>
      </c>
      <c r="O730" s="25">
        <f t="shared" si="90"/>
        <v>-0.99516336594030197</v>
      </c>
      <c r="P730" s="25">
        <f t="shared" si="91"/>
        <v>1</v>
      </c>
      <c r="Q730" s="25">
        <f t="shared" si="95"/>
        <v>471.72475253815907</v>
      </c>
      <c r="R730" s="25">
        <f t="shared" si="92"/>
        <v>7</v>
      </c>
      <c r="S730" s="26">
        <f t="shared" si="93"/>
        <v>15</v>
      </c>
    </row>
    <row r="731" spans="2:19" x14ac:dyDescent="0.3">
      <c r="B731" s="24">
        <v>315548</v>
      </c>
      <c r="C731" s="25">
        <v>24</v>
      </c>
      <c r="D731" s="25">
        <v>4</v>
      </c>
      <c r="E731" s="25">
        <v>0</v>
      </c>
      <c r="F731" s="25">
        <v>2</v>
      </c>
      <c r="G731" s="25">
        <v>32</v>
      </c>
      <c r="H731" s="25">
        <v>5.6</v>
      </c>
      <c r="I731" s="25">
        <v>0.25</v>
      </c>
      <c r="J731" s="25">
        <v>1.54</v>
      </c>
      <c r="K731" s="26">
        <v>1</v>
      </c>
      <c r="L731" s="25">
        <f t="shared" si="88"/>
        <v>-0.47652871213395948</v>
      </c>
      <c r="M731" s="25">
        <f t="shared" si="94"/>
        <v>0.38307215366371666</v>
      </c>
      <c r="N731" s="25">
        <f t="shared" si="89"/>
        <v>0.38307215366371666</v>
      </c>
      <c r="O731" s="25">
        <f t="shared" si="90"/>
        <v>-0.95953191677791894</v>
      </c>
      <c r="P731" s="25">
        <f t="shared" si="91"/>
        <v>0</v>
      </c>
      <c r="Q731" s="25">
        <f t="shared" si="95"/>
        <v>500.87271180704204</v>
      </c>
      <c r="R731" s="25">
        <f t="shared" si="92"/>
        <v>7</v>
      </c>
      <c r="S731" s="26">
        <f t="shared" si="93"/>
        <v>14</v>
      </c>
    </row>
    <row r="732" spans="2:19" x14ac:dyDescent="0.3">
      <c r="B732" s="24">
        <v>315568</v>
      </c>
      <c r="C732" s="25">
        <v>30</v>
      </c>
      <c r="D732" s="25">
        <v>2</v>
      </c>
      <c r="E732" s="25">
        <v>5</v>
      </c>
      <c r="F732" s="25">
        <v>6</v>
      </c>
      <c r="G732" s="25">
        <v>26</v>
      </c>
      <c r="H732" s="25">
        <v>14.8</v>
      </c>
      <c r="I732" s="25">
        <v>0.97</v>
      </c>
      <c r="J732" s="25">
        <v>2.87</v>
      </c>
      <c r="K732" s="26">
        <v>1</v>
      </c>
      <c r="L732" s="25">
        <f t="shared" si="88"/>
        <v>-0.47106945162035035</v>
      </c>
      <c r="M732" s="25">
        <f t="shared" si="94"/>
        <v>0.38436315000815302</v>
      </c>
      <c r="N732" s="25">
        <f t="shared" si="89"/>
        <v>0.38436315000815302</v>
      </c>
      <c r="O732" s="25">
        <f t="shared" si="90"/>
        <v>-0.95616747014366732</v>
      </c>
      <c r="P732" s="25">
        <f t="shared" si="91"/>
        <v>0</v>
      </c>
      <c r="Q732" s="25">
        <f t="shared" si="95"/>
        <v>500.7151908501084</v>
      </c>
      <c r="R732" s="25">
        <f t="shared" si="92"/>
        <v>7</v>
      </c>
      <c r="S732" s="26">
        <f t="shared" si="93"/>
        <v>14</v>
      </c>
    </row>
    <row r="733" spans="2:19" x14ac:dyDescent="0.3">
      <c r="B733" s="24">
        <v>315609</v>
      </c>
      <c r="C733" s="25">
        <v>36</v>
      </c>
      <c r="D733" s="25">
        <v>2</v>
      </c>
      <c r="E733" s="25">
        <v>1</v>
      </c>
      <c r="F733" s="25">
        <v>4</v>
      </c>
      <c r="G733" s="25">
        <v>55</v>
      </c>
      <c r="H733" s="25">
        <v>19.600000000000001</v>
      </c>
      <c r="I733" s="25">
        <v>6.36</v>
      </c>
      <c r="J733" s="25">
        <v>4.42</v>
      </c>
      <c r="K733" s="26">
        <v>1</v>
      </c>
      <c r="L733" s="25">
        <f t="shared" si="88"/>
        <v>3.4464404833568292</v>
      </c>
      <c r="M733" s="25">
        <f t="shared" si="94"/>
        <v>0.9691248107673841</v>
      </c>
      <c r="N733" s="25">
        <f t="shared" si="89"/>
        <v>0.9691248107673841</v>
      </c>
      <c r="O733" s="25">
        <f t="shared" si="90"/>
        <v>-3.1361871704341827E-2</v>
      </c>
      <c r="P733" s="25">
        <f t="shared" si="91"/>
        <v>1</v>
      </c>
      <c r="Q733" s="25">
        <f t="shared" si="95"/>
        <v>387.6797509372704</v>
      </c>
      <c r="R733" s="25">
        <f t="shared" si="92"/>
        <v>8</v>
      </c>
      <c r="S733" s="26">
        <f t="shared" si="93"/>
        <v>17</v>
      </c>
    </row>
    <row r="734" spans="2:19" x14ac:dyDescent="0.3">
      <c r="B734" s="24">
        <v>315619</v>
      </c>
      <c r="C734" s="25">
        <v>32</v>
      </c>
      <c r="D734" s="25">
        <v>4</v>
      </c>
      <c r="E734" s="25">
        <v>0</v>
      </c>
      <c r="F734" s="25">
        <v>5</v>
      </c>
      <c r="G734" s="25">
        <v>38</v>
      </c>
      <c r="H734" s="25">
        <v>3.7</v>
      </c>
      <c r="I734" s="25">
        <v>0.18</v>
      </c>
      <c r="J734" s="25">
        <v>1.22</v>
      </c>
      <c r="K734" s="26">
        <v>1</v>
      </c>
      <c r="L734" s="25">
        <f t="shared" si="88"/>
        <v>-0.97622442196964121</v>
      </c>
      <c r="M734" s="25">
        <f t="shared" si="94"/>
        <v>0.27364158290269847</v>
      </c>
      <c r="N734" s="25">
        <f t="shared" si="89"/>
        <v>0.27364158290269847</v>
      </c>
      <c r="O734" s="25">
        <f t="shared" si="90"/>
        <v>-1.2959361204886957</v>
      </c>
      <c r="P734" s="25">
        <f t="shared" si="91"/>
        <v>0</v>
      </c>
      <c r="Q734" s="25">
        <f t="shared" si="95"/>
        <v>515.29088184906982</v>
      </c>
      <c r="R734" s="25">
        <f t="shared" si="92"/>
        <v>7</v>
      </c>
      <c r="S734" s="26">
        <f t="shared" si="93"/>
        <v>13</v>
      </c>
    </row>
    <row r="735" spans="2:19" x14ac:dyDescent="0.3">
      <c r="B735" s="24">
        <v>315633</v>
      </c>
      <c r="C735" s="25">
        <v>41</v>
      </c>
      <c r="D735" s="25">
        <v>4</v>
      </c>
      <c r="E735" s="25">
        <v>2</v>
      </c>
      <c r="F735" s="25">
        <v>7</v>
      </c>
      <c r="G735" s="25">
        <v>94</v>
      </c>
      <c r="H735" s="25">
        <v>7</v>
      </c>
      <c r="I735" s="25">
        <v>1.1599999999999999</v>
      </c>
      <c r="J735" s="25">
        <v>5.42</v>
      </c>
      <c r="K735" s="26">
        <v>0</v>
      </c>
      <c r="L735" s="25">
        <f t="shared" si="88"/>
        <v>-0.77727314790500546</v>
      </c>
      <c r="M735" s="25">
        <f t="shared" si="94"/>
        <v>0.31490788247157342</v>
      </c>
      <c r="N735" s="25">
        <f t="shared" si="89"/>
        <v>0.68509211752842658</v>
      </c>
      <c r="O735" s="25">
        <f t="shared" si="90"/>
        <v>-0.37820197161759833</v>
      </c>
      <c r="P735" s="25">
        <f t="shared" si="91"/>
        <v>0</v>
      </c>
      <c r="Q735" s="25">
        <f t="shared" si="95"/>
        <v>509.55036168233624</v>
      </c>
      <c r="R735" s="25">
        <f t="shared" si="92"/>
        <v>7</v>
      </c>
      <c r="S735" s="26">
        <f t="shared" si="93"/>
        <v>14</v>
      </c>
    </row>
    <row r="736" spans="2:19" x14ac:dyDescent="0.3">
      <c r="B736" s="24">
        <v>315665</v>
      </c>
      <c r="C736" s="25">
        <v>47</v>
      </c>
      <c r="D736" s="25">
        <v>2</v>
      </c>
      <c r="E736" s="25">
        <v>28</v>
      </c>
      <c r="F736" s="25">
        <v>11</v>
      </c>
      <c r="G736" s="25">
        <v>189</v>
      </c>
      <c r="H736" s="25">
        <v>3.2</v>
      </c>
      <c r="I736" s="25">
        <v>4.18</v>
      </c>
      <c r="J736" s="25">
        <v>1.87</v>
      </c>
      <c r="K736" s="26">
        <v>0</v>
      </c>
      <c r="L736" s="25">
        <f t="shared" si="88"/>
        <v>-5.8288420584228184</v>
      </c>
      <c r="M736" s="25">
        <f t="shared" si="94"/>
        <v>2.932854137273044E-3</v>
      </c>
      <c r="N736" s="25">
        <f t="shared" si="89"/>
        <v>0.99706714586272693</v>
      </c>
      <c r="O736" s="25">
        <f t="shared" si="90"/>
        <v>-2.9371633816208816E-3</v>
      </c>
      <c r="P736" s="25">
        <f t="shared" si="91"/>
        <v>0</v>
      </c>
      <c r="Q736" s="25">
        <f t="shared" si="95"/>
        <v>655.30782586952614</v>
      </c>
      <c r="R736" s="25">
        <f t="shared" si="92"/>
        <v>2</v>
      </c>
      <c r="S736" s="26">
        <f t="shared" si="93"/>
        <v>2</v>
      </c>
    </row>
    <row r="737" spans="2:19" x14ac:dyDescent="0.3">
      <c r="B737" s="24">
        <v>315677</v>
      </c>
      <c r="C737" s="25">
        <v>57</v>
      </c>
      <c r="D737" s="25">
        <v>1</v>
      </c>
      <c r="E737" s="25">
        <v>26</v>
      </c>
      <c r="F737" s="25">
        <v>22</v>
      </c>
      <c r="G737" s="25">
        <v>78</v>
      </c>
      <c r="H737" s="25">
        <v>5.8</v>
      </c>
      <c r="I737" s="25">
        <v>1.24</v>
      </c>
      <c r="J737" s="25">
        <v>3.28</v>
      </c>
      <c r="K737" s="26">
        <v>0</v>
      </c>
      <c r="L737" s="25">
        <f t="shared" si="88"/>
        <v>-7.0200939896345815</v>
      </c>
      <c r="M737" s="25">
        <f t="shared" si="94"/>
        <v>8.9294342588059109E-4</v>
      </c>
      <c r="N737" s="25">
        <f t="shared" si="89"/>
        <v>0.99910705657411936</v>
      </c>
      <c r="O737" s="25">
        <f t="shared" si="90"/>
        <v>-8.9334233734948329E-4</v>
      </c>
      <c r="P737" s="25">
        <f t="shared" si="91"/>
        <v>0</v>
      </c>
      <c r="Q737" s="25">
        <f t="shared" si="95"/>
        <v>689.68008996751723</v>
      </c>
      <c r="R737" s="25">
        <f t="shared" si="92"/>
        <v>1</v>
      </c>
      <c r="S737" s="26">
        <f t="shared" si="93"/>
        <v>1</v>
      </c>
    </row>
    <row r="738" spans="2:19" x14ac:dyDescent="0.3">
      <c r="B738" s="24">
        <v>315731</v>
      </c>
      <c r="C738" s="25">
        <v>26</v>
      </c>
      <c r="D738" s="25">
        <v>1</v>
      </c>
      <c r="E738" s="25">
        <v>4</v>
      </c>
      <c r="F738" s="25">
        <v>3</v>
      </c>
      <c r="G738" s="25">
        <v>34</v>
      </c>
      <c r="H738" s="25">
        <v>19</v>
      </c>
      <c r="I738" s="25">
        <v>0.67</v>
      </c>
      <c r="J738" s="25">
        <v>5.79</v>
      </c>
      <c r="K738" s="26">
        <v>1</v>
      </c>
      <c r="L738" s="25">
        <f t="shared" si="88"/>
        <v>0.34421350790841038</v>
      </c>
      <c r="M738" s="25">
        <f t="shared" si="94"/>
        <v>0.58521366992016799</v>
      </c>
      <c r="N738" s="25">
        <f t="shared" si="89"/>
        <v>0.58521366992016799</v>
      </c>
      <c r="O738" s="25">
        <f t="shared" si="90"/>
        <v>-0.53577825071021101</v>
      </c>
      <c r="P738" s="25">
        <f t="shared" si="91"/>
        <v>1</v>
      </c>
      <c r="Q738" s="25">
        <f t="shared" si="95"/>
        <v>477.19109786416152</v>
      </c>
      <c r="R738" s="25">
        <f t="shared" si="92"/>
        <v>7</v>
      </c>
      <c r="S738" s="26">
        <f t="shared" si="93"/>
        <v>15</v>
      </c>
    </row>
    <row r="739" spans="2:19" x14ac:dyDescent="0.3">
      <c r="B739" s="24">
        <v>315743</v>
      </c>
      <c r="C739" s="25">
        <v>34</v>
      </c>
      <c r="D739" s="25">
        <v>4</v>
      </c>
      <c r="E739" s="25">
        <v>6</v>
      </c>
      <c r="F739" s="25">
        <v>5</v>
      </c>
      <c r="G739" s="25">
        <v>65</v>
      </c>
      <c r="H739" s="25">
        <v>14.4</v>
      </c>
      <c r="I739" s="25">
        <v>4.9800000000000004</v>
      </c>
      <c r="J739" s="25">
        <v>4.38</v>
      </c>
      <c r="K739" s="26">
        <v>1</v>
      </c>
      <c r="L739" s="25">
        <f t="shared" si="88"/>
        <v>1.0484168249473302</v>
      </c>
      <c r="M739" s="25">
        <f t="shared" si="94"/>
        <v>0.74047077025014985</v>
      </c>
      <c r="N739" s="25">
        <f t="shared" si="89"/>
        <v>0.74047077025014985</v>
      </c>
      <c r="O739" s="25">
        <f t="shared" si="90"/>
        <v>-0.30046911904438239</v>
      </c>
      <c r="P739" s="25">
        <f t="shared" si="91"/>
        <v>1</v>
      </c>
      <c r="Q739" s="25">
        <f t="shared" si="95"/>
        <v>456.87208577465219</v>
      </c>
      <c r="R739" s="25">
        <f t="shared" si="92"/>
        <v>8</v>
      </c>
      <c r="S739" s="26">
        <f t="shared" si="93"/>
        <v>16</v>
      </c>
    </row>
    <row r="740" spans="2:19" x14ac:dyDescent="0.3">
      <c r="B740" s="24">
        <v>315748</v>
      </c>
      <c r="C740" s="25">
        <v>33</v>
      </c>
      <c r="D740" s="25">
        <v>2</v>
      </c>
      <c r="E740" s="25">
        <v>0</v>
      </c>
      <c r="F740" s="25">
        <v>7</v>
      </c>
      <c r="G740" s="25">
        <v>64</v>
      </c>
      <c r="H740" s="25">
        <v>10.6</v>
      </c>
      <c r="I740" s="25">
        <v>2.69</v>
      </c>
      <c r="J740" s="25">
        <v>4.0999999999999996</v>
      </c>
      <c r="K740" s="26">
        <v>0</v>
      </c>
      <c r="L740" s="25">
        <f t="shared" si="88"/>
        <v>0.99848484068064658</v>
      </c>
      <c r="M740" s="25">
        <f t="shared" si="94"/>
        <v>0.73076057595614596</v>
      </c>
      <c r="N740" s="25">
        <f t="shared" si="89"/>
        <v>0.26923942404385404</v>
      </c>
      <c r="O740" s="25">
        <f t="shared" si="90"/>
        <v>-1.3121542430342541</v>
      </c>
      <c r="P740" s="25">
        <f t="shared" si="91"/>
        <v>1</v>
      </c>
      <c r="Q740" s="25">
        <f t="shared" si="95"/>
        <v>458.31281825548467</v>
      </c>
      <c r="R740" s="25">
        <f t="shared" si="92"/>
        <v>8</v>
      </c>
      <c r="S740" s="26">
        <f t="shared" si="93"/>
        <v>16</v>
      </c>
    </row>
    <row r="741" spans="2:19" x14ac:dyDescent="0.3">
      <c r="B741" s="24">
        <v>315754</v>
      </c>
      <c r="C741" s="25">
        <v>53</v>
      </c>
      <c r="D741" s="25">
        <v>5</v>
      </c>
      <c r="E741" s="25">
        <v>9</v>
      </c>
      <c r="F741" s="25">
        <v>11</v>
      </c>
      <c r="G741" s="25">
        <v>97</v>
      </c>
      <c r="H741" s="25">
        <v>22.3</v>
      </c>
      <c r="I741" s="25">
        <v>9.2100000000000009</v>
      </c>
      <c r="J741" s="25">
        <v>12.42</v>
      </c>
      <c r="K741" s="26">
        <v>1</v>
      </c>
      <c r="L741" s="25">
        <f t="shared" si="88"/>
        <v>2.7105444903729783</v>
      </c>
      <c r="M741" s="25">
        <f t="shared" si="94"/>
        <v>0.9376459903740465</v>
      </c>
      <c r="N741" s="25">
        <f t="shared" si="89"/>
        <v>0.9376459903740465</v>
      </c>
      <c r="O741" s="25">
        <f t="shared" si="90"/>
        <v>-6.438281019549956E-2</v>
      </c>
      <c r="P741" s="25">
        <f t="shared" si="91"/>
        <v>1</v>
      </c>
      <c r="Q741" s="25">
        <f t="shared" si="95"/>
        <v>408.91322032922716</v>
      </c>
      <c r="R741" s="25">
        <f t="shared" si="92"/>
        <v>8</v>
      </c>
      <c r="S741" s="26">
        <f t="shared" si="93"/>
        <v>17</v>
      </c>
    </row>
    <row r="742" spans="2:19" x14ac:dyDescent="0.3">
      <c r="B742" s="24">
        <v>315771</v>
      </c>
      <c r="C742" s="25">
        <v>61</v>
      </c>
      <c r="D742" s="25">
        <v>2</v>
      </c>
      <c r="E742" s="25">
        <v>20</v>
      </c>
      <c r="F742" s="25">
        <v>17</v>
      </c>
      <c r="G742" s="25">
        <v>91</v>
      </c>
      <c r="H742" s="25">
        <v>4.3</v>
      </c>
      <c r="I742" s="25">
        <v>1.26</v>
      </c>
      <c r="J742" s="25">
        <v>2.65</v>
      </c>
      <c r="K742" s="26">
        <v>0</v>
      </c>
      <c r="L742" s="25">
        <f t="shared" si="88"/>
        <v>-5.7924941817750311</v>
      </c>
      <c r="M742" s="25">
        <f t="shared" si="94"/>
        <v>3.0410880896719747E-3</v>
      </c>
      <c r="N742" s="25">
        <f t="shared" si="89"/>
        <v>0.99695891191032804</v>
      </c>
      <c r="O742" s="25">
        <f t="shared" si="90"/>
        <v>-3.0457215943716877E-3</v>
      </c>
      <c r="P742" s="25">
        <f t="shared" si="91"/>
        <v>0</v>
      </c>
      <c r="Q742" s="25">
        <f t="shared" si="95"/>
        <v>654.25904787151853</v>
      </c>
      <c r="R742" s="25">
        <f t="shared" si="92"/>
        <v>2</v>
      </c>
      <c r="S742" s="26">
        <f t="shared" si="93"/>
        <v>2</v>
      </c>
    </row>
    <row r="743" spans="2:19" x14ac:dyDescent="0.3">
      <c r="B743" s="24">
        <v>315800</v>
      </c>
      <c r="C743" s="25">
        <v>18</v>
      </c>
      <c r="D743" s="25">
        <v>2</v>
      </c>
      <c r="E743" s="25">
        <v>0</v>
      </c>
      <c r="F743" s="25">
        <v>0</v>
      </c>
      <c r="G743" s="25">
        <v>14</v>
      </c>
      <c r="H743" s="25">
        <v>4.3</v>
      </c>
      <c r="I743" s="25">
        <v>0.15</v>
      </c>
      <c r="J743" s="25">
        <v>0.45</v>
      </c>
      <c r="K743" s="26">
        <v>0</v>
      </c>
      <c r="L743" s="25">
        <f t="shared" si="88"/>
        <v>-0.38320235089291521</v>
      </c>
      <c r="M743" s="25">
        <f t="shared" si="94"/>
        <v>0.40535476174434559</v>
      </c>
      <c r="N743" s="25">
        <f t="shared" si="89"/>
        <v>0.59464523825565441</v>
      </c>
      <c r="O743" s="25">
        <f t="shared" si="90"/>
        <v>-0.51979028948299499</v>
      </c>
      <c r="P743" s="25">
        <f t="shared" si="91"/>
        <v>1</v>
      </c>
      <c r="Q743" s="25">
        <f t="shared" si="95"/>
        <v>498.17988231242907</v>
      </c>
      <c r="R743" s="25">
        <f t="shared" si="92"/>
        <v>7</v>
      </c>
      <c r="S743" s="26">
        <f t="shared" si="93"/>
        <v>14</v>
      </c>
    </row>
    <row r="744" spans="2:19" x14ac:dyDescent="0.3">
      <c r="B744" s="24">
        <v>315812</v>
      </c>
      <c r="C744" s="25">
        <v>21</v>
      </c>
      <c r="D744" s="25">
        <v>3</v>
      </c>
      <c r="E744" s="25">
        <v>0</v>
      </c>
      <c r="F744" s="25">
        <v>1</v>
      </c>
      <c r="G744" s="25">
        <v>18</v>
      </c>
      <c r="H744" s="25">
        <v>12.1</v>
      </c>
      <c r="I744" s="25">
        <v>0.59</v>
      </c>
      <c r="J744" s="25">
        <v>1.59</v>
      </c>
      <c r="K744" s="26">
        <v>0</v>
      </c>
      <c r="L744" s="25">
        <f t="shared" si="88"/>
        <v>0.48105580263121911</v>
      </c>
      <c r="M744" s="25">
        <f t="shared" si="94"/>
        <v>0.61799715617254936</v>
      </c>
      <c r="N744" s="25">
        <f t="shared" si="89"/>
        <v>0.38200284382745064</v>
      </c>
      <c r="O744" s="25">
        <f t="shared" si="90"/>
        <v>-0.96232722582879449</v>
      </c>
      <c r="P744" s="25">
        <f t="shared" si="91"/>
        <v>1</v>
      </c>
      <c r="Q744" s="25">
        <f t="shared" si="95"/>
        <v>473.24266397645908</v>
      </c>
      <c r="R744" s="25">
        <f t="shared" si="92"/>
        <v>7</v>
      </c>
      <c r="S744" s="26">
        <f t="shared" si="93"/>
        <v>15</v>
      </c>
    </row>
    <row r="745" spans="2:19" x14ac:dyDescent="0.3">
      <c r="B745" s="24">
        <v>315821</v>
      </c>
      <c r="C745" s="25">
        <v>28</v>
      </c>
      <c r="D745" s="25">
        <v>1</v>
      </c>
      <c r="E745" s="25">
        <v>7</v>
      </c>
      <c r="F745" s="25">
        <v>2</v>
      </c>
      <c r="G745" s="25">
        <v>52</v>
      </c>
      <c r="H745" s="25">
        <v>22.1</v>
      </c>
      <c r="I745" s="25">
        <v>6.78</v>
      </c>
      <c r="J745" s="25">
        <v>4.71</v>
      </c>
      <c r="K745" s="26">
        <v>1</v>
      </c>
      <c r="L745" s="25">
        <f t="shared" si="88"/>
        <v>2.8350089792458468</v>
      </c>
      <c r="M745" s="25">
        <f t="shared" si="94"/>
        <v>0.94453858471617291</v>
      </c>
      <c r="N745" s="25">
        <f t="shared" si="89"/>
        <v>0.94453858471617291</v>
      </c>
      <c r="O745" s="25">
        <f t="shared" si="90"/>
        <v>-5.7058740872692533E-2</v>
      </c>
      <c r="P745" s="25">
        <f t="shared" si="91"/>
        <v>1</v>
      </c>
      <c r="Q745" s="25">
        <f t="shared" si="95"/>
        <v>405.32193441373829</v>
      </c>
      <c r="R745" s="25">
        <f t="shared" si="92"/>
        <v>8</v>
      </c>
      <c r="S745" s="26">
        <f t="shared" si="93"/>
        <v>17</v>
      </c>
    </row>
    <row r="746" spans="2:19" x14ac:dyDescent="0.3">
      <c r="B746" s="24">
        <v>315831</v>
      </c>
      <c r="C746" s="25">
        <v>34</v>
      </c>
      <c r="D746" s="25">
        <v>2</v>
      </c>
      <c r="E746" s="25">
        <v>4</v>
      </c>
      <c r="F746" s="25">
        <v>8</v>
      </c>
      <c r="G746" s="25">
        <v>49</v>
      </c>
      <c r="H746" s="25">
        <v>3.1</v>
      </c>
      <c r="I746" s="25">
        <v>0.04</v>
      </c>
      <c r="J746" s="25">
        <v>1.48</v>
      </c>
      <c r="K746" s="26">
        <v>0</v>
      </c>
      <c r="L746" s="25">
        <f t="shared" si="88"/>
        <v>-2.0324177448503438</v>
      </c>
      <c r="M746" s="25">
        <f t="shared" si="94"/>
        <v>0.11584106193146539</v>
      </c>
      <c r="N746" s="25">
        <f t="shared" si="89"/>
        <v>0.88415893806853463</v>
      </c>
      <c r="O746" s="25">
        <f t="shared" si="90"/>
        <v>-0.12311843831035793</v>
      </c>
      <c r="P746" s="25">
        <f t="shared" si="91"/>
        <v>0</v>
      </c>
      <c r="Q746" s="25">
        <f t="shared" si="95"/>
        <v>545.76617836813728</v>
      </c>
      <c r="R746" s="25">
        <f t="shared" si="92"/>
        <v>6</v>
      </c>
      <c r="S746" s="26">
        <f t="shared" si="93"/>
        <v>11</v>
      </c>
    </row>
    <row r="747" spans="2:19" x14ac:dyDescent="0.3">
      <c r="B747" s="24">
        <v>315838</v>
      </c>
      <c r="C747" s="25">
        <v>20</v>
      </c>
      <c r="D747" s="25">
        <v>1</v>
      </c>
      <c r="E747" s="25">
        <v>2</v>
      </c>
      <c r="F747" s="25">
        <v>0</v>
      </c>
      <c r="G747" s="25">
        <v>16</v>
      </c>
      <c r="H747" s="25">
        <v>4.7</v>
      </c>
      <c r="I747" s="25">
        <v>0.25</v>
      </c>
      <c r="J747" s="25">
        <v>0.5</v>
      </c>
      <c r="K747" s="26">
        <v>0</v>
      </c>
      <c r="L747" s="25">
        <f t="shared" si="88"/>
        <v>-0.73654490064004063</v>
      </c>
      <c r="M747" s="25">
        <f t="shared" si="94"/>
        <v>0.323760140430638</v>
      </c>
      <c r="N747" s="25">
        <f t="shared" si="89"/>
        <v>0.67623985956936195</v>
      </c>
      <c r="O747" s="25">
        <f t="shared" si="90"/>
        <v>-0.39120744402538982</v>
      </c>
      <c r="P747" s="25">
        <f t="shared" si="91"/>
        <v>0</v>
      </c>
      <c r="Q747" s="25">
        <f t="shared" si="95"/>
        <v>508.37519290857767</v>
      </c>
      <c r="R747" s="25">
        <f t="shared" si="92"/>
        <v>7</v>
      </c>
      <c r="S747" s="26">
        <f t="shared" si="93"/>
        <v>14</v>
      </c>
    </row>
    <row r="748" spans="2:19" x14ac:dyDescent="0.3">
      <c r="B748" s="24">
        <v>315857</v>
      </c>
      <c r="C748" s="25">
        <v>34</v>
      </c>
      <c r="D748" s="25">
        <v>1</v>
      </c>
      <c r="E748" s="25">
        <v>11</v>
      </c>
      <c r="F748" s="25">
        <v>6</v>
      </c>
      <c r="G748" s="25">
        <v>54</v>
      </c>
      <c r="H748" s="25">
        <v>10.6</v>
      </c>
      <c r="I748" s="25">
        <v>3.12</v>
      </c>
      <c r="J748" s="25">
        <v>2.6</v>
      </c>
      <c r="K748" s="26">
        <v>0</v>
      </c>
      <c r="L748" s="25">
        <f t="shared" si="88"/>
        <v>-1.2620088674687322</v>
      </c>
      <c r="M748" s="25">
        <f t="shared" si="94"/>
        <v>0.22062827071870389</v>
      </c>
      <c r="N748" s="25">
        <f t="shared" si="89"/>
        <v>0.77937172928129606</v>
      </c>
      <c r="O748" s="25">
        <f t="shared" si="90"/>
        <v>-0.24926715914840314</v>
      </c>
      <c r="P748" s="25">
        <f t="shared" si="91"/>
        <v>0</v>
      </c>
      <c r="Q748" s="25">
        <f t="shared" si="95"/>
        <v>523.536877661056</v>
      </c>
      <c r="R748" s="25">
        <f t="shared" si="92"/>
        <v>6</v>
      </c>
      <c r="S748" s="26">
        <f t="shared" si="93"/>
        <v>13</v>
      </c>
    </row>
    <row r="749" spans="2:19" x14ac:dyDescent="0.3">
      <c r="B749" s="24">
        <v>315892</v>
      </c>
      <c r="C749" s="25">
        <v>22</v>
      </c>
      <c r="D749" s="25">
        <v>3</v>
      </c>
      <c r="E749" s="25">
        <v>0</v>
      </c>
      <c r="F749" s="25">
        <v>1</v>
      </c>
      <c r="G749" s="25">
        <v>14</v>
      </c>
      <c r="H749" s="25">
        <v>2.5</v>
      </c>
      <c r="I749" s="25">
        <v>0.26</v>
      </c>
      <c r="J749" s="25">
        <v>0.09</v>
      </c>
      <c r="K749" s="26">
        <v>0</v>
      </c>
      <c r="L749" s="25">
        <f t="shared" si="88"/>
        <v>-0.69186233219458315</v>
      </c>
      <c r="M749" s="25">
        <f t="shared" si="94"/>
        <v>0.33361891630815155</v>
      </c>
      <c r="N749" s="25">
        <f t="shared" si="89"/>
        <v>0.66638108369184845</v>
      </c>
      <c r="O749" s="25">
        <f t="shared" si="90"/>
        <v>-0.40589357434894296</v>
      </c>
      <c r="P749" s="25">
        <f t="shared" si="91"/>
        <v>0</v>
      </c>
      <c r="Q749" s="25">
        <f t="shared" si="95"/>
        <v>507.08592654690926</v>
      </c>
      <c r="R749" s="25">
        <f t="shared" si="92"/>
        <v>7</v>
      </c>
      <c r="S749" s="26">
        <f t="shared" si="93"/>
        <v>14</v>
      </c>
    </row>
    <row r="750" spans="2:19" x14ac:dyDescent="0.3">
      <c r="B750" s="24">
        <v>315898</v>
      </c>
      <c r="C750" s="25">
        <v>34</v>
      </c>
      <c r="D750" s="25">
        <v>2</v>
      </c>
      <c r="E750" s="25">
        <v>8</v>
      </c>
      <c r="F750" s="25">
        <v>7</v>
      </c>
      <c r="G750" s="25">
        <v>30</v>
      </c>
      <c r="H750" s="25">
        <v>24.3</v>
      </c>
      <c r="I750" s="25">
        <v>0.21</v>
      </c>
      <c r="J750" s="25">
        <v>7.08</v>
      </c>
      <c r="K750" s="26">
        <v>0</v>
      </c>
      <c r="L750" s="25">
        <f t="shared" si="88"/>
        <v>-0.57564257773938454</v>
      </c>
      <c r="M750" s="25">
        <f t="shared" si="94"/>
        <v>0.35993585157558472</v>
      </c>
      <c r="N750" s="25">
        <f t="shared" si="89"/>
        <v>0.64006414842441528</v>
      </c>
      <c r="O750" s="25">
        <f t="shared" si="90"/>
        <v>-0.44618687573815319</v>
      </c>
      <c r="P750" s="25">
        <f t="shared" si="91"/>
        <v>0</v>
      </c>
      <c r="Q750" s="25">
        <f t="shared" si="95"/>
        <v>503.73253337383443</v>
      </c>
      <c r="R750" s="25">
        <f t="shared" si="92"/>
        <v>7</v>
      </c>
      <c r="S750" s="26">
        <f t="shared" si="93"/>
        <v>14</v>
      </c>
    </row>
    <row r="751" spans="2:19" x14ac:dyDescent="0.3">
      <c r="B751" s="24">
        <v>315931</v>
      </c>
      <c r="C751" s="25">
        <v>18</v>
      </c>
      <c r="D751" s="25">
        <v>2</v>
      </c>
      <c r="E751" s="25">
        <v>0</v>
      </c>
      <c r="F751" s="25">
        <v>0</v>
      </c>
      <c r="G751" s="25">
        <v>18</v>
      </c>
      <c r="H751" s="25">
        <v>13.1</v>
      </c>
      <c r="I751" s="25">
        <v>0.92</v>
      </c>
      <c r="J751" s="25">
        <v>1.44</v>
      </c>
      <c r="K751" s="26">
        <v>1</v>
      </c>
      <c r="L751" s="25">
        <f t="shared" si="88"/>
        <v>0.8840352860755929</v>
      </c>
      <c r="M751" s="25">
        <f t="shared" si="94"/>
        <v>0.7076577330697692</v>
      </c>
      <c r="N751" s="25">
        <f t="shared" si="89"/>
        <v>0.7076577330697692</v>
      </c>
      <c r="O751" s="25">
        <f t="shared" si="90"/>
        <v>-0.34579473004489958</v>
      </c>
      <c r="P751" s="25">
        <f t="shared" si="91"/>
        <v>1</v>
      </c>
      <c r="Q751" s="25">
        <f t="shared" si="95"/>
        <v>461.61513425910346</v>
      </c>
      <c r="R751" s="25">
        <f t="shared" si="92"/>
        <v>8</v>
      </c>
      <c r="S751" s="26">
        <f t="shared" si="93"/>
        <v>16</v>
      </c>
    </row>
    <row r="752" spans="2:19" x14ac:dyDescent="0.3">
      <c r="B752" s="24">
        <v>315948</v>
      </c>
      <c r="C752" s="25">
        <v>41</v>
      </c>
      <c r="D752" s="25">
        <v>2</v>
      </c>
      <c r="E752" s="25">
        <v>21</v>
      </c>
      <c r="F752" s="25">
        <v>9</v>
      </c>
      <c r="G752" s="25">
        <v>64</v>
      </c>
      <c r="H752" s="25">
        <v>0.3</v>
      </c>
      <c r="I752" s="25">
        <v>0.12</v>
      </c>
      <c r="J752" s="25">
        <v>7.0000000000000007E-2</v>
      </c>
      <c r="K752" s="26">
        <v>0</v>
      </c>
      <c r="L752" s="25">
        <f t="shared" si="88"/>
        <v>-6.3355091778767756</v>
      </c>
      <c r="M752" s="25">
        <f t="shared" si="94"/>
        <v>1.7691079322396915E-3</v>
      </c>
      <c r="N752" s="25">
        <f t="shared" si="89"/>
        <v>0.99823089206776028</v>
      </c>
      <c r="O752" s="25">
        <f t="shared" si="90"/>
        <v>-1.7706746517476214E-3</v>
      </c>
      <c r="P752" s="25">
        <f t="shared" si="91"/>
        <v>0</v>
      </c>
      <c r="Q752" s="25">
        <f t="shared" si="95"/>
        <v>669.92714826753866</v>
      </c>
      <c r="R752" s="25">
        <f t="shared" si="92"/>
        <v>2</v>
      </c>
      <c r="S752" s="26">
        <f t="shared" si="93"/>
        <v>1</v>
      </c>
    </row>
    <row r="753" spans="2:19" x14ac:dyDescent="0.3">
      <c r="B753" s="24">
        <v>315970</v>
      </c>
      <c r="C753" s="25">
        <v>46</v>
      </c>
      <c r="D753" s="25">
        <v>1</v>
      </c>
      <c r="E753" s="25">
        <v>4</v>
      </c>
      <c r="F753" s="25">
        <v>7</v>
      </c>
      <c r="G753" s="25">
        <v>67</v>
      </c>
      <c r="H753" s="25">
        <v>3.4</v>
      </c>
      <c r="I753" s="25">
        <v>0.76</v>
      </c>
      <c r="J753" s="25">
        <v>1.52</v>
      </c>
      <c r="K753" s="26">
        <v>0</v>
      </c>
      <c r="L753" s="25">
        <f t="shared" si="88"/>
        <v>-1.8296565288200772</v>
      </c>
      <c r="M753" s="25">
        <f t="shared" si="94"/>
        <v>0.13827919544719305</v>
      </c>
      <c r="N753" s="25">
        <f t="shared" si="89"/>
        <v>0.86172080455280697</v>
      </c>
      <c r="O753" s="25">
        <f t="shared" si="90"/>
        <v>-0.14882395341314511</v>
      </c>
      <c r="P753" s="25">
        <f t="shared" si="91"/>
        <v>0</v>
      </c>
      <c r="Q753" s="25">
        <f t="shared" si="95"/>
        <v>539.91572651692161</v>
      </c>
      <c r="R753" s="25">
        <f t="shared" si="92"/>
        <v>6</v>
      </c>
      <c r="S753" s="26">
        <f t="shared" si="93"/>
        <v>12</v>
      </c>
    </row>
    <row r="754" spans="2:19" x14ac:dyDescent="0.3">
      <c r="B754" s="24">
        <v>316013</v>
      </c>
      <c r="C754" s="25">
        <v>21</v>
      </c>
      <c r="D754" s="25">
        <v>2</v>
      </c>
      <c r="E754" s="25">
        <v>0</v>
      </c>
      <c r="F754" s="25">
        <v>1</v>
      </c>
      <c r="G754" s="25">
        <v>20</v>
      </c>
      <c r="H754" s="25">
        <v>2.2000000000000002</v>
      </c>
      <c r="I754" s="25">
        <v>0.1</v>
      </c>
      <c r="J754" s="25">
        <v>0.34</v>
      </c>
      <c r="K754" s="26">
        <v>0</v>
      </c>
      <c r="L754" s="25">
        <f t="shared" si="88"/>
        <v>-0.71491544908348115</v>
      </c>
      <c r="M754" s="25">
        <f t="shared" si="94"/>
        <v>0.32851361679547558</v>
      </c>
      <c r="N754" s="25">
        <f t="shared" si="89"/>
        <v>0.67148638320452436</v>
      </c>
      <c r="O754" s="25">
        <f t="shared" si="90"/>
        <v>-0.3982615414008841</v>
      </c>
      <c r="P754" s="25">
        <f t="shared" si="91"/>
        <v>0</v>
      </c>
      <c r="Q754" s="25">
        <f t="shared" si="95"/>
        <v>507.75109887630987</v>
      </c>
      <c r="R754" s="25">
        <f t="shared" si="92"/>
        <v>7</v>
      </c>
      <c r="S754" s="26">
        <f t="shared" si="93"/>
        <v>14</v>
      </c>
    </row>
    <row r="755" spans="2:19" x14ac:dyDescent="0.3">
      <c r="B755" s="24">
        <v>316027</v>
      </c>
      <c r="C755" s="25">
        <v>51</v>
      </c>
      <c r="D755" s="25">
        <v>2</v>
      </c>
      <c r="E755" s="25">
        <v>19</v>
      </c>
      <c r="F755" s="25">
        <v>16</v>
      </c>
      <c r="G755" s="25">
        <v>47</v>
      </c>
      <c r="H755" s="25">
        <v>22.7</v>
      </c>
      <c r="I755" s="25">
        <v>3.28</v>
      </c>
      <c r="J755" s="25">
        <v>7.39</v>
      </c>
      <c r="K755" s="26">
        <v>0</v>
      </c>
      <c r="L755" s="25">
        <f t="shared" si="88"/>
        <v>-2.4182026989468461</v>
      </c>
      <c r="M755" s="25">
        <f t="shared" si="94"/>
        <v>8.1795139788056845E-2</v>
      </c>
      <c r="N755" s="25">
        <f t="shared" si="89"/>
        <v>0.91820486021194314</v>
      </c>
      <c r="O755" s="25">
        <f t="shared" si="90"/>
        <v>-8.5334753985703948E-2</v>
      </c>
      <c r="P755" s="25">
        <f t="shared" si="91"/>
        <v>0</v>
      </c>
      <c r="Q755" s="25">
        <f t="shared" si="95"/>
        <v>556.89757885514246</v>
      </c>
      <c r="R755" s="25">
        <f t="shared" si="92"/>
        <v>5</v>
      </c>
      <c r="S755" s="26">
        <f t="shared" si="93"/>
        <v>10</v>
      </c>
    </row>
    <row r="756" spans="2:19" x14ac:dyDescent="0.3">
      <c r="B756" s="24">
        <v>316033</v>
      </c>
      <c r="C756" s="25">
        <v>27</v>
      </c>
      <c r="D756" s="25">
        <v>5</v>
      </c>
      <c r="E756" s="25">
        <v>0</v>
      </c>
      <c r="F756" s="25">
        <v>3</v>
      </c>
      <c r="G756" s="25">
        <v>25</v>
      </c>
      <c r="H756" s="25">
        <v>22.9</v>
      </c>
      <c r="I756" s="25">
        <v>1.0900000000000001</v>
      </c>
      <c r="J756" s="25">
        <v>4.6399999999999997</v>
      </c>
      <c r="K756" s="26">
        <v>1</v>
      </c>
      <c r="L756" s="25">
        <f t="shared" si="88"/>
        <v>1.5705004345578739</v>
      </c>
      <c r="M756" s="25">
        <f t="shared" si="94"/>
        <v>0.82785493746693861</v>
      </c>
      <c r="N756" s="25">
        <f t="shared" si="89"/>
        <v>0.82785493746693861</v>
      </c>
      <c r="O756" s="25">
        <f t="shared" si="90"/>
        <v>-0.188917336241509</v>
      </c>
      <c r="P756" s="25">
        <f t="shared" si="91"/>
        <v>1</v>
      </c>
      <c r="Q756" s="25">
        <f t="shared" si="95"/>
        <v>441.80793751131057</v>
      </c>
      <c r="R756" s="25">
        <f t="shared" si="92"/>
        <v>8</v>
      </c>
      <c r="S756" s="26">
        <f t="shared" si="93"/>
        <v>16</v>
      </c>
    </row>
    <row r="757" spans="2:19" x14ac:dyDescent="0.3">
      <c r="B757" s="24">
        <v>316060</v>
      </c>
      <c r="C757" s="25">
        <v>35</v>
      </c>
      <c r="D757" s="25">
        <v>2</v>
      </c>
      <c r="E757" s="25">
        <v>15</v>
      </c>
      <c r="F757" s="25">
        <v>3</v>
      </c>
      <c r="G757" s="25">
        <v>30</v>
      </c>
      <c r="H757" s="25">
        <v>21.3</v>
      </c>
      <c r="I757" s="25">
        <v>1.28</v>
      </c>
      <c r="J757" s="25">
        <v>5.1100000000000003</v>
      </c>
      <c r="K757" s="26">
        <v>0</v>
      </c>
      <c r="L757" s="25">
        <f t="shared" si="88"/>
        <v>-1.8921439676925431</v>
      </c>
      <c r="M757" s="25">
        <f t="shared" si="94"/>
        <v>0.131000208823181</v>
      </c>
      <c r="N757" s="25">
        <f t="shared" si="89"/>
        <v>0.86899979117681903</v>
      </c>
      <c r="O757" s="25">
        <f t="shared" si="90"/>
        <v>-0.14041239401962885</v>
      </c>
      <c r="P757" s="25">
        <f t="shared" si="91"/>
        <v>0</v>
      </c>
      <c r="Q757" s="25">
        <f t="shared" si="95"/>
        <v>541.71873282940385</v>
      </c>
      <c r="R757" s="25">
        <f t="shared" si="92"/>
        <v>6</v>
      </c>
      <c r="S757" s="26">
        <f t="shared" si="93"/>
        <v>11</v>
      </c>
    </row>
    <row r="758" spans="2:19" x14ac:dyDescent="0.3">
      <c r="B758" s="24">
        <v>316077</v>
      </c>
      <c r="C758" s="25">
        <v>22</v>
      </c>
      <c r="D758" s="25">
        <v>4</v>
      </c>
      <c r="E758" s="25">
        <v>0</v>
      </c>
      <c r="F758" s="25">
        <v>2</v>
      </c>
      <c r="G758" s="25">
        <v>26</v>
      </c>
      <c r="H758" s="25">
        <v>6</v>
      </c>
      <c r="I758" s="25">
        <v>0.02</v>
      </c>
      <c r="J758" s="25">
        <v>1.54</v>
      </c>
      <c r="K758" s="26">
        <v>0</v>
      </c>
      <c r="L758" s="25">
        <f t="shared" si="88"/>
        <v>-0.50376370624781863</v>
      </c>
      <c r="M758" s="25">
        <f t="shared" si="94"/>
        <v>0.37665659237354965</v>
      </c>
      <c r="N758" s="25">
        <f t="shared" si="89"/>
        <v>0.62334340762645035</v>
      </c>
      <c r="O758" s="25">
        <f t="shared" si="90"/>
        <v>-0.47265769596465024</v>
      </c>
      <c r="P758" s="25">
        <f t="shared" si="91"/>
        <v>0</v>
      </c>
      <c r="Q758" s="25">
        <f t="shared" si="95"/>
        <v>501.65854760370394</v>
      </c>
      <c r="R758" s="25">
        <f t="shared" si="92"/>
        <v>7</v>
      </c>
      <c r="S758" s="26">
        <f t="shared" si="93"/>
        <v>14</v>
      </c>
    </row>
    <row r="759" spans="2:19" x14ac:dyDescent="0.3">
      <c r="B759" s="24">
        <v>316104</v>
      </c>
      <c r="C759" s="25">
        <v>65</v>
      </c>
      <c r="D759" s="25">
        <v>1</v>
      </c>
      <c r="E759" s="25">
        <v>38</v>
      </c>
      <c r="F759" s="25">
        <v>13</v>
      </c>
      <c r="G759" s="25">
        <v>143</v>
      </c>
      <c r="H759" s="25">
        <v>11.1</v>
      </c>
      <c r="I759" s="25">
        <v>1.17</v>
      </c>
      <c r="J759" s="25">
        <v>14.7</v>
      </c>
      <c r="K759" s="26">
        <v>0</v>
      </c>
      <c r="L759" s="25">
        <f t="shared" si="88"/>
        <v>-8.8182556522733275</v>
      </c>
      <c r="M759" s="25">
        <f t="shared" si="94"/>
        <v>1.4798440703369436E-4</v>
      </c>
      <c r="N759" s="25">
        <f t="shared" si="89"/>
        <v>0.99985201559296633</v>
      </c>
      <c r="O759" s="25">
        <f t="shared" si="90"/>
        <v>-1.4799535780641272E-4</v>
      </c>
      <c r="P759" s="25">
        <f t="shared" si="91"/>
        <v>0</v>
      </c>
      <c r="Q759" s="25">
        <f t="shared" si="95"/>
        <v>741.56406676512938</v>
      </c>
      <c r="R759" s="25">
        <f t="shared" si="92"/>
        <v>1</v>
      </c>
      <c r="S759" s="26">
        <f t="shared" si="93"/>
        <v>1</v>
      </c>
    </row>
    <row r="760" spans="2:19" x14ac:dyDescent="0.3">
      <c r="B760" s="24">
        <v>316135</v>
      </c>
      <c r="C760" s="25">
        <v>43</v>
      </c>
      <c r="D760" s="25">
        <v>3</v>
      </c>
      <c r="E760" s="25">
        <v>5</v>
      </c>
      <c r="F760" s="25">
        <v>11</v>
      </c>
      <c r="G760" s="25">
        <v>27</v>
      </c>
      <c r="H760" s="25">
        <v>21.2</v>
      </c>
      <c r="I760" s="25">
        <v>2.83</v>
      </c>
      <c r="J760" s="25">
        <v>2.9</v>
      </c>
      <c r="K760" s="26">
        <v>1</v>
      </c>
      <c r="L760" s="25">
        <f t="shared" si="88"/>
        <v>0.55153469956711731</v>
      </c>
      <c r="M760" s="25">
        <f t="shared" si="94"/>
        <v>0.63449157968749526</v>
      </c>
      <c r="N760" s="25">
        <f t="shared" si="89"/>
        <v>0.63449157968749526</v>
      </c>
      <c r="O760" s="25">
        <f t="shared" si="90"/>
        <v>-0.45493126269984174</v>
      </c>
      <c r="P760" s="25">
        <f t="shared" si="91"/>
        <v>1</v>
      </c>
      <c r="Q760" s="25">
        <f t="shared" si="95"/>
        <v>471.20907293216032</v>
      </c>
      <c r="R760" s="25">
        <f t="shared" si="92"/>
        <v>7</v>
      </c>
      <c r="S760" s="26">
        <f t="shared" si="93"/>
        <v>15</v>
      </c>
    </row>
    <row r="761" spans="2:19" x14ac:dyDescent="0.3">
      <c r="B761" s="24">
        <v>316149</v>
      </c>
      <c r="C761" s="25">
        <v>23</v>
      </c>
      <c r="D761" s="25">
        <v>4</v>
      </c>
      <c r="E761" s="25">
        <v>0</v>
      </c>
      <c r="F761" s="25">
        <v>2</v>
      </c>
      <c r="G761" s="25">
        <v>23</v>
      </c>
      <c r="H761" s="25">
        <v>18</v>
      </c>
      <c r="I761" s="25">
        <v>0.51</v>
      </c>
      <c r="J761" s="25">
        <v>3.63</v>
      </c>
      <c r="K761" s="26">
        <v>1</v>
      </c>
      <c r="L761" s="25">
        <f t="shared" si="88"/>
        <v>0.95413879373733068</v>
      </c>
      <c r="M761" s="25">
        <f t="shared" si="94"/>
        <v>0.72194676066680585</v>
      </c>
      <c r="N761" s="25">
        <f t="shared" si="89"/>
        <v>0.72194676066680585</v>
      </c>
      <c r="O761" s="25">
        <f t="shared" si="90"/>
        <v>-0.32580388149677614</v>
      </c>
      <c r="P761" s="25">
        <f t="shared" si="91"/>
        <v>1</v>
      </c>
      <c r="Q761" s="25">
        <f t="shared" si="95"/>
        <v>459.59237465938241</v>
      </c>
      <c r="R761" s="25">
        <f t="shared" si="92"/>
        <v>8</v>
      </c>
      <c r="S761" s="26">
        <f t="shared" si="93"/>
        <v>16</v>
      </c>
    </row>
    <row r="762" spans="2:19" x14ac:dyDescent="0.3">
      <c r="B762" s="24">
        <v>316159</v>
      </c>
      <c r="C762" s="25">
        <v>66</v>
      </c>
      <c r="D762" s="25">
        <v>2</v>
      </c>
      <c r="E762" s="25">
        <v>43</v>
      </c>
      <c r="F762" s="25">
        <v>22</v>
      </c>
      <c r="G762" s="25">
        <v>152</v>
      </c>
      <c r="H762" s="25">
        <v>9</v>
      </c>
      <c r="I762" s="25">
        <v>5.0599999999999996</v>
      </c>
      <c r="J762" s="25">
        <v>8.6199999999999992</v>
      </c>
      <c r="K762" s="26">
        <v>0</v>
      </c>
      <c r="L762" s="25">
        <f t="shared" si="88"/>
        <v>-8.8349803591231755</v>
      </c>
      <c r="M762" s="25">
        <f t="shared" si="94"/>
        <v>1.4553035028749435E-4</v>
      </c>
      <c r="N762" s="25">
        <f t="shared" si="89"/>
        <v>0.99985446964971247</v>
      </c>
      <c r="O762" s="25">
        <f t="shared" si="90"/>
        <v>-1.4554094085646537E-4</v>
      </c>
      <c r="P762" s="25">
        <f t="shared" si="91"/>
        <v>0</v>
      </c>
      <c r="Q762" s="25">
        <f t="shared" si="95"/>
        <v>742.04663978410417</v>
      </c>
      <c r="R762" s="25">
        <f t="shared" si="92"/>
        <v>1</v>
      </c>
      <c r="S762" s="26">
        <f t="shared" si="93"/>
        <v>1</v>
      </c>
    </row>
    <row r="763" spans="2:19" x14ac:dyDescent="0.3">
      <c r="B763" s="24">
        <v>316172</v>
      </c>
      <c r="C763" s="25">
        <v>25</v>
      </c>
      <c r="D763" s="25">
        <v>2</v>
      </c>
      <c r="E763" s="25">
        <v>3</v>
      </c>
      <c r="F763" s="25">
        <v>2</v>
      </c>
      <c r="G763" s="25">
        <v>48</v>
      </c>
      <c r="H763" s="25">
        <v>8.1999999999999993</v>
      </c>
      <c r="I763" s="25">
        <v>2.87</v>
      </c>
      <c r="J763" s="25">
        <v>1.07</v>
      </c>
      <c r="K763" s="26">
        <v>1</v>
      </c>
      <c r="L763" s="25">
        <f t="shared" si="88"/>
        <v>0.42189490036761607</v>
      </c>
      <c r="M763" s="25">
        <f t="shared" si="94"/>
        <v>0.60393659384770737</v>
      </c>
      <c r="N763" s="25">
        <f t="shared" si="89"/>
        <v>0.60393659384770737</v>
      </c>
      <c r="O763" s="25">
        <f t="shared" si="90"/>
        <v>-0.50428606363113293</v>
      </c>
      <c r="P763" s="25">
        <f t="shared" si="91"/>
        <v>1</v>
      </c>
      <c r="Q763" s="25">
        <f t="shared" si="95"/>
        <v>474.94968673428281</v>
      </c>
      <c r="R763" s="25">
        <f t="shared" si="92"/>
        <v>7</v>
      </c>
      <c r="S763" s="26">
        <f t="shared" si="93"/>
        <v>15</v>
      </c>
    </row>
    <row r="764" spans="2:19" x14ac:dyDescent="0.3">
      <c r="B764" s="24">
        <v>316193</v>
      </c>
      <c r="C764" s="25">
        <v>35</v>
      </c>
      <c r="D764" s="25">
        <v>4</v>
      </c>
      <c r="E764" s="25">
        <v>0</v>
      </c>
      <c r="F764" s="25">
        <v>11</v>
      </c>
      <c r="G764" s="25">
        <v>84</v>
      </c>
      <c r="H764" s="25">
        <v>3.4</v>
      </c>
      <c r="I764" s="25">
        <v>1.18</v>
      </c>
      <c r="J764" s="25">
        <v>1.67</v>
      </c>
      <c r="K764" s="26">
        <v>0</v>
      </c>
      <c r="L764" s="25">
        <f t="shared" si="88"/>
        <v>-0.7711735662324557</v>
      </c>
      <c r="M764" s="25">
        <f t="shared" si="94"/>
        <v>0.31622529501401597</v>
      </c>
      <c r="N764" s="25">
        <f t="shared" si="89"/>
        <v>0.68377470498598403</v>
      </c>
      <c r="O764" s="25">
        <f t="shared" si="90"/>
        <v>-0.38012679429211887</v>
      </c>
      <c r="P764" s="25">
        <f t="shared" si="91"/>
        <v>0</v>
      </c>
      <c r="Q764" s="25">
        <f t="shared" si="95"/>
        <v>509.37436496271465</v>
      </c>
      <c r="R764" s="25">
        <f t="shared" si="92"/>
        <v>7</v>
      </c>
      <c r="S764" s="26">
        <f t="shared" si="93"/>
        <v>14</v>
      </c>
    </row>
    <row r="765" spans="2:19" x14ac:dyDescent="0.3">
      <c r="B765" s="24">
        <v>316201</v>
      </c>
      <c r="C765" s="25">
        <v>19</v>
      </c>
      <c r="D765" s="25">
        <v>2</v>
      </c>
      <c r="E765" s="25">
        <v>0</v>
      </c>
      <c r="F765" s="25">
        <v>0</v>
      </c>
      <c r="G765" s="25">
        <v>20</v>
      </c>
      <c r="H765" s="25">
        <v>12.8</v>
      </c>
      <c r="I765" s="25">
        <v>1.1399999999999999</v>
      </c>
      <c r="J765" s="25">
        <v>1.42</v>
      </c>
      <c r="K765" s="26">
        <v>0</v>
      </c>
      <c r="L765" s="25">
        <f t="shared" si="88"/>
        <v>0.93670833097369122</v>
      </c>
      <c r="M765" s="25">
        <f t="shared" si="94"/>
        <v>0.71843427633744017</v>
      </c>
      <c r="N765" s="25">
        <f t="shared" si="89"/>
        <v>0.28156572366255983</v>
      </c>
      <c r="O765" s="25">
        <f t="shared" si="90"/>
        <v>-1.2673893820550199</v>
      </c>
      <c r="P765" s="25">
        <f t="shared" si="91"/>
        <v>1</v>
      </c>
      <c r="Q765" s="25">
        <f t="shared" si="95"/>
        <v>460.09531148891818</v>
      </c>
      <c r="R765" s="25">
        <f t="shared" si="92"/>
        <v>8</v>
      </c>
      <c r="S765" s="26">
        <f t="shared" si="93"/>
        <v>16</v>
      </c>
    </row>
    <row r="766" spans="2:19" x14ac:dyDescent="0.3">
      <c r="B766" s="24">
        <v>316230</v>
      </c>
      <c r="C766" s="25">
        <v>25</v>
      </c>
      <c r="D766" s="25">
        <v>4</v>
      </c>
      <c r="E766" s="25">
        <v>1</v>
      </c>
      <c r="F766" s="25">
        <v>1</v>
      </c>
      <c r="G766" s="25">
        <v>20</v>
      </c>
      <c r="H766" s="25">
        <v>6.9</v>
      </c>
      <c r="I766" s="25">
        <v>0.43</v>
      </c>
      <c r="J766" s="25">
        <v>0.95</v>
      </c>
      <c r="K766" s="26">
        <v>1</v>
      </c>
      <c r="L766" s="25">
        <f t="shared" si="88"/>
        <v>-0.49449571055312358</v>
      </c>
      <c r="M766" s="25">
        <f t="shared" si="94"/>
        <v>0.37883506647397291</v>
      </c>
      <c r="N766" s="25">
        <f t="shared" si="89"/>
        <v>0.37883506647397291</v>
      </c>
      <c r="O766" s="25">
        <f t="shared" si="90"/>
        <v>-0.97065434942581841</v>
      </c>
      <c r="P766" s="25">
        <f t="shared" si="91"/>
        <v>0</v>
      </c>
      <c r="Q766" s="25">
        <f t="shared" si="95"/>
        <v>501.39112978272874</v>
      </c>
      <c r="R766" s="25">
        <f t="shared" si="92"/>
        <v>7</v>
      </c>
      <c r="S766" s="26">
        <f t="shared" si="93"/>
        <v>14</v>
      </c>
    </row>
    <row r="767" spans="2:19" x14ac:dyDescent="0.3">
      <c r="B767" s="24">
        <v>316244</v>
      </c>
      <c r="C767" s="25">
        <v>23</v>
      </c>
      <c r="D767" s="25">
        <v>4</v>
      </c>
      <c r="E767" s="25">
        <v>0</v>
      </c>
      <c r="F767" s="25">
        <v>1</v>
      </c>
      <c r="G767" s="25">
        <v>62</v>
      </c>
      <c r="H767" s="25">
        <v>3</v>
      </c>
      <c r="I767" s="25">
        <v>0.56000000000000005</v>
      </c>
      <c r="J767" s="25">
        <v>1.3</v>
      </c>
      <c r="K767" s="26">
        <v>1</v>
      </c>
      <c r="L767" s="25">
        <f t="shared" si="88"/>
        <v>-0.53392579265956019</v>
      </c>
      <c r="M767" s="25">
        <f t="shared" si="94"/>
        <v>0.36960172559602023</v>
      </c>
      <c r="N767" s="25">
        <f t="shared" si="89"/>
        <v>0.36960172559602023</v>
      </c>
      <c r="O767" s="25">
        <f t="shared" si="90"/>
        <v>-0.99532927040510577</v>
      </c>
      <c r="P767" s="25">
        <f t="shared" si="91"/>
        <v>0</v>
      </c>
      <c r="Q767" s="25">
        <f t="shared" si="95"/>
        <v>502.52884142881965</v>
      </c>
      <c r="R767" s="25">
        <f t="shared" si="92"/>
        <v>7</v>
      </c>
      <c r="S767" s="26">
        <f t="shared" si="93"/>
        <v>14</v>
      </c>
    </row>
    <row r="768" spans="2:19" x14ac:dyDescent="0.3">
      <c r="B768" s="24">
        <v>316258</v>
      </c>
      <c r="C768" s="25">
        <v>23</v>
      </c>
      <c r="D768" s="25">
        <v>3</v>
      </c>
      <c r="E768" s="25">
        <v>2</v>
      </c>
      <c r="F768" s="25">
        <v>1</v>
      </c>
      <c r="G768" s="25">
        <v>40</v>
      </c>
      <c r="H768" s="25">
        <v>21.2</v>
      </c>
      <c r="I768" s="25">
        <v>2.65</v>
      </c>
      <c r="J768" s="25">
        <v>5.83</v>
      </c>
      <c r="K768" s="26">
        <v>1</v>
      </c>
      <c r="L768" s="25">
        <f t="shared" si="88"/>
        <v>1.9793014134531266</v>
      </c>
      <c r="M768" s="25">
        <f t="shared" si="94"/>
        <v>0.87860667267643622</v>
      </c>
      <c r="N768" s="25">
        <f t="shared" si="89"/>
        <v>0.87860667267643622</v>
      </c>
      <c r="O768" s="25">
        <f t="shared" si="90"/>
        <v>-0.12941795280000948</v>
      </c>
      <c r="P768" s="25">
        <f t="shared" si="91"/>
        <v>1</v>
      </c>
      <c r="Q768" s="25">
        <f t="shared" si="95"/>
        <v>430.01243494636481</v>
      </c>
      <c r="R768" s="25">
        <f t="shared" si="92"/>
        <v>8</v>
      </c>
      <c r="S768" s="26">
        <f t="shared" si="93"/>
        <v>16</v>
      </c>
    </row>
    <row r="769" spans="2:19" x14ac:dyDescent="0.3">
      <c r="B769" s="24">
        <v>316268</v>
      </c>
      <c r="C769" s="25">
        <v>49</v>
      </c>
      <c r="D769" s="25">
        <v>3</v>
      </c>
      <c r="E769" s="25">
        <v>12</v>
      </c>
      <c r="F769" s="25">
        <v>11</v>
      </c>
      <c r="G769" s="25">
        <v>85</v>
      </c>
      <c r="H769" s="25">
        <v>4.5</v>
      </c>
      <c r="I769" s="25">
        <v>2.29</v>
      </c>
      <c r="J769" s="25">
        <v>1.53</v>
      </c>
      <c r="K769" s="26">
        <v>0</v>
      </c>
      <c r="L769" s="25">
        <f t="shared" si="88"/>
        <v>-3.1029309428210849</v>
      </c>
      <c r="M769" s="25">
        <f t="shared" si="94"/>
        <v>4.2986518191682734E-2</v>
      </c>
      <c r="N769" s="25">
        <f t="shared" si="89"/>
        <v>0.95701348180831725</v>
      </c>
      <c r="O769" s="25">
        <f t="shared" si="90"/>
        <v>-4.3937800054412515E-2</v>
      </c>
      <c r="P769" s="25">
        <f t="shared" si="91"/>
        <v>0</v>
      </c>
      <c r="Q769" s="25">
        <f t="shared" si="95"/>
        <v>576.65465913106527</v>
      </c>
      <c r="R769" s="25">
        <f t="shared" si="92"/>
        <v>5</v>
      </c>
      <c r="S769" s="26">
        <f t="shared" si="93"/>
        <v>9</v>
      </c>
    </row>
    <row r="770" spans="2:19" x14ac:dyDescent="0.3">
      <c r="B770" s="24">
        <v>316281</v>
      </c>
      <c r="C770" s="25">
        <v>45</v>
      </c>
      <c r="D770" s="25">
        <v>4</v>
      </c>
      <c r="E770" s="25">
        <v>6</v>
      </c>
      <c r="F770" s="25">
        <v>10</v>
      </c>
      <c r="G770" s="25">
        <v>59</v>
      </c>
      <c r="H770" s="25">
        <v>10.6</v>
      </c>
      <c r="I770" s="25">
        <v>3.8</v>
      </c>
      <c r="J770" s="25">
        <v>2.4500000000000002</v>
      </c>
      <c r="K770" s="26">
        <v>0</v>
      </c>
      <c r="L770" s="25">
        <f t="shared" si="88"/>
        <v>-0.33949063863990908</v>
      </c>
      <c r="M770" s="25">
        <f t="shared" si="94"/>
        <v>0.41593321233231928</v>
      </c>
      <c r="N770" s="25">
        <f t="shared" si="89"/>
        <v>0.58406678766768072</v>
      </c>
      <c r="O770" s="25">
        <f t="shared" si="90"/>
        <v>-0.53773994024813709</v>
      </c>
      <c r="P770" s="25">
        <f t="shared" si="91"/>
        <v>1</v>
      </c>
      <c r="Q770" s="25">
        <f t="shared" si="95"/>
        <v>496.91862893825208</v>
      </c>
      <c r="R770" s="25">
        <f t="shared" si="92"/>
        <v>7</v>
      </c>
      <c r="S770" s="26">
        <f t="shared" si="93"/>
        <v>14</v>
      </c>
    </row>
    <row r="771" spans="2:19" x14ac:dyDescent="0.3">
      <c r="B771" s="24">
        <v>316289</v>
      </c>
      <c r="C771" s="25">
        <v>45</v>
      </c>
      <c r="D771" s="25">
        <v>2</v>
      </c>
      <c r="E771" s="25">
        <v>10</v>
      </c>
      <c r="F771" s="25">
        <v>13</v>
      </c>
      <c r="G771" s="25">
        <v>45</v>
      </c>
      <c r="H771" s="25">
        <v>2.9</v>
      </c>
      <c r="I771" s="25">
        <v>0.19</v>
      </c>
      <c r="J771" s="25">
        <v>1.1200000000000001</v>
      </c>
      <c r="K771" s="26">
        <v>0</v>
      </c>
      <c r="L771" s="25">
        <f t="shared" si="88"/>
        <v>-3.7491583058194702</v>
      </c>
      <c r="M771" s="25">
        <f t="shared" si="94"/>
        <v>2.299627303672545E-2</v>
      </c>
      <c r="N771" s="25">
        <f t="shared" si="89"/>
        <v>0.97700372696327453</v>
      </c>
      <c r="O771" s="25">
        <f t="shared" si="90"/>
        <v>-2.3264812245223376E-2</v>
      </c>
      <c r="P771" s="25">
        <f t="shared" si="91"/>
        <v>0</v>
      </c>
      <c r="Q771" s="25">
        <f t="shared" si="95"/>
        <v>595.30083884028443</v>
      </c>
      <c r="R771" s="25">
        <f t="shared" si="92"/>
        <v>4</v>
      </c>
      <c r="S771" s="26">
        <f t="shared" si="93"/>
        <v>7</v>
      </c>
    </row>
    <row r="772" spans="2:19" x14ac:dyDescent="0.3">
      <c r="B772" s="24">
        <v>316302</v>
      </c>
      <c r="C772" s="25">
        <v>32</v>
      </c>
      <c r="D772" s="25">
        <v>4</v>
      </c>
      <c r="E772" s="25">
        <v>6</v>
      </c>
      <c r="F772" s="25">
        <v>7</v>
      </c>
      <c r="G772" s="25">
        <v>31</v>
      </c>
      <c r="H772" s="25">
        <v>5.2</v>
      </c>
      <c r="I772" s="25">
        <v>0.38</v>
      </c>
      <c r="J772" s="25">
        <v>1.23</v>
      </c>
      <c r="K772" s="26">
        <v>0</v>
      </c>
      <c r="L772" s="25">
        <f t="shared" si="88"/>
        <v>-2.1559510453585786</v>
      </c>
      <c r="M772" s="25">
        <f t="shared" si="94"/>
        <v>0.10377642841185378</v>
      </c>
      <c r="N772" s="25">
        <f t="shared" si="89"/>
        <v>0.89622357158814625</v>
      </c>
      <c r="O772" s="25">
        <f t="shared" si="90"/>
        <v>-0.10956537527083843</v>
      </c>
      <c r="P772" s="25">
        <f t="shared" si="91"/>
        <v>0</v>
      </c>
      <c r="Q772" s="25">
        <f t="shared" si="95"/>
        <v>549.33059586767183</v>
      </c>
      <c r="R772" s="25">
        <f t="shared" si="92"/>
        <v>6</v>
      </c>
      <c r="S772" s="26">
        <f t="shared" si="93"/>
        <v>11</v>
      </c>
    </row>
    <row r="773" spans="2:19" x14ac:dyDescent="0.3">
      <c r="B773" s="24">
        <v>316305</v>
      </c>
      <c r="C773" s="25">
        <v>28</v>
      </c>
      <c r="D773" s="25">
        <v>4</v>
      </c>
      <c r="E773" s="25">
        <v>0</v>
      </c>
      <c r="F773" s="25">
        <v>4</v>
      </c>
      <c r="G773" s="25">
        <v>60</v>
      </c>
      <c r="H773" s="25">
        <v>0.5</v>
      </c>
      <c r="I773" s="25">
        <v>0.08</v>
      </c>
      <c r="J773" s="25">
        <v>0.22</v>
      </c>
      <c r="K773" s="26">
        <v>0</v>
      </c>
      <c r="L773" s="25">
        <f t="shared" ref="L773:L836" si="96">$Y$4+SUMPRODUCT($Z$4:$AG$4,C773:J773)</f>
        <v>-1.2437035972507156</v>
      </c>
      <c r="M773" s="25">
        <f t="shared" si="94"/>
        <v>0.22379197901872175</v>
      </c>
      <c r="N773" s="25">
        <f t="shared" ref="N773:N836" si="97">IF(K773=1,M773,(1-M773))</f>
        <v>0.77620802098127828</v>
      </c>
      <c r="O773" s="25">
        <f t="shared" ref="O773:O836" si="98">LN(N773)</f>
        <v>-0.25333472644795524</v>
      </c>
      <c r="P773" s="25">
        <f t="shared" ref="P773:P836" si="99">IF(M773&gt;0.4,1,0)</f>
        <v>0</v>
      </c>
      <c r="Q773" s="25">
        <f t="shared" si="95"/>
        <v>523.00869922471236</v>
      </c>
      <c r="R773" s="25">
        <f t="shared" ref="R773:R836" si="100">VLOOKUP(M773,$U$9:$W$16,3,TRUE)</f>
        <v>6</v>
      </c>
      <c r="S773" s="26">
        <f t="shared" ref="S773:S836" si="101">VLOOKUP(M773,$U$21:$W$37,3,TRUE)</f>
        <v>13</v>
      </c>
    </row>
    <row r="774" spans="2:19" x14ac:dyDescent="0.3">
      <c r="B774" s="24">
        <v>316309</v>
      </c>
      <c r="C774" s="25">
        <v>44</v>
      </c>
      <c r="D774" s="25">
        <v>3</v>
      </c>
      <c r="E774" s="25">
        <v>22</v>
      </c>
      <c r="F774" s="25">
        <v>9</v>
      </c>
      <c r="G774" s="25">
        <v>131</v>
      </c>
      <c r="H774" s="25">
        <v>7</v>
      </c>
      <c r="I774" s="25">
        <v>0.83</v>
      </c>
      <c r="J774" s="25">
        <v>8.34</v>
      </c>
      <c r="K774" s="26">
        <v>0</v>
      </c>
      <c r="L774" s="25">
        <f t="shared" si="96"/>
        <v>-5.4534043185856538</v>
      </c>
      <c r="M774" s="25">
        <f t="shared" ref="M774:M837" si="102">EXP(L774)/(1+EXP(L774))</f>
        <v>4.26344874467791E-3</v>
      </c>
      <c r="N774" s="25">
        <f t="shared" si="97"/>
        <v>0.99573655125532212</v>
      </c>
      <c r="O774" s="25">
        <f t="shared" si="98"/>
        <v>-4.2725631573897705E-3</v>
      </c>
      <c r="P774" s="25">
        <f t="shared" si="99"/>
        <v>0</v>
      </c>
      <c r="Q774" s="25">
        <f t="shared" si="95"/>
        <v>644.47498286803852</v>
      </c>
      <c r="R774" s="25">
        <f t="shared" si="100"/>
        <v>3</v>
      </c>
      <c r="S774" s="26">
        <f t="shared" si="101"/>
        <v>3</v>
      </c>
    </row>
    <row r="775" spans="2:19" x14ac:dyDescent="0.3">
      <c r="B775" s="24">
        <v>316311</v>
      </c>
      <c r="C775" s="25">
        <v>49</v>
      </c>
      <c r="D775" s="25">
        <v>3</v>
      </c>
      <c r="E775" s="25">
        <v>20</v>
      </c>
      <c r="F775" s="25">
        <v>9</v>
      </c>
      <c r="G775" s="25">
        <v>140</v>
      </c>
      <c r="H775" s="25">
        <v>9.9</v>
      </c>
      <c r="I775" s="25">
        <v>4.42</v>
      </c>
      <c r="J775" s="25">
        <v>9.44</v>
      </c>
      <c r="K775" s="26">
        <v>0</v>
      </c>
      <c r="L775" s="25">
        <f t="shared" si="96"/>
        <v>-3.0896685181340402</v>
      </c>
      <c r="M775" s="25">
        <f t="shared" si="102"/>
        <v>4.3535435805531597E-2</v>
      </c>
      <c r="N775" s="25">
        <f t="shared" si="97"/>
        <v>0.95646456419446846</v>
      </c>
      <c r="O775" s="25">
        <f t="shared" si="98"/>
        <v>-4.4511538154050484E-2</v>
      </c>
      <c r="P775" s="25">
        <f t="shared" si="99"/>
        <v>0</v>
      </c>
      <c r="Q775" s="25">
        <f t="shared" si="95"/>
        <v>576.27198645538783</v>
      </c>
      <c r="R775" s="25">
        <f t="shared" si="100"/>
        <v>5</v>
      </c>
      <c r="S775" s="26">
        <f t="shared" si="101"/>
        <v>9</v>
      </c>
    </row>
    <row r="776" spans="2:19" x14ac:dyDescent="0.3">
      <c r="B776" s="24">
        <v>316315</v>
      </c>
      <c r="C776" s="25">
        <v>19</v>
      </c>
      <c r="D776" s="25">
        <v>2</v>
      </c>
      <c r="E776" s="25">
        <v>0</v>
      </c>
      <c r="F776" s="25">
        <v>0</v>
      </c>
      <c r="G776" s="25">
        <v>19</v>
      </c>
      <c r="H776" s="25">
        <v>4.4000000000000004</v>
      </c>
      <c r="I776" s="25">
        <v>0.06</v>
      </c>
      <c r="J776" s="25">
        <v>0.77</v>
      </c>
      <c r="K776" s="26">
        <v>0</v>
      </c>
      <c r="L776" s="25">
        <f t="shared" si="96"/>
        <v>-0.42832459918568222</v>
      </c>
      <c r="M776" s="25">
        <f t="shared" si="102"/>
        <v>0.39452647269637187</v>
      </c>
      <c r="N776" s="25">
        <f t="shared" si="97"/>
        <v>0.60547352730362813</v>
      </c>
      <c r="O776" s="25">
        <f t="shared" si="98"/>
        <v>-0.50174443733512886</v>
      </c>
      <c r="P776" s="25">
        <f t="shared" si="99"/>
        <v>0</v>
      </c>
      <c r="Q776" s="25">
        <f t="shared" si="95"/>
        <v>499.48183515244375</v>
      </c>
      <c r="R776" s="25">
        <f t="shared" si="100"/>
        <v>7</v>
      </c>
      <c r="S776" s="26">
        <f t="shared" si="101"/>
        <v>14</v>
      </c>
    </row>
    <row r="777" spans="2:19" x14ac:dyDescent="0.3">
      <c r="B777" s="24">
        <v>316359</v>
      </c>
      <c r="C777" s="25">
        <v>34</v>
      </c>
      <c r="D777" s="25">
        <v>3</v>
      </c>
      <c r="E777" s="25">
        <v>0</v>
      </c>
      <c r="F777" s="25">
        <v>6</v>
      </c>
      <c r="G777" s="25">
        <v>24</v>
      </c>
      <c r="H777" s="25">
        <v>9.4</v>
      </c>
      <c r="I777" s="25">
        <v>0.08</v>
      </c>
      <c r="J777" s="25">
        <v>2.1800000000000002</v>
      </c>
      <c r="K777" s="26">
        <v>1</v>
      </c>
      <c r="L777" s="25">
        <f t="shared" si="96"/>
        <v>-0.45705169729347561</v>
      </c>
      <c r="M777" s="25">
        <f t="shared" si="102"/>
        <v>0.38768547583087698</v>
      </c>
      <c r="N777" s="25">
        <f t="shared" si="97"/>
        <v>0.38768547583087698</v>
      </c>
      <c r="O777" s="25">
        <f t="shared" si="98"/>
        <v>-0.94756089739832783</v>
      </c>
      <c r="P777" s="25">
        <f t="shared" si="99"/>
        <v>0</v>
      </c>
      <c r="Q777" s="25">
        <f t="shared" ref="Q777:Q840" si="103">28.8539*LN((1-M777)/(M777))+487.123</f>
        <v>500.31072396853619</v>
      </c>
      <c r="R777" s="25">
        <f t="shared" si="100"/>
        <v>7</v>
      </c>
      <c r="S777" s="26">
        <f t="shared" si="101"/>
        <v>14</v>
      </c>
    </row>
    <row r="778" spans="2:19" x14ac:dyDescent="0.3">
      <c r="B778" s="24">
        <v>316361</v>
      </c>
      <c r="C778" s="25">
        <v>51</v>
      </c>
      <c r="D778" s="25">
        <v>3</v>
      </c>
      <c r="E778" s="25">
        <v>2</v>
      </c>
      <c r="F778" s="25">
        <v>15</v>
      </c>
      <c r="G778" s="25">
        <v>34</v>
      </c>
      <c r="H778" s="25">
        <v>7.2</v>
      </c>
      <c r="I778" s="25">
        <v>1.77</v>
      </c>
      <c r="J778" s="25">
        <v>0.68</v>
      </c>
      <c r="K778" s="26">
        <v>0</v>
      </c>
      <c r="L778" s="25">
        <f t="shared" si="96"/>
        <v>-1.0240038374567151</v>
      </c>
      <c r="M778" s="25">
        <f t="shared" si="102"/>
        <v>0.2642482356065175</v>
      </c>
      <c r="N778" s="25">
        <f t="shared" si="97"/>
        <v>0.73575176439348255</v>
      </c>
      <c r="O778" s="25">
        <f t="shared" si="98"/>
        <v>-0.30686249378310881</v>
      </c>
      <c r="P778" s="25">
        <f t="shared" si="99"/>
        <v>0</v>
      </c>
      <c r="Q778" s="25">
        <f t="shared" si="103"/>
        <v>516.66950432559224</v>
      </c>
      <c r="R778" s="25">
        <f t="shared" si="100"/>
        <v>7</v>
      </c>
      <c r="S778" s="26">
        <f t="shared" si="101"/>
        <v>13</v>
      </c>
    </row>
    <row r="779" spans="2:19" x14ac:dyDescent="0.3">
      <c r="B779" s="24">
        <v>316431</v>
      </c>
      <c r="C779" s="25">
        <v>28</v>
      </c>
      <c r="D779" s="25">
        <v>2</v>
      </c>
      <c r="E779" s="25">
        <v>4</v>
      </c>
      <c r="F779" s="25">
        <v>4</v>
      </c>
      <c r="G779" s="25">
        <v>25</v>
      </c>
      <c r="H779" s="25">
        <v>34.799999999999997</v>
      </c>
      <c r="I779" s="25">
        <v>1.04</v>
      </c>
      <c r="J779" s="25">
        <v>7.66</v>
      </c>
      <c r="K779" s="26">
        <v>1</v>
      </c>
      <c r="L779" s="25">
        <f t="shared" si="96"/>
        <v>2.0093842361565919</v>
      </c>
      <c r="M779" s="25">
        <f t="shared" si="102"/>
        <v>0.88177884703177101</v>
      </c>
      <c r="N779" s="25">
        <f t="shared" si="97"/>
        <v>0.88177884703177101</v>
      </c>
      <c r="O779" s="25">
        <f t="shared" si="98"/>
        <v>-0.12581399474274746</v>
      </c>
      <c r="P779" s="25">
        <f t="shared" si="99"/>
        <v>1</v>
      </c>
      <c r="Q779" s="25">
        <f t="shared" si="103"/>
        <v>429.1444281883613</v>
      </c>
      <c r="R779" s="25">
        <f t="shared" si="100"/>
        <v>8</v>
      </c>
      <c r="S779" s="26">
        <f t="shared" si="101"/>
        <v>16</v>
      </c>
    </row>
    <row r="780" spans="2:19" x14ac:dyDescent="0.3">
      <c r="B780" s="24">
        <v>316502</v>
      </c>
      <c r="C780" s="25">
        <v>51</v>
      </c>
      <c r="D780" s="25">
        <v>4</v>
      </c>
      <c r="E780" s="25">
        <v>20</v>
      </c>
      <c r="F780" s="25">
        <v>18</v>
      </c>
      <c r="G780" s="25">
        <v>512</v>
      </c>
      <c r="H780" s="25">
        <v>6.5</v>
      </c>
      <c r="I780" s="25">
        <v>6.82</v>
      </c>
      <c r="J780" s="25">
        <v>26.46</v>
      </c>
      <c r="K780" s="26">
        <v>0</v>
      </c>
      <c r="L780" s="25">
        <f t="shared" si="96"/>
        <v>-2.1711496608285961</v>
      </c>
      <c r="M780" s="25">
        <f t="shared" si="102"/>
        <v>0.10237134113961127</v>
      </c>
      <c r="N780" s="25">
        <f t="shared" si="97"/>
        <v>0.89762865886038878</v>
      </c>
      <c r="O780" s="25">
        <f t="shared" si="98"/>
        <v>-0.10799881640300567</v>
      </c>
      <c r="P780" s="25">
        <f t="shared" si="99"/>
        <v>0</v>
      </c>
      <c r="Q780" s="25">
        <f t="shared" si="103"/>
        <v>549.76913519858226</v>
      </c>
      <c r="R780" s="25">
        <f t="shared" si="100"/>
        <v>6</v>
      </c>
      <c r="S780" s="26">
        <f t="shared" si="101"/>
        <v>11</v>
      </c>
    </row>
    <row r="781" spans="2:19" x14ac:dyDescent="0.3">
      <c r="B781" s="24">
        <v>316510</v>
      </c>
      <c r="C781" s="25">
        <v>24</v>
      </c>
      <c r="D781" s="25">
        <v>4</v>
      </c>
      <c r="E781" s="25">
        <v>0</v>
      </c>
      <c r="F781" s="25">
        <v>1</v>
      </c>
      <c r="G781" s="25">
        <v>63</v>
      </c>
      <c r="H781" s="25">
        <v>26.9</v>
      </c>
      <c r="I781" s="25">
        <v>7.19</v>
      </c>
      <c r="J781" s="25">
        <v>9.76</v>
      </c>
      <c r="K781" s="26">
        <v>1</v>
      </c>
      <c r="L781" s="25">
        <f t="shared" si="96"/>
        <v>5.1792536391267943</v>
      </c>
      <c r="M781" s="25">
        <f t="shared" si="102"/>
        <v>0.99439933560352456</v>
      </c>
      <c r="N781" s="25">
        <f t="shared" si="97"/>
        <v>0.99439933560352456</v>
      </c>
      <c r="O781" s="25">
        <f t="shared" si="98"/>
        <v>-5.6164069239074124E-3</v>
      </c>
      <c r="P781" s="25">
        <f t="shared" si="99"/>
        <v>1</v>
      </c>
      <c r="Q781" s="25">
        <f t="shared" si="103"/>
        <v>337.68133342199917</v>
      </c>
      <c r="R781" s="25">
        <f t="shared" si="100"/>
        <v>8</v>
      </c>
      <c r="S781" s="26">
        <f t="shared" si="101"/>
        <v>17</v>
      </c>
    </row>
    <row r="782" spans="2:19" x14ac:dyDescent="0.3">
      <c r="B782" s="24">
        <v>316518</v>
      </c>
      <c r="C782" s="25">
        <v>41</v>
      </c>
      <c r="D782" s="25">
        <v>5</v>
      </c>
      <c r="E782" s="25">
        <v>9</v>
      </c>
      <c r="F782" s="25">
        <v>14</v>
      </c>
      <c r="G782" s="25">
        <v>87</v>
      </c>
      <c r="H782" s="25">
        <v>4.4000000000000004</v>
      </c>
      <c r="I782" s="25">
        <v>0.78</v>
      </c>
      <c r="J782" s="25">
        <v>3.05</v>
      </c>
      <c r="K782" s="26">
        <v>0</v>
      </c>
      <c r="L782" s="25">
        <f t="shared" si="96"/>
        <v>-3.1426173191897022</v>
      </c>
      <c r="M782" s="25">
        <f t="shared" si="102"/>
        <v>4.1383163961963183E-2</v>
      </c>
      <c r="N782" s="25">
        <f t="shared" si="97"/>
        <v>0.95861683603803682</v>
      </c>
      <c r="O782" s="25">
        <f t="shared" si="98"/>
        <v>-4.2263829258284008E-2</v>
      </c>
      <c r="P782" s="25">
        <f t="shared" si="99"/>
        <v>0</v>
      </c>
      <c r="Q782" s="25">
        <f t="shared" si="103"/>
        <v>577.79976586616772</v>
      </c>
      <c r="R782" s="25">
        <f t="shared" si="100"/>
        <v>5</v>
      </c>
      <c r="S782" s="26">
        <f t="shared" si="101"/>
        <v>9</v>
      </c>
    </row>
    <row r="783" spans="2:19" x14ac:dyDescent="0.3">
      <c r="B783" s="24">
        <v>316521</v>
      </c>
      <c r="C783" s="25">
        <v>23</v>
      </c>
      <c r="D783" s="25">
        <v>4</v>
      </c>
      <c r="E783" s="25">
        <v>0</v>
      </c>
      <c r="F783" s="25">
        <v>1</v>
      </c>
      <c r="G783" s="25">
        <v>35</v>
      </c>
      <c r="H783" s="25">
        <v>15</v>
      </c>
      <c r="I783" s="25">
        <v>0.4</v>
      </c>
      <c r="J783" s="25">
        <v>4.8499999999999996</v>
      </c>
      <c r="K783" s="26">
        <v>1</v>
      </c>
      <c r="L783" s="25">
        <f t="shared" si="96"/>
        <v>0.66906109843419381</v>
      </c>
      <c r="M783" s="25">
        <f t="shared" si="102"/>
        <v>0.66129289156634508</v>
      </c>
      <c r="N783" s="25">
        <f t="shared" si="97"/>
        <v>0.66129289156634508</v>
      </c>
      <c r="O783" s="25">
        <f t="shared" si="98"/>
        <v>-0.41355843354068583</v>
      </c>
      <c r="P783" s="25">
        <f t="shared" si="99"/>
        <v>1</v>
      </c>
      <c r="Q783" s="25">
        <f t="shared" si="103"/>
        <v>467.8179779718896</v>
      </c>
      <c r="R783" s="25">
        <f t="shared" si="100"/>
        <v>7</v>
      </c>
      <c r="S783" s="26">
        <f t="shared" si="101"/>
        <v>15</v>
      </c>
    </row>
    <row r="784" spans="2:19" x14ac:dyDescent="0.3">
      <c r="B784" s="24">
        <v>316547</v>
      </c>
      <c r="C784" s="25">
        <v>33</v>
      </c>
      <c r="D784" s="25">
        <v>4</v>
      </c>
      <c r="E784" s="25">
        <v>3</v>
      </c>
      <c r="F784" s="25">
        <v>7</v>
      </c>
      <c r="G784" s="25">
        <v>19</v>
      </c>
      <c r="H784" s="25">
        <v>17.2</v>
      </c>
      <c r="I784" s="25">
        <v>0.37</v>
      </c>
      <c r="J784" s="25">
        <v>2.9</v>
      </c>
      <c r="K784" s="26">
        <v>1</v>
      </c>
      <c r="L784" s="25">
        <f t="shared" si="96"/>
        <v>-0.26873296805696756</v>
      </c>
      <c r="M784" s="25">
        <f t="shared" si="102"/>
        <v>0.43321817593237233</v>
      </c>
      <c r="N784" s="25">
        <f t="shared" si="97"/>
        <v>0.43321817593237233</v>
      </c>
      <c r="O784" s="25">
        <f t="shared" si="98"/>
        <v>-0.83651380736620673</v>
      </c>
      <c r="P784" s="25">
        <f t="shared" si="99"/>
        <v>1</v>
      </c>
      <c r="Q784" s="25">
        <f t="shared" si="103"/>
        <v>494.87699418701891</v>
      </c>
      <c r="R784" s="25">
        <f t="shared" si="100"/>
        <v>7</v>
      </c>
      <c r="S784" s="26">
        <f t="shared" si="101"/>
        <v>14</v>
      </c>
    </row>
    <row r="785" spans="2:19" x14ac:dyDescent="0.3">
      <c r="B785" s="24">
        <v>316569</v>
      </c>
      <c r="C785" s="25">
        <v>42</v>
      </c>
      <c r="D785" s="25">
        <v>2</v>
      </c>
      <c r="E785" s="25">
        <v>18</v>
      </c>
      <c r="F785" s="25">
        <v>5</v>
      </c>
      <c r="G785" s="25">
        <v>176</v>
      </c>
      <c r="H785" s="25">
        <v>5.6</v>
      </c>
      <c r="I785" s="25">
        <v>3.91</v>
      </c>
      <c r="J785" s="25">
        <v>5.94</v>
      </c>
      <c r="K785" s="26">
        <v>0</v>
      </c>
      <c r="L785" s="25">
        <f t="shared" si="96"/>
        <v>-3.0522928676850287</v>
      </c>
      <c r="M785" s="25">
        <f t="shared" si="102"/>
        <v>4.5118587000266427E-2</v>
      </c>
      <c r="N785" s="25">
        <f t="shared" si="97"/>
        <v>0.95488141299973361</v>
      </c>
      <c r="O785" s="25">
        <f t="shared" si="98"/>
        <v>-4.6168121081133079E-2</v>
      </c>
      <c r="P785" s="25">
        <f t="shared" si="99"/>
        <v>0</v>
      </c>
      <c r="Q785" s="25">
        <f t="shared" si="103"/>
        <v>575.19355317489703</v>
      </c>
      <c r="R785" s="25">
        <f t="shared" si="100"/>
        <v>5</v>
      </c>
      <c r="S785" s="26">
        <f t="shared" si="101"/>
        <v>9</v>
      </c>
    </row>
    <row r="786" spans="2:19" x14ac:dyDescent="0.3">
      <c r="B786" s="24">
        <v>316577</v>
      </c>
      <c r="C786" s="25">
        <v>20</v>
      </c>
      <c r="D786" s="25">
        <v>3</v>
      </c>
      <c r="E786" s="25">
        <v>0</v>
      </c>
      <c r="F786" s="25">
        <v>0</v>
      </c>
      <c r="G786" s="25">
        <v>16</v>
      </c>
      <c r="H786" s="25">
        <v>3.5</v>
      </c>
      <c r="I786" s="25">
        <v>0.23</v>
      </c>
      <c r="J786" s="25">
        <v>0.33</v>
      </c>
      <c r="K786" s="26">
        <v>1</v>
      </c>
      <c r="L786" s="25">
        <f t="shared" si="96"/>
        <v>-0.52419753577656092</v>
      </c>
      <c r="M786" s="25">
        <f t="shared" si="102"/>
        <v>0.37187123444030512</v>
      </c>
      <c r="N786" s="25">
        <f t="shared" si="97"/>
        <v>0.37187123444030512</v>
      </c>
      <c r="O786" s="25">
        <f t="shared" si="98"/>
        <v>-0.98920762860831957</v>
      </c>
      <c r="P786" s="25">
        <f t="shared" si="99"/>
        <v>0</v>
      </c>
      <c r="Q786" s="25">
        <f t="shared" si="103"/>
        <v>502.24814327754331</v>
      </c>
      <c r="R786" s="25">
        <f t="shared" si="100"/>
        <v>7</v>
      </c>
      <c r="S786" s="26">
        <f t="shared" si="101"/>
        <v>14</v>
      </c>
    </row>
    <row r="787" spans="2:19" x14ac:dyDescent="0.3">
      <c r="B787" s="24">
        <v>316583</v>
      </c>
      <c r="C787" s="25">
        <v>27</v>
      </c>
      <c r="D787" s="25">
        <v>2</v>
      </c>
      <c r="E787" s="25">
        <v>3</v>
      </c>
      <c r="F787" s="25">
        <v>4</v>
      </c>
      <c r="G787" s="25">
        <v>26</v>
      </c>
      <c r="H787" s="25">
        <v>2.6</v>
      </c>
      <c r="I787" s="25">
        <v>0.09</v>
      </c>
      <c r="J787" s="25">
        <v>0.57999999999999996</v>
      </c>
      <c r="K787" s="26">
        <v>0</v>
      </c>
      <c r="L787" s="25">
        <f t="shared" si="96"/>
        <v>-1.578502241550418</v>
      </c>
      <c r="M787" s="25">
        <f t="shared" si="102"/>
        <v>0.17100770574342164</v>
      </c>
      <c r="N787" s="25">
        <f t="shared" si="97"/>
        <v>0.82899229425657839</v>
      </c>
      <c r="O787" s="25">
        <f t="shared" si="98"/>
        <v>-0.1875444191173308</v>
      </c>
      <c r="P787" s="25">
        <f t="shared" si="99"/>
        <v>0</v>
      </c>
      <c r="Q787" s="25">
        <f t="shared" si="103"/>
        <v>532.66894582747159</v>
      </c>
      <c r="R787" s="25">
        <f t="shared" si="100"/>
        <v>6</v>
      </c>
      <c r="S787" s="26">
        <f t="shared" si="101"/>
        <v>12</v>
      </c>
    </row>
    <row r="788" spans="2:19" x14ac:dyDescent="0.3">
      <c r="B788" s="24">
        <v>316622</v>
      </c>
      <c r="C788" s="25">
        <v>34</v>
      </c>
      <c r="D788" s="25">
        <v>2</v>
      </c>
      <c r="E788" s="25">
        <v>9</v>
      </c>
      <c r="F788" s="25">
        <v>3</v>
      </c>
      <c r="G788" s="25">
        <v>29</v>
      </c>
      <c r="H788" s="25">
        <v>11.6</v>
      </c>
      <c r="I788" s="25">
        <v>1.06</v>
      </c>
      <c r="J788" s="25">
        <v>2.2999999999999998</v>
      </c>
      <c r="K788" s="26">
        <v>1</v>
      </c>
      <c r="L788" s="25">
        <f t="shared" si="96"/>
        <v>-1.6545340443493795</v>
      </c>
      <c r="M788" s="25">
        <f t="shared" si="102"/>
        <v>0.16049710171499737</v>
      </c>
      <c r="N788" s="25">
        <f t="shared" si="97"/>
        <v>0.16049710171499737</v>
      </c>
      <c r="O788" s="25">
        <f t="shared" si="98"/>
        <v>-1.8294793944255952</v>
      </c>
      <c r="P788" s="25">
        <f t="shared" si="99"/>
        <v>0</v>
      </c>
      <c r="Q788" s="25">
        <f t="shared" si="103"/>
        <v>534.86275986225257</v>
      </c>
      <c r="R788" s="25">
        <f t="shared" si="100"/>
        <v>6</v>
      </c>
      <c r="S788" s="26">
        <f t="shared" si="101"/>
        <v>12</v>
      </c>
    </row>
    <row r="789" spans="2:19" x14ac:dyDescent="0.3">
      <c r="B789" s="24">
        <v>316635</v>
      </c>
      <c r="C789" s="25">
        <v>20</v>
      </c>
      <c r="D789" s="25">
        <v>2</v>
      </c>
      <c r="E789" s="25">
        <v>0</v>
      </c>
      <c r="F789" s="25">
        <v>0</v>
      </c>
      <c r="G789" s="25">
        <v>34</v>
      </c>
      <c r="H789" s="25">
        <v>12.9</v>
      </c>
      <c r="I789" s="25">
        <v>0.9</v>
      </c>
      <c r="J789" s="25">
        <v>3.49</v>
      </c>
      <c r="K789" s="26">
        <v>1</v>
      </c>
      <c r="L789" s="25">
        <f t="shared" si="96"/>
        <v>0.86651626116065694</v>
      </c>
      <c r="M789" s="25">
        <f t="shared" si="102"/>
        <v>0.7040202877229732</v>
      </c>
      <c r="N789" s="25">
        <f t="shared" si="97"/>
        <v>0.7040202877229732</v>
      </c>
      <c r="O789" s="25">
        <f t="shared" si="98"/>
        <v>-0.35094810545100491</v>
      </c>
      <c r="P789" s="25">
        <f t="shared" si="99"/>
        <v>1</v>
      </c>
      <c r="Q789" s="25">
        <f t="shared" si="103"/>
        <v>462.12062645209653</v>
      </c>
      <c r="R789" s="25">
        <f t="shared" si="100"/>
        <v>8</v>
      </c>
      <c r="S789" s="26">
        <f t="shared" si="101"/>
        <v>16</v>
      </c>
    </row>
    <row r="790" spans="2:19" x14ac:dyDescent="0.3">
      <c r="B790" s="24">
        <v>316655</v>
      </c>
      <c r="C790" s="25">
        <v>66</v>
      </c>
      <c r="D790" s="25">
        <v>2</v>
      </c>
      <c r="E790" s="25">
        <v>9</v>
      </c>
      <c r="F790" s="25">
        <v>23</v>
      </c>
      <c r="G790" s="25">
        <v>54</v>
      </c>
      <c r="H790" s="25">
        <v>15.8</v>
      </c>
      <c r="I790" s="25">
        <v>1.34</v>
      </c>
      <c r="J790" s="25">
        <v>7.19</v>
      </c>
      <c r="K790" s="26">
        <v>0</v>
      </c>
      <c r="L790" s="25">
        <f t="shared" si="96"/>
        <v>-2.3177324522828826</v>
      </c>
      <c r="M790" s="25">
        <f t="shared" si="102"/>
        <v>8.9664976161517501E-2</v>
      </c>
      <c r="N790" s="25">
        <f t="shared" si="97"/>
        <v>0.91033502383848253</v>
      </c>
      <c r="O790" s="25">
        <f t="shared" si="98"/>
        <v>-9.3942589160526127E-2</v>
      </c>
      <c r="P790" s="25">
        <f t="shared" si="99"/>
        <v>0</v>
      </c>
      <c r="Q790" s="25">
        <f t="shared" si="103"/>
        <v>553.99862040492508</v>
      </c>
      <c r="R790" s="25">
        <f t="shared" si="100"/>
        <v>6</v>
      </c>
      <c r="S790" s="26">
        <f t="shared" si="101"/>
        <v>10</v>
      </c>
    </row>
    <row r="791" spans="2:19" x14ac:dyDescent="0.3">
      <c r="B791" s="24">
        <v>316681</v>
      </c>
      <c r="C791" s="25">
        <v>19</v>
      </c>
      <c r="D791" s="25">
        <v>2</v>
      </c>
      <c r="E791" s="25">
        <v>0</v>
      </c>
      <c r="F791" s="25">
        <v>0</v>
      </c>
      <c r="G791" s="25">
        <v>20</v>
      </c>
      <c r="H791" s="25">
        <v>12.7</v>
      </c>
      <c r="I791" s="25">
        <v>1.22</v>
      </c>
      <c r="J791" s="25">
        <v>1.32</v>
      </c>
      <c r="K791" s="26">
        <v>0</v>
      </c>
      <c r="L791" s="25">
        <f t="shared" si="96"/>
        <v>0.96212996138261397</v>
      </c>
      <c r="M791" s="25">
        <f t="shared" si="102"/>
        <v>0.72354805614547457</v>
      </c>
      <c r="N791" s="25">
        <f t="shared" si="97"/>
        <v>0.27645194385452543</v>
      </c>
      <c r="O791" s="25">
        <f t="shared" si="98"/>
        <v>-1.2857182747361173</v>
      </c>
      <c r="P791" s="25">
        <f t="shared" si="99"/>
        <v>1</v>
      </c>
      <c r="Q791" s="25">
        <f t="shared" si="103"/>
        <v>459.36179830726218</v>
      </c>
      <c r="R791" s="25">
        <f t="shared" si="100"/>
        <v>8</v>
      </c>
      <c r="S791" s="26">
        <f t="shared" si="101"/>
        <v>16</v>
      </c>
    </row>
    <row r="792" spans="2:19" x14ac:dyDescent="0.3">
      <c r="B792" s="24">
        <v>316735</v>
      </c>
      <c r="C792" s="25">
        <v>33</v>
      </c>
      <c r="D792" s="25">
        <v>5</v>
      </c>
      <c r="E792" s="25">
        <v>2</v>
      </c>
      <c r="F792" s="25">
        <v>7</v>
      </c>
      <c r="G792" s="25">
        <v>79</v>
      </c>
      <c r="H792" s="25">
        <v>23.7</v>
      </c>
      <c r="I792" s="25">
        <v>10.47</v>
      </c>
      <c r="J792" s="25">
        <v>8.26</v>
      </c>
      <c r="K792" s="26">
        <v>1</v>
      </c>
      <c r="L792" s="25">
        <f t="shared" si="96"/>
        <v>5.4843417338552181</v>
      </c>
      <c r="M792" s="25">
        <f t="shared" si="102"/>
        <v>0.99586589495461553</v>
      </c>
      <c r="N792" s="25">
        <f t="shared" si="97"/>
        <v>0.99586589495461553</v>
      </c>
      <c r="O792" s="25">
        <f t="shared" si="98"/>
        <v>-4.1426740826686617E-3</v>
      </c>
      <c r="P792" s="25">
        <f t="shared" si="99"/>
        <v>1</v>
      </c>
      <c r="Q792" s="25">
        <f t="shared" si="103"/>
        <v>328.87835204551527</v>
      </c>
      <c r="R792" s="25">
        <f t="shared" si="100"/>
        <v>8</v>
      </c>
      <c r="S792" s="26">
        <f t="shared" si="101"/>
        <v>17</v>
      </c>
    </row>
    <row r="793" spans="2:19" x14ac:dyDescent="0.3">
      <c r="B793" s="24">
        <v>316737</v>
      </c>
      <c r="C793" s="25">
        <v>22</v>
      </c>
      <c r="D793" s="25">
        <v>3</v>
      </c>
      <c r="E793" s="25">
        <v>1</v>
      </c>
      <c r="F793" s="25">
        <v>1</v>
      </c>
      <c r="G793" s="25">
        <v>17</v>
      </c>
      <c r="H793" s="25">
        <v>25.4</v>
      </c>
      <c r="I793" s="25">
        <v>2.38</v>
      </c>
      <c r="J793" s="25">
        <v>1.94</v>
      </c>
      <c r="K793" s="26">
        <v>1</v>
      </c>
      <c r="L793" s="25">
        <f t="shared" si="96"/>
        <v>2.4147666276620683</v>
      </c>
      <c r="M793" s="25">
        <f t="shared" si="102"/>
        <v>0.91794642401264082</v>
      </c>
      <c r="N793" s="25">
        <f t="shared" si="97"/>
        <v>0.91794642401264082</v>
      </c>
      <c r="O793" s="25">
        <f t="shared" si="98"/>
        <v>-8.5616251706756949E-2</v>
      </c>
      <c r="P793" s="25">
        <f t="shared" si="99"/>
        <v>1</v>
      </c>
      <c r="Q793" s="25">
        <f t="shared" si="103"/>
        <v>417.44756520210149</v>
      </c>
      <c r="R793" s="25">
        <f t="shared" si="100"/>
        <v>8</v>
      </c>
      <c r="S793" s="26">
        <f t="shared" si="101"/>
        <v>16</v>
      </c>
    </row>
    <row r="794" spans="2:19" x14ac:dyDescent="0.3">
      <c r="B794" s="24">
        <v>316777</v>
      </c>
      <c r="C794" s="25">
        <v>40</v>
      </c>
      <c r="D794" s="25">
        <v>2</v>
      </c>
      <c r="E794" s="25">
        <v>5</v>
      </c>
      <c r="F794" s="25">
        <v>7</v>
      </c>
      <c r="G794" s="25">
        <v>43</v>
      </c>
      <c r="H794" s="25">
        <v>23.9</v>
      </c>
      <c r="I794" s="25">
        <v>3.69</v>
      </c>
      <c r="J794" s="25">
        <v>6.59</v>
      </c>
      <c r="K794" s="26">
        <v>1</v>
      </c>
      <c r="L794" s="25">
        <f t="shared" si="96"/>
        <v>1.5727724943409676</v>
      </c>
      <c r="M794" s="25">
        <f t="shared" si="102"/>
        <v>0.82817849014120404</v>
      </c>
      <c r="N794" s="25">
        <f t="shared" si="97"/>
        <v>0.82817849014120404</v>
      </c>
      <c r="O794" s="25">
        <f t="shared" si="98"/>
        <v>-0.1885265800248912</v>
      </c>
      <c r="P794" s="25">
        <f t="shared" si="99"/>
        <v>1</v>
      </c>
      <c r="Q794" s="25">
        <f t="shared" si="103"/>
        <v>441.74237972553516</v>
      </c>
      <c r="R794" s="25">
        <f t="shared" si="100"/>
        <v>8</v>
      </c>
      <c r="S794" s="26">
        <f t="shared" si="101"/>
        <v>16</v>
      </c>
    </row>
    <row r="795" spans="2:19" x14ac:dyDescent="0.3">
      <c r="B795" s="24">
        <v>316798</v>
      </c>
      <c r="C795" s="25">
        <v>55</v>
      </c>
      <c r="D795" s="25">
        <v>5</v>
      </c>
      <c r="E795" s="25">
        <v>25</v>
      </c>
      <c r="F795" s="25">
        <v>12</v>
      </c>
      <c r="G795" s="25">
        <v>73</v>
      </c>
      <c r="H795" s="25">
        <v>19.100000000000001</v>
      </c>
      <c r="I795" s="25">
        <v>5.8</v>
      </c>
      <c r="J795" s="25">
        <v>8.14</v>
      </c>
      <c r="K795" s="26">
        <v>0</v>
      </c>
      <c r="L795" s="25">
        <f t="shared" si="96"/>
        <v>-3.0322519500747824</v>
      </c>
      <c r="M795" s="25">
        <f t="shared" si="102"/>
        <v>4.5989921988131226E-2</v>
      </c>
      <c r="N795" s="25">
        <f t="shared" si="97"/>
        <v>0.95401007801186877</v>
      </c>
      <c r="O795" s="25">
        <f t="shared" si="98"/>
        <v>-4.7081043635907843E-2</v>
      </c>
      <c r="P795" s="25">
        <f t="shared" si="99"/>
        <v>0</v>
      </c>
      <c r="Q795" s="25">
        <f t="shared" si="103"/>
        <v>574.61529454226275</v>
      </c>
      <c r="R795" s="25">
        <f t="shared" si="100"/>
        <v>5</v>
      </c>
      <c r="S795" s="26">
        <f t="shared" si="101"/>
        <v>9</v>
      </c>
    </row>
    <row r="796" spans="2:19" x14ac:dyDescent="0.3">
      <c r="B796" s="24">
        <v>316809</v>
      </c>
      <c r="C796" s="25">
        <v>25</v>
      </c>
      <c r="D796" s="25">
        <v>4</v>
      </c>
      <c r="E796" s="25">
        <v>1</v>
      </c>
      <c r="F796" s="25">
        <v>1</v>
      </c>
      <c r="G796" s="25">
        <v>15</v>
      </c>
      <c r="H796" s="25">
        <v>8.9</v>
      </c>
      <c r="I796" s="25">
        <v>0.56000000000000005</v>
      </c>
      <c r="J796" s="25">
        <v>0.78</v>
      </c>
      <c r="K796" s="26">
        <v>1</v>
      </c>
      <c r="L796" s="25">
        <f t="shared" si="96"/>
        <v>-0.23904194813531862</v>
      </c>
      <c r="M796" s="25">
        <f t="shared" si="102"/>
        <v>0.44052246104389126</v>
      </c>
      <c r="N796" s="25">
        <f t="shared" si="97"/>
        <v>0.44052246104389126</v>
      </c>
      <c r="O796" s="25">
        <f t="shared" si="98"/>
        <v>-0.81979384502186714</v>
      </c>
      <c r="P796" s="25">
        <f t="shared" si="99"/>
        <v>1</v>
      </c>
      <c r="Q796" s="25">
        <f t="shared" si="103"/>
        <v>494.02029246730166</v>
      </c>
      <c r="R796" s="25">
        <f t="shared" si="100"/>
        <v>7</v>
      </c>
      <c r="S796" s="26">
        <f t="shared" si="101"/>
        <v>14</v>
      </c>
    </row>
    <row r="797" spans="2:19" x14ac:dyDescent="0.3">
      <c r="B797" s="24">
        <v>316824</v>
      </c>
      <c r="C797" s="25">
        <v>23</v>
      </c>
      <c r="D797" s="25">
        <v>3</v>
      </c>
      <c r="E797" s="25">
        <v>0</v>
      </c>
      <c r="F797" s="25">
        <v>1</v>
      </c>
      <c r="G797" s="25">
        <v>30</v>
      </c>
      <c r="H797" s="25">
        <v>6.9</v>
      </c>
      <c r="I797" s="25">
        <v>0.55000000000000004</v>
      </c>
      <c r="J797" s="25">
        <v>1.52</v>
      </c>
      <c r="K797" s="26">
        <v>0</v>
      </c>
      <c r="L797" s="25">
        <f t="shared" si="96"/>
        <v>-9.824553281602999E-2</v>
      </c>
      <c r="M797" s="25">
        <f t="shared" si="102"/>
        <v>0.4754583536631245</v>
      </c>
      <c r="N797" s="25">
        <f t="shared" si="97"/>
        <v>0.5245416463368755</v>
      </c>
      <c r="O797" s="25">
        <f t="shared" si="98"/>
        <v>-0.64523045232107157</v>
      </c>
      <c r="P797" s="25">
        <f t="shared" si="99"/>
        <v>1</v>
      </c>
      <c r="Q797" s="25">
        <f t="shared" si="103"/>
        <v>489.95776677932042</v>
      </c>
      <c r="R797" s="25">
        <f t="shared" si="100"/>
        <v>7</v>
      </c>
      <c r="S797" s="26">
        <f t="shared" si="101"/>
        <v>15</v>
      </c>
    </row>
    <row r="798" spans="2:19" x14ac:dyDescent="0.3">
      <c r="B798" s="24">
        <v>316838</v>
      </c>
      <c r="C798" s="25">
        <v>37</v>
      </c>
      <c r="D798" s="25">
        <v>4</v>
      </c>
      <c r="E798" s="25">
        <v>13</v>
      </c>
      <c r="F798" s="25">
        <v>5</v>
      </c>
      <c r="G798" s="25">
        <v>225</v>
      </c>
      <c r="H798" s="25">
        <v>1.1000000000000001</v>
      </c>
      <c r="I798" s="25">
        <v>1.42</v>
      </c>
      <c r="J798" s="25">
        <v>1.06</v>
      </c>
      <c r="K798" s="26">
        <v>0</v>
      </c>
      <c r="L798" s="25">
        <f t="shared" si="96"/>
        <v>-3.6596985778649631</v>
      </c>
      <c r="M798" s="25">
        <f t="shared" si="102"/>
        <v>2.5094335272844992E-2</v>
      </c>
      <c r="N798" s="25">
        <f t="shared" si="97"/>
        <v>0.97490566472715501</v>
      </c>
      <c r="O798" s="25">
        <f t="shared" si="98"/>
        <v>-2.5414566791267128E-2</v>
      </c>
      <c r="P798" s="25">
        <f t="shared" si="99"/>
        <v>0</v>
      </c>
      <c r="Q798" s="25">
        <f t="shared" si="103"/>
        <v>592.71957679585785</v>
      </c>
      <c r="R798" s="25">
        <f t="shared" si="100"/>
        <v>4</v>
      </c>
      <c r="S798" s="26">
        <f t="shared" si="101"/>
        <v>7</v>
      </c>
    </row>
    <row r="799" spans="2:19" x14ac:dyDescent="0.3">
      <c r="B799" s="24">
        <v>316862</v>
      </c>
      <c r="C799" s="25">
        <v>18</v>
      </c>
      <c r="D799" s="25">
        <v>2</v>
      </c>
      <c r="E799" s="25">
        <v>0</v>
      </c>
      <c r="F799" s="25">
        <v>0</v>
      </c>
      <c r="G799" s="25">
        <v>21</v>
      </c>
      <c r="H799" s="25">
        <v>6.6</v>
      </c>
      <c r="I799" s="25">
        <v>0.08</v>
      </c>
      <c r="J799" s="25">
        <v>1.31</v>
      </c>
      <c r="K799" s="26">
        <v>1</v>
      </c>
      <c r="L799" s="25">
        <f t="shared" si="96"/>
        <v>-0.16405888764665982</v>
      </c>
      <c r="M799" s="25">
        <f t="shared" si="102"/>
        <v>0.45907702484926433</v>
      </c>
      <c r="N799" s="25">
        <f t="shared" si="97"/>
        <v>0.45907702484926433</v>
      </c>
      <c r="O799" s="25">
        <f t="shared" si="98"/>
        <v>-0.77853727287102048</v>
      </c>
      <c r="P799" s="25">
        <f t="shared" si="99"/>
        <v>1</v>
      </c>
      <c r="Q799" s="25">
        <f t="shared" si="103"/>
        <v>491.85673873826795</v>
      </c>
      <c r="R799" s="25">
        <f t="shared" si="100"/>
        <v>7</v>
      </c>
      <c r="S799" s="26">
        <f t="shared" si="101"/>
        <v>14</v>
      </c>
    </row>
    <row r="800" spans="2:19" x14ac:dyDescent="0.3">
      <c r="B800" s="24">
        <v>316881</v>
      </c>
      <c r="C800" s="25">
        <v>23</v>
      </c>
      <c r="D800" s="25">
        <v>2</v>
      </c>
      <c r="E800" s="25">
        <v>4</v>
      </c>
      <c r="F800" s="25">
        <v>1</v>
      </c>
      <c r="G800" s="25">
        <v>22</v>
      </c>
      <c r="H800" s="25">
        <v>3.8</v>
      </c>
      <c r="I800" s="25">
        <v>0.08</v>
      </c>
      <c r="J800" s="25">
        <v>0.76</v>
      </c>
      <c r="K800" s="26">
        <v>0</v>
      </c>
      <c r="L800" s="25">
        <f t="shared" si="96"/>
        <v>-1.5021600910370365</v>
      </c>
      <c r="M800" s="25">
        <f t="shared" si="102"/>
        <v>0.18210357487089701</v>
      </c>
      <c r="N800" s="25">
        <f t="shared" si="97"/>
        <v>0.81789642512910299</v>
      </c>
      <c r="O800" s="25">
        <f t="shared" si="98"/>
        <v>-0.20101957004290755</v>
      </c>
      <c r="P800" s="25">
        <f t="shared" si="99"/>
        <v>0</v>
      </c>
      <c r="Q800" s="25">
        <f t="shared" si="103"/>
        <v>530.46617705077358</v>
      </c>
      <c r="R800" s="25">
        <f t="shared" si="100"/>
        <v>6</v>
      </c>
      <c r="S800" s="26">
        <f t="shared" si="101"/>
        <v>12</v>
      </c>
    </row>
    <row r="801" spans="2:19" x14ac:dyDescent="0.3">
      <c r="B801" s="24">
        <v>316883</v>
      </c>
      <c r="C801" s="25">
        <v>27</v>
      </c>
      <c r="D801" s="25">
        <v>2</v>
      </c>
      <c r="E801" s="25">
        <v>2</v>
      </c>
      <c r="F801" s="25">
        <v>2</v>
      </c>
      <c r="G801" s="25">
        <v>55</v>
      </c>
      <c r="H801" s="25">
        <v>11.7</v>
      </c>
      <c r="I801" s="25">
        <v>0.54</v>
      </c>
      <c r="J801" s="25">
        <v>5.89</v>
      </c>
      <c r="K801" s="26">
        <v>1</v>
      </c>
      <c r="L801" s="25">
        <f t="shared" si="96"/>
        <v>-2.7428543631024593E-2</v>
      </c>
      <c r="M801" s="25">
        <f t="shared" si="102"/>
        <v>0.49314329395947143</v>
      </c>
      <c r="N801" s="25">
        <f t="shared" si="97"/>
        <v>0.49314329395947143</v>
      </c>
      <c r="O801" s="25">
        <f t="shared" si="98"/>
        <v>-0.70695549005344072</v>
      </c>
      <c r="P801" s="25">
        <f t="shared" si="99"/>
        <v>1</v>
      </c>
      <c r="Q801" s="25">
        <f t="shared" si="103"/>
        <v>487.91442045507523</v>
      </c>
      <c r="R801" s="25">
        <f t="shared" si="100"/>
        <v>7</v>
      </c>
      <c r="S801" s="26">
        <f t="shared" si="101"/>
        <v>15</v>
      </c>
    </row>
    <row r="802" spans="2:19" x14ac:dyDescent="0.3">
      <c r="B802" s="24">
        <v>316907</v>
      </c>
      <c r="C802" s="25">
        <v>42</v>
      </c>
      <c r="D802" s="25">
        <v>5</v>
      </c>
      <c r="E802" s="25">
        <v>6</v>
      </c>
      <c r="F802" s="25">
        <v>8</v>
      </c>
      <c r="G802" s="25">
        <v>20</v>
      </c>
      <c r="H802" s="25">
        <v>15.3</v>
      </c>
      <c r="I802" s="25">
        <v>1.43</v>
      </c>
      <c r="J802" s="25">
        <v>1.63</v>
      </c>
      <c r="K802" s="26">
        <v>1</v>
      </c>
      <c r="L802" s="25">
        <f t="shared" si="96"/>
        <v>-0.94669708429234478</v>
      </c>
      <c r="M802" s="25">
        <f t="shared" si="102"/>
        <v>0.27954954987001268</v>
      </c>
      <c r="N802" s="25">
        <f t="shared" si="97"/>
        <v>0.27954954987001268</v>
      </c>
      <c r="O802" s="25">
        <f t="shared" si="98"/>
        <v>-1.2745757217056899</v>
      </c>
      <c r="P802" s="25">
        <f t="shared" si="99"/>
        <v>0</v>
      </c>
      <c r="Q802" s="25">
        <f t="shared" si="103"/>
        <v>514.43890300046291</v>
      </c>
      <c r="R802" s="25">
        <f t="shared" si="100"/>
        <v>7</v>
      </c>
      <c r="S802" s="26">
        <f t="shared" si="101"/>
        <v>13</v>
      </c>
    </row>
    <row r="803" spans="2:19" x14ac:dyDescent="0.3">
      <c r="B803" s="24">
        <v>316909</v>
      </c>
      <c r="C803" s="25">
        <v>31</v>
      </c>
      <c r="D803" s="25">
        <v>3</v>
      </c>
      <c r="E803" s="25">
        <v>9</v>
      </c>
      <c r="F803" s="25">
        <v>6</v>
      </c>
      <c r="G803" s="25">
        <v>23</v>
      </c>
      <c r="H803" s="25">
        <v>7.8</v>
      </c>
      <c r="I803" s="25">
        <v>0.45</v>
      </c>
      <c r="J803" s="25">
        <v>1.35</v>
      </c>
      <c r="K803" s="26">
        <v>0</v>
      </c>
      <c r="L803" s="25">
        <f t="shared" si="96"/>
        <v>-2.4336486507070205</v>
      </c>
      <c r="M803" s="25">
        <f t="shared" si="102"/>
        <v>8.0642544481403344E-2</v>
      </c>
      <c r="N803" s="25">
        <f t="shared" si="97"/>
        <v>0.9193574555185966</v>
      </c>
      <c r="O803" s="25">
        <f t="shared" si="98"/>
        <v>-8.4080270861031051E-2</v>
      </c>
      <c r="P803" s="25">
        <f t="shared" si="99"/>
        <v>0</v>
      </c>
      <c r="Q803" s="25">
        <f t="shared" si="103"/>
        <v>557.34325480263533</v>
      </c>
      <c r="R803" s="25">
        <f t="shared" si="100"/>
        <v>5</v>
      </c>
      <c r="S803" s="26">
        <f t="shared" si="101"/>
        <v>10</v>
      </c>
    </row>
    <row r="804" spans="2:19" x14ac:dyDescent="0.3">
      <c r="B804" s="24">
        <v>335024</v>
      </c>
      <c r="C804" s="25">
        <v>33</v>
      </c>
      <c r="D804" s="25">
        <v>2</v>
      </c>
      <c r="E804" s="25">
        <v>9</v>
      </c>
      <c r="F804" s="25">
        <v>5</v>
      </c>
      <c r="G804" s="25">
        <v>34</v>
      </c>
      <c r="H804" s="25">
        <v>12.7</v>
      </c>
      <c r="I804" s="25">
        <v>3.16</v>
      </c>
      <c r="J804" s="25">
        <v>1.1599999999999999</v>
      </c>
      <c r="K804" s="26">
        <v>1</v>
      </c>
      <c r="L804" s="25">
        <f t="shared" si="96"/>
        <v>-0.62123135092622306</v>
      </c>
      <c r="M804" s="25">
        <f t="shared" si="102"/>
        <v>0.34950145170968322</v>
      </c>
      <c r="N804" s="25">
        <f t="shared" si="97"/>
        <v>0.34950145170968322</v>
      </c>
      <c r="O804" s="25">
        <f t="shared" si="98"/>
        <v>-1.051247563641124</v>
      </c>
      <c r="P804" s="25">
        <f t="shared" si="99"/>
        <v>0</v>
      </c>
      <c r="Q804" s="25">
        <f t="shared" si="103"/>
        <v>505.04794727649016</v>
      </c>
      <c r="R804" s="25">
        <f t="shared" si="100"/>
        <v>7</v>
      </c>
      <c r="S804" s="26">
        <f t="shared" si="101"/>
        <v>14</v>
      </c>
    </row>
    <row r="805" spans="2:19" x14ac:dyDescent="0.3">
      <c r="B805" s="24">
        <v>335038</v>
      </c>
      <c r="C805" s="25">
        <v>58</v>
      </c>
      <c r="D805" s="25">
        <v>4</v>
      </c>
      <c r="E805" s="25">
        <v>26</v>
      </c>
      <c r="F805" s="25">
        <v>21</v>
      </c>
      <c r="G805" s="25">
        <v>132</v>
      </c>
      <c r="H805" s="25">
        <v>2.4</v>
      </c>
      <c r="I805" s="25">
        <v>0.98</v>
      </c>
      <c r="J805" s="25">
        <v>2.19</v>
      </c>
      <c r="K805" s="26">
        <v>0</v>
      </c>
      <c r="L805" s="25">
        <f t="shared" si="96"/>
        <v>-7.6467480059098447</v>
      </c>
      <c r="M805" s="25">
        <f t="shared" si="102"/>
        <v>4.7736675379005805E-4</v>
      </c>
      <c r="N805" s="25">
        <f t="shared" si="97"/>
        <v>0.99952263324620994</v>
      </c>
      <c r="O805" s="25">
        <f t="shared" si="98"/>
        <v>-4.7748072957248648E-4</v>
      </c>
      <c r="P805" s="25">
        <f t="shared" si="99"/>
        <v>0</v>
      </c>
      <c r="Q805" s="25">
        <f t="shared" si="103"/>
        <v>707.76150228772212</v>
      </c>
      <c r="R805" s="25">
        <f t="shared" si="100"/>
        <v>1</v>
      </c>
      <c r="S805" s="26">
        <f t="shared" si="101"/>
        <v>1</v>
      </c>
    </row>
    <row r="806" spans="2:19" x14ac:dyDescent="0.3">
      <c r="B806" s="24">
        <v>335114</v>
      </c>
      <c r="C806" s="25">
        <v>58</v>
      </c>
      <c r="D806" s="25">
        <v>3</v>
      </c>
      <c r="E806" s="25">
        <v>24</v>
      </c>
      <c r="F806" s="25">
        <v>24</v>
      </c>
      <c r="G806" s="25">
        <v>138</v>
      </c>
      <c r="H806" s="25">
        <v>3.9</v>
      </c>
      <c r="I806" s="25">
        <v>2.86</v>
      </c>
      <c r="J806" s="25">
        <v>2.52</v>
      </c>
      <c r="K806" s="26">
        <v>0</v>
      </c>
      <c r="L806" s="25">
        <f t="shared" si="96"/>
        <v>-6.1889049222517221</v>
      </c>
      <c r="M806" s="25">
        <f t="shared" si="102"/>
        <v>2.047870323672229E-3</v>
      </c>
      <c r="N806" s="25">
        <f t="shared" si="97"/>
        <v>0.99795212967632774</v>
      </c>
      <c r="O806" s="25">
        <f t="shared" si="98"/>
        <v>-2.0499700772753631E-3</v>
      </c>
      <c r="P806" s="25">
        <f t="shared" si="99"/>
        <v>0</v>
      </c>
      <c r="Q806" s="25">
        <f t="shared" si="103"/>
        <v>665.697043736159</v>
      </c>
      <c r="R806" s="25">
        <f t="shared" si="100"/>
        <v>2</v>
      </c>
      <c r="S806" s="26">
        <f t="shared" si="101"/>
        <v>1</v>
      </c>
    </row>
    <row r="807" spans="2:19" x14ac:dyDescent="0.3">
      <c r="B807" s="24">
        <v>335125</v>
      </c>
      <c r="C807" s="25">
        <v>48</v>
      </c>
      <c r="D807" s="25">
        <v>2</v>
      </c>
      <c r="E807" s="25">
        <v>12</v>
      </c>
      <c r="F807" s="25">
        <v>12</v>
      </c>
      <c r="G807" s="25">
        <v>51</v>
      </c>
      <c r="H807" s="25">
        <v>4.3</v>
      </c>
      <c r="I807" s="25">
        <v>0.22</v>
      </c>
      <c r="J807" s="25">
        <v>1.97</v>
      </c>
      <c r="K807" s="26">
        <v>0</v>
      </c>
      <c r="L807" s="25">
        <f t="shared" si="96"/>
        <v>-4.0574811740061554</v>
      </c>
      <c r="M807" s="25">
        <f t="shared" si="102"/>
        <v>1.6998572974300682E-2</v>
      </c>
      <c r="N807" s="25">
        <f t="shared" si="97"/>
        <v>0.98300142702569937</v>
      </c>
      <c r="O807" s="25">
        <f t="shared" si="98"/>
        <v>-1.7144707131345312E-2</v>
      </c>
      <c r="P807" s="25">
        <f t="shared" si="99"/>
        <v>0</v>
      </c>
      <c r="Q807" s="25">
        <f t="shared" si="103"/>
        <v>604.19715604665623</v>
      </c>
      <c r="R807" s="25">
        <f t="shared" si="100"/>
        <v>4</v>
      </c>
      <c r="S807" s="26">
        <f t="shared" si="101"/>
        <v>6</v>
      </c>
    </row>
    <row r="808" spans="2:19" x14ac:dyDescent="0.3">
      <c r="B808" s="24">
        <v>335142</v>
      </c>
      <c r="C808" s="25">
        <v>26</v>
      </c>
      <c r="D808" s="25">
        <v>2</v>
      </c>
      <c r="E808" s="25">
        <v>2</v>
      </c>
      <c r="F808" s="25">
        <v>4</v>
      </c>
      <c r="G808" s="25">
        <v>55</v>
      </c>
      <c r="H808" s="25">
        <v>11</v>
      </c>
      <c r="I808" s="25">
        <v>4.6900000000000004</v>
      </c>
      <c r="J808" s="25">
        <v>1.36</v>
      </c>
      <c r="K808" s="26">
        <v>1</v>
      </c>
      <c r="L808" s="25">
        <f t="shared" si="96"/>
        <v>1.7113556409666202</v>
      </c>
      <c r="M808" s="25">
        <f t="shared" si="102"/>
        <v>0.84701203443119866</v>
      </c>
      <c r="N808" s="25">
        <f t="shared" si="97"/>
        <v>0.84701203443119866</v>
      </c>
      <c r="O808" s="25">
        <f t="shared" si="98"/>
        <v>-0.1660403761297225</v>
      </c>
      <c r="P808" s="25">
        <f t="shared" si="99"/>
        <v>1</v>
      </c>
      <c r="Q808" s="25">
        <f t="shared" si="103"/>
        <v>437.74371547111321</v>
      </c>
      <c r="R808" s="25">
        <f t="shared" si="100"/>
        <v>8</v>
      </c>
      <c r="S808" s="26">
        <f t="shared" si="101"/>
        <v>16</v>
      </c>
    </row>
    <row r="809" spans="2:19" x14ac:dyDescent="0.3">
      <c r="B809" s="24">
        <v>335161</v>
      </c>
      <c r="C809" s="25">
        <v>28</v>
      </c>
      <c r="D809" s="25">
        <v>5</v>
      </c>
      <c r="E809" s="25">
        <v>2</v>
      </c>
      <c r="F809" s="25">
        <v>5</v>
      </c>
      <c r="G809" s="25">
        <v>18</v>
      </c>
      <c r="H809" s="25">
        <v>11.9</v>
      </c>
      <c r="I809" s="25">
        <v>0.32</v>
      </c>
      <c r="J809" s="25">
        <v>1.82</v>
      </c>
      <c r="K809" s="26">
        <v>1</v>
      </c>
      <c r="L809" s="25">
        <f t="shared" si="96"/>
        <v>-0.50182696340914124</v>
      </c>
      <c r="M809" s="25">
        <f t="shared" si="102"/>
        <v>0.3771114217692228</v>
      </c>
      <c r="N809" s="25">
        <f t="shared" si="97"/>
        <v>0.3771114217692228</v>
      </c>
      <c r="O809" s="25">
        <f t="shared" si="98"/>
        <v>-0.975214586740492</v>
      </c>
      <c r="P809" s="25">
        <f t="shared" si="99"/>
        <v>0</v>
      </c>
      <c r="Q809" s="25">
        <f t="shared" si="103"/>
        <v>501.60266501951099</v>
      </c>
      <c r="R809" s="25">
        <f t="shared" si="100"/>
        <v>7</v>
      </c>
      <c r="S809" s="26">
        <f t="shared" si="101"/>
        <v>14</v>
      </c>
    </row>
    <row r="810" spans="2:19" x14ac:dyDescent="0.3">
      <c r="B810" s="24">
        <v>335203</v>
      </c>
      <c r="C810" s="25">
        <v>22</v>
      </c>
      <c r="D810" s="25">
        <v>1</v>
      </c>
      <c r="E810" s="25">
        <v>4</v>
      </c>
      <c r="F810" s="25">
        <v>1</v>
      </c>
      <c r="G810" s="25">
        <v>21</v>
      </c>
      <c r="H810" s="25">
        <v>9</v>
      </c>
      <c r="I810" s="25">
        <v>0.87</v>
      </c>
      <c r="J810" s="25">
        <v>1.02</v>
      </c>
      <c r="K810" s="26">
        <v>0</v>
      </c>
      <c r="L810" s="25">
        <f t="shared" si="96"/>
        <v>-0.52853322418767468</v>
      </c>
      <c r="M810" s="25">
        <f t="shared" si="102"/>
        <v>0.37085905512783124</v>
      </c>
      <c r="N810" s="25">
        <f t="shared" si="97"/>
        <v>0.62914094487216876</v>
      </c>
      <c r="O810" s="25">
        <f t="shared" si="98"/>
        <v>-0.46339996968515268</v>
      </c>
      <c r="P810" s="25">
        <f t="shared" si="99"/>
        <v>0</v>
      </c>
      <c r="Q810" s="25">
        <f t="shared" si="103"/>
        <v>502.37324479738874</v>
      </c>
      <c r="R810" s="25">
        <f t="shared" si="100"/>
        <v>7</v>
      </c>
      <c r="S810" s="26">
        <f t="shared" si="101"/>
        <v>14</v>
      </c>
    </row>
    <row r="811" spans="2:19" x14ac:dyDescent="0.3">
      <c r="B811" s="24">
        <v>335236</v>
      </c>
      <c r="C811" s="25">
        <v>18</v>
      </c>
      <c r="D811" s="25">
        <v>2</v>
      </c>
      <c r="E811" s="25">
        <v>0</v>
      </c>
      <c r="F811" s="25">
        <v>0</v>
      </c>
      <c r="G811" s="25">
        <v>18</v>
      </c>
      <c r="H811" s="25">
        <v>8</v>
      </c>
      <c r="I811" s="25">
        <v>0.4</v>
      </c>
      <c r="J811" s="25">
        <v>1.04</v>
      </c>
      <c r="K811" s="26">
        <v>0</v>
      </c>
      <c r="L811" s="25">
        <f t="shared" si="96"/>
        <v>0.11955662995463895</v>
      </c>
      <c r="M811" s="25">
        <f t="shared" si="102"/>
        <v>0.52985360586506047</v>
      </c>
      <c r="N811" s="25">
        <f t="shared" si="97"/>
        <v>0.47014639413493953</v>
      </c>
      <c r="O811" s="25">
        <f t="shared" si="98"/>
        <v>-0.75471115589403637</v>
      </c>
      <c r="P811" s="25">
        <f t="shared" si="99"/>
        <v>1</v>
      </c>
      <c r="Q811" s="25">
        <f t="shared" si="103"/>
        <v>483.67332495495185</v>
      </c>
      <c r="R811" s="25">
        <f t="shared" si="100"/>
        <v>7</v>
      </c>
      <c r="S811" s="26">
        <f t="shared" si="101"/>
        <v>15</v>
      </c>
    </row>
    <row r="812" spans="2:19" x14ac:dyDescent="0.3">
      <c r="B812" s="24">
        <v>335322</v>
      </c>
      <c r="C812" s="25">
        <v>57</v>
      </c>
      <c r="D812" s="25">
        <v>2</v>
      </c>
      <c r="E812" s="25">
        <v>4</v>
      </c>
      <c r="F812" s="25">
        <v>12</v>
      </c>
      <c r="G812" s="25">
        <v>61</v>
      </c>
      <c r="H812" s="25">
        <v>2.2999999999999998</v>
      </c>
      <c r="I812" s="25">
        <v>0.11</v>
      </c>
      <c r="J812" s="25">
        <v>1.29</v>
      </c>
      <c r="K812" s="26">
        <v>0</v>
      </c>
      <c r="L812" s="25">
        <f t="shared" si="96"/>
        <v>-2.7081783978631506</v>
      </c>
      <c r="M812" s="25">
        <f t="shared" si="102"/>
        <v>6.2492488892317538E-2</v>
      </c>
      <c r="N812" s="25">
        <f t="shared" si="97"/>
        <v>0.93750751110768249</v>
      </c>
      <c r="O812" s="25">
        <f t="shared" si="98"/>
        <v>-6.4530509321471197E-2</v>
      </c>
      <c r="P812" s="25">
        <f t="shared" si="99"/>
        <v>0</v>
      </c>
      <c r="Q812" s="25">
        <f t="shared" si="103"/>
        <v>565.26450867410358</v>
      </c>
      <c r="R812" s="25">
        <f t="shared" si="100"/>
        <v>5</v>
      </c>
      <c r="S812" s="26">
        <f t="shared" si="101"/>
        <v>10</v>
      </c>
    </row>
    <row r="813" spans="2:19" x14ac:dyDescent="0.3">
      <c r="B813" s="24">
        <v>335417</v>
      </c>
      <c r="C813" s="25">
        <v>19</v>
      </c>
      <c r="D813" s="25">
        <v>2</v>
      </c>
      <c r="E813" s="25">
        <v>1</v>
      </c>
      <c r="F813" s="25">
        <v>0</v>
      </c>
      <c r="G813" s="25">
        <v>24</v>
      </c>
      <c r="H813" s="25">
        <v>12.3</v>
      </c>
      <c r="I813" s="25">
        <v>1.1100000000000001</v>
      </c>
      <c r="J813" s="25">
        <v>1.84</v>
      </c>
      <c r="K813" s="26">
        <v>1</v>
      </c>
      <c r="L813" s="25">
        <f t="shared" si="96"/>
        <v>0.65788548722467666</v>
      </c>
      <c r="M813" s="25">
        <f t="shared" si="102"/>
        <v>0.65878523265197797</v>
      </c>
      <c r="N813" s="25">
        <f t="shared" si="97"/>
        <v>0.65878523265197797</v>
      </c>
      <c r="O813" s="25">
        <f t="shared" si="98"/>
        <v>-0.41735769645511422</v>
      </c>
      <c r="P813" s="25">
        <f t="shared" si="99"/>
        <v>1</v>
      </c>
      <c r="Q813" s="25">
        <f t="shared" si="103"/>
        <v>468.14043794016789</v>
      </c>
      <c r="R813" s="25">
        <f t="shared" si="100"/>
        <v>7</v>
      </c>
      <c r="S813" s="26">
        <f t="shared" si="101"/>
        <v>15</v>
      </c>
    </row>
    <row r="814" spans="2:19" x14ac:dyDescent="0.3">
      <c r="B814" s="24">
        <v>335431</v>
      </c>
      <c r="C814" s="25">
        <v>31</v>
      </c>
      <c r="D814" s="25">
        <v>4</v>
      </c>
      <c r="E814" s="25">
        <v>4</v>
      </c>
      <c r="F814" s="25">
        <v>5</v>
      </c>
      <c r="G814" s="25">
        <v>36</v>
      </c>
      <c r="H814" s="25">
        <v>22.4</v>
      </c>
      <c r="I814" s="25">
        <v>0.15</v>
      </c>
      <c r="J814" s="25">
        <v>7.91</v>
      </c>
      <c r="K814" s="26">
        <v>0</v>
      </c>
      <c r="L814" s="25">
        <f t="shared" si="96"/>
        <v>0.15692791539209833</v>
      </c>
      <c r="M814" s="25">
        <f t="shared" si="102"/>
        <v>0.53915166485547295</v>
      </c>
      <c r="N814" s="25">
        <f t="shared" si="97"/>
        <v>0.46084833514452705</v>
      </c>
      <c r="O814" s="25">
        <f t="shared" si="98"/>
        <v>-0.7746862811246058</v>
      </c>
      <c r="P814" s="25">
        <f t="shared" si="99"/>
        <v>1</v>
      </c>
      <c r="Q814" s="25">
        <f t="shared" si="103"/>
        <v>482.59501762206793</v>
      </c>
      <c r="R814" s="25">
        <f t="shared" si="100"/>
        <v>7</v>
      </c>
      <c r="S814" s="26">
        <f t="shared" si="101"/>
        <v>15</v>
      </c>
    </row>
    <row r="815" spans="2:19" x14ac:dyDescent="0.3">
      <c r="B815" s="24">
        <v>335434</v>
      </c>
      <c r="C815" s="25">
        <v>18</v>
      </c>
      <c r="D815" s="25">
        <v>1</v>
      </c>
      <c r="E815" s="25">
        <v>1</v>
      </c>
      <c r="F815" s="25">
        <v>0</v>
      </c>
      <c r="G815" s="25">
        <v>18</v>
      </c>
      <c r="H815" s="25">
        <v>8</v>
      </c>
      <c r="I815" s="25">
        <v>0.74</v>
      </c>
      <c r="J815" s="25">
        <v>0.7</v>
      </c>
      <c r="K815" s="26">
        <v>1</v>
      </c>
      <c r="L815" s="25">
        <f t="shared" si="96"/>
        <v>9.9253410145101195E-2</v>
      </c>
      <c r="M815" s="25">
        <f t="shared" si="102"/>
        <v>0.52479300239372106</v>
      </c>
      <c r="N815" s="25">
        <f t="shared" si="97"/>
        <v>0.52479300239372106</v>
      </c>
      <c r="O815" s="25">
        <f t="shared" si="98"/>
        <v>-0.64475137529458226</v>
      </c>
      <c r="P815" s="25">
        <f t="shared" si="99"/>
        <v>1</v>
      </c>
      <c r="Q815" s="25">
        <f t="shared" si="103"/>
        <v>484.25915202901427</v>
      </c>
      <c r="R815" s="25">
        <f t="shared" si="100"/>
        <v>7</v>
      </c>
      <c r="S815" s="26">
        <f t="shared" si="101"/>
        <v>15</v>
      </c>
    </row>
    <row r="816" spans="2:19" x14ac:dyDescent="0.3">
      <c r="B816" s="24">
        <v>335530</v>
      </c>
      <c r="C816" s="25">
        <v>23</v>
      </c>
      <c r="D816" s="25">
        <v>3</v>
      </c>
      <c r="E816" s="25">
        <v>0</v>
      </c>
      <c r="F816" s="25">
        <v>1</v>
      </c>
      <c r="G816" s="25">
        <v>18</v>
      </c>
      <c r="H816" s="25">
        <v>4</v>
      </c>
      <c r="I816" s="25">
        <v>0.05</v>
      </c>
      <c r="J816" s="25">
        <v>0.67</v>
      </c>
      <c r="K816" s="26">
        <v>0</v>
      </c>
      <c r="L816" s="25">
        <f t="shared" si="96"/>
        <v>-0.64804228972970712</v>
      </c>
      <c r="M816" s="25">
        <f t="shared" si="102"/>
        <v>0.3434308383683905</v>
      </c>
      <c r="N816" s="25">
        <f t="shared" si="97"/>
        <v>0.6565691616316095</v>
      </c>
      <c r="O816" s="25">
        <f t="shared" si="98"/>
        <v>-0.4207272417681357</v>
      </c>
      <c r="P816" s="25">
        <f t="shared" si="99"/>
        <v>0</v>
      </c>
      <c r="Q816" s="25">
        <f t="shared" si="103"/>
        <v>505.82154742363201</v>
      </c>
      <c r="R816" s="25">
        <f t="shared" si="100"/>
        <v>7</v>
      </c>
      <c r="S816" s="26">
        <f t="shared" si="101"/>
        <v>14</v>
      </c>
    </row>
    <row r="817" spans="2:19" x14ac:dyDescent="0.3">
      <c r="B817" s="24">
        <v>335566</v>
      </c>
      <c r="C817" s="25">
        <v>19</v>
      </c>
      <c r="D817" s="25">
        <v>2</v>
      </c>
      <c r="E817" s="25">
        <v>0</v>
      </c>
      <c r="F817" s="25">
        <v>0</v>
      </c>
      <c r="G817" s="25">
        <v>14</v>
      </c>
      <c r="H817" s="25">
        <v>8.1999999999999993</v>
      </c>
      <c r="I817" s="25">
        <v>0.38</v>
      </c>
      <c r="J817" s="25">
        <v>0.77</v>
      </c>
      <c r="K817" s="26">
        <v>1</v>
      </c>
      <c r="L817" s="25">
        <f t="shared" si="96"/>
        <v>0.10073521088916232</v>
      </c>
      <c r="M817" s="25">
        <f t="shared" si="102"/>
        <v>0.52516252808388264</v>
      </c>
      <c r="N817" s="25">
        <f t="shared" si="97"/>
        <v>0.52516252808388264</v>
      </c>
      <c r="O817" s="25">
        <f t="shared" si="98"/>
        <v>-0.64404748699704539</v>
      </c>
      <c r="P817" s="25">
        <f t="shared" si="99"/>
        <v>1</v>
      </c>
      <c r="Q817" s="25">
        <f t="shared" si="103"/>
        <v>484.21639629852518</v>
      </c>
      <c r="R817" s="25">
        <f t="shared" si="100"/>
        <v>7</v>
      </c>
      <c r="S817" s="26">
        <f t="shared" si="101"/>
        <v>15</v>
      </c>
    </row>
    <row r="818" spans="2:19" x14ac:dyDescent="0.3">
      <c r="B818" s="24">
        <v>335573</v>
      </c>
      <c r="C818" s="25">
        <v>29</v>
      </c>
      <c r="D818" s="25">
        <v>3</v>
      </c>
      <c r="E818" s="25">
        <v>0</v>
      </c>
      <c r="F818" s="25">
        <v>4</v>
      </c>
      <c r="G818" s="25">
        <v>70</v>
      </c>
      <c r="H818" s="25">
        <v>16.5</v>
      </c>
      <c r="I818" s="25">
        <v>8.2100000000000009</v>
      </c>
      <c r="J818" s="25">
        <v>3.34</v>
      </c>
      <c r="K818" s="26">
        <v>1</v>
      </c>
      <c r="L818" s="25">
        <f t="shared" si="96"/>
        <v>4.3141821824050925</v>
      </c>
      <c r="M818" s="25">
        <f t="shared" si="102"/>
        <v>0.98679910936452575</v>
      </c>
      <c r="N818" s="25">
        <f t="shared" si="97"/>
        <v>0.98679910936452575</v>
      </c>
      <c r="O818" s="25">
        <f t="shared" si="98"/>
        <v>-1.3288796876465385E-2</v>
      </c>
      <c r="P818" s="25">
        <f t="shared" si="99"/>
        <v>1</v>
      </c>
      <c r="Q818" s="25">
        <f t="shared" si="103"/>
        <v>362.64201872710169</v>
      </c>
      <c r="R818" s="25">
        <f t="shared" si="100"/>
        <v>8</v>
      </c>
      <c r="S818" s="26">
        <f t="shared" si="101"/>
        <v>17</v>
      </c>
    </row>
    <row r="819" spans="2:19" x14ac:dyDescent="0.3">
      <c r="B819" s="24">
        <v>335610</v>
      </c>
      <c r="C819" s="25">
        <v>29</v>
      </c>
      <c r="D819" s="25">
        <v>3</v>
      </c>
      <c r="E819" s="25">
        <v>8</v>
      </c>
      <c r="F819" s="25">
        <v>5</v>
      </c>
      <c r="G819" s="25">
        <v>39</v>
      </c>
      <c r="H819" s="25">
        <v>11.6</v>
      </c>
      <c r="I819" s="25">
        <v>3.26</v>
      </c>
      <c r="J819" s="25">
        <v>1.27</v>
      </c>
      <c r="K819" s="26">
        <v>1</v>
      </c>
      <c r="L819" s="25">
        <f t="shared" si="96"/>
        <v>-0.42035479868496983</v>
      </c>
      <c r="M819" s="25">
        <f t="shared" si="102"/>
        <v>0.39643185304410672</v>
      </c>
      <c r="N819" s="25">
        <f t="shared" si="97"/>
        <v>0.39643185304410672</v>
      </c>
      <c r="O819" s="25">
        <f t="shared" si="98"/>
        <v>-0.92525112394207942</v>
      </c>
      <c r="P819" s="25">
        <f t="shared" si="99"/>
        <v>0</v>
      </c>
      <c r="Q819" s="25">
        <f t="shared" si="103"/>
        <v>499.25187532577621</v>
      </c>
      <c r="R819" s="25">
        <f t="shared" si="100"/>
        <v>7</v>
      </c>
      <c r="S819" s="26">
        <f t="shared" si="101"/>
        <v>14</v>
      </c>
    </row>
    <row r="820" spans="2:19" x14ac:dyDescent="0.3">
      <c r="B820" s="24">
        <v>335615</v>
      </c>
      <c r="C820" s="25">
        <v>25</v>
      </c>
      <c r="D820" s="25">
        <v>2</v>
      </c>
      <c r="E820" s="25">
        <v>2</v>
      </c>
      <c r="F820" s="25">
        <v>3</v>
      </c>
      <c r="G820" s="25">
        <v>24</v>
      </c>
      <c r="H820" s="25">
        <v>3</v>
      </c>
      <c r="I820" s="25">
        <v>0.15</v>
      </c>
      <c r="J820" s="25">
        <v>0.56999999999999995</v>
      </c>
      <c r="K820" s="26">
        <v>0</v>
      </c>
      <c r="L820" s="25">
        <f t="shared" si="96"/>
        <v>-1.2089024958534524</v>
      </c>
      <c r="M820" s="25">
        <f t="shared" si="102"/>
        <v>0.22989529927193028</v>
      </c>
      <c r="N820" s="25">
        <f t="shared" si="97"/>
        <v>0.77010470072806969</v>
      </c>
      <c r="O820" s="25">
        <f t="shared" si="98"/>
        <v>-0.26122879840664692</v>
      </c>
      <c r="P820" s="25">
        <f t="shared" si="99"/>
        <v>0</v>
      </c>
      <c r="Q820" s="25">
        <f t="shared" si="103"/>
        <v>522.0045517251059</v>
      </c>
      <c r="R820" s="25">
        <f t="shared" si="100"/>
        <v>6</v>
      </c>
      <c r="S820" s="26">
        <f t="shared" si="101"/>
        <v>13</v>
      </c>
    </row>
    <row r="821" spans="2:19" x14ac:dyDescent="0.3">
      <c r="B821" s="24">
        <v>335635</v>
      </c>
      <c r="C821" s="25">
        <v>18</v>
      </c>
      <c r="D821" s="25">
        <v>2</v>
      </c>
      <c r="E821" s="25">
        <v>0</v>
      </c>
      <c r="F821" s="25">
        <v>0</v>
      </c>
      <c r="G821" s="25">
        <v>24</v>
      </c>
      <c r="H821" s="25">
        <v>0.9</v>
      </c>
      <c r="I821" s="25">
        <v>0.13</v>
      </c>
      <c r="J821" s="25">
        <v>0.09</v>
      </c>
      <c r="K821" s="26">
        <v>1</v>
      </c>
      <c r="L821" s="25">
        <f t="shared" si="96"/>
        <v>-0.73824116217404301</v>
      </c>
      <c r="M821" s="25">
        <f t="shared" si="102"/>
        <v>0.32338887283738782</v>
      </c>
      <c r="N821" s="25">
        <f t="shared" si="97"/>
        <v>0.32338887283738782</v>
      </c>
      <c r="O821" s="25">
        <f t="shared" si="98"/>
        <v>-1.1288997392418567</v>
      </c>
      <c r="P821" s="25">
        <f t="shared" si="99"/>
        <v>0</v>
      </c>
      <c r="Q821" s="25">
        <f t="shared" si="103"/>
        <v>508.42413666925364</v>
      </c>
      <c r="R821" s="25">
        <f t="shared" si="100"/>
        <v>7</v>
      </c>
      <c r="S821" s="26">
        <f t="shared" si="101"/>
        <v>14</v>
      </c>
    </row>
    <row r="822" spans="2:19" x14ac:dyDescent="0.3">
      <c r="B822" s="24">
        <v>335667</v>
      </c>
      <c r="C822" s="25">
        <v>40</v>
      </c>
      <c r="D822" s="25">
        <v>3</v>
      </c>
      <c r="E822" s="25">
        <v>4</v>
      </c>
      <c r="F822" s="25">
        <v>6</v>
      </c>
      <c r="G822" s="25">
        <v>87</v>
      </c>
      <c r="H822" s="25">
        <v>1.2</v>
      </c>
      <c r="I822" s="25">
        <v>0.86</v>
      </c>
      <c r="J822" s="25">
        <v>0.18</v>
      </c>
      <c r="K822" s="26">
        <v>0</v>
      </c>
      <c r="L822" s="25">
        <f t="shared" si="96"/>
        <v>-1.9753988703712779</v>
      </c>
      <c r="M822" s="25">
        <f t="shared" si="102"/>
        <v>0.12181017618907193</v>
      </c>
      <c r="N822" s="25">
        <f t="shared" si="97"/>
        <v>0.87818982381092803</v>
      </c>
      <c r="O822" s="25">
        <f t="shared" si="98"/>
        <v>-0.12989250847468736</v>
      </c>
      <c r="P822" s="25">
        <f t="shared" si="99"/>
        <v>0</v>
      </c>
      <c r="Q822" s="25">
        <f t="shared" si="103"/>
        <v>544.12096146580575</v>
      </c>
      <c r="R822" s="25">
        <f t="shared" si="100"/>
        <v>6</v>
      </c>
      <c r="S822" s="26">
        <f t="shared" si="101"/>
        <v>11</v>
      </c>
    </row>
    <row r="823" spans="2:19" x14ac:dyDescent="0.3">
      <c r="B823" s="24">
        <v>335669</v>
      </c>
      <c r="C823" s="25">
        <v>31</v>
      </c>
      <c r="D823" s="25">
        <v>2</v>
      </c>
      <c r="E823" s="25">
        <v>11</v>
      </c>
      <c r="F823" s="25">
        <v>8</v>
      </c>
      <c r="G823" s="25">
        <v>36</v>
      </c>
      <c r="H823" s="25">
        <v>4.7</v>
      </c>
      <c r="I823" s="25">
        <v>0.13</v>
      </c>
      <c r="J823" s="25">
        <v>1.57</v>
      </c>
      <c r="K823" s="26">
        <v>0</v>
      </c>
      <c r="L823" s="25">
        <f t="shared" si="96"/>
        <v>-3.3498948769038059</v>
      </c>
      <c r="M823" s="25">
        <f t="shared" si="102"/>
        <v>3.3898606718408109E-2</v>
      </c>
      <c r="N823" s="25">
        <f t="shared" si="97"/>
        <v>0.96610139328159184</v>
      </c>
      <c r="O823" s="25">
        <f t="shared" si="98"/>
        <v>-3.4486488288517719E-2</v>
      </c>
      <c r="P823" s="25">
        <f t="shared" si="99"/>
        <v>0</v>
      </c>
      <c r="Q823" s="25">
        <f t="shared" si="103"/>
        <v>583.7805317886947</v>
      </c>
      <c r="R823" s="25">
        <f t="shared" si="100"/>
        <v>5</v>
      </c>
      <c r="S823" s="26">
        <f t="shared" si="101"/>
        <v>8</v>
      </c>
    </row>
    <row r="824" spans="2:19" x14ac:dyDescent="0.3">
      <c r="B824" s="24">
        <v>335672</v>
      </c>
      <c r="C824" s="25">
        <v>52</v>
      </c>
      <c r="D824" s="25">
        <v>4</v>
      </c>
      <c r="E824" s="25">
        <v>2</v>
      </c>
      <c r="F824" s="25">
        <v>12</v>
      </c>
      <c r="G824" s="25">
        <v>84</v>
      </c>
      <c r="H824" s="25">
        <v>3.1</v>
      </c>
      <c r="I824" s="25">
        <v>0.2</v>
      </c>
      <c r="J824" s="25">
        <v>2.4</v>
      </c>
      <c r="K824" s="26">
        <v>0</v>
      </c>
      <c r="L824" s="25">
        <f t="shared" si="96"/>
        <v>-2.0992127438205221</v>
      </c>
      <c r="M824" s="25">
        <f t="shared" si="102"/>
        <v>0.10917336187832849</v>
      </c>
      <c r="N824" s="25">
        <f t="shared" si="97"/>
        <v>0.89082663812167151</v>
      </c>
      <c r="O824" s="25">
        <f t="shared" si="98"/>
        <v>-0.11560544045187503</v>
      </c>
      <c r="P824" s="25">
        <f t="shared" si="99"/>
        <v>0</v>
      </c>
      <c r="Q824" s="25">
        <f t="shared" si="103"/>
        <v>547.69347458892298</v>
      </c>
      <c r="R824" s="25">
        <f t="shared" si="100"/>
        <v>6</v>
      </c>
      <c r="S824" s="26">
        <f t="shared" si="101"/>
        <v>11</v>
      </c>
    </row>
    <row r="825" spans="2:19" x14ac:dyDescent="0.3">
      <c r="B825" s="24">
        <v>335680</v>
      </c>
      <c r="C825" s="25">
        <v>37</v>
      </c>
      <c r="D825" s="25">
        <v>2</v>
      </c>
      <c r="E825" s="25">
        <v>18</v>
      </c>
      <c r="F825" s="25">
        <v>3</v>
      </c>
      <c r="G825" s="25">
        <v>39</v>
      </c>
      <c r="H825" s="25">
        <v>26.9</v>
      </c>
      <c r="I825" s="25">
        <v>5.46</v>
      </c>
      <c r="J825" s="25">
        <v>5.04</v>
      </c>
      <c r="K825" s="26">
        <v>1</v>
      </c>
      <c r="L825" s="25">
        <f t="shared" si="96"/>
        <v>-7.5758484352892175E-2</v>
      </c>
      <c r="M825" s="25">
        <f t="shared" si="102"/>
        <v>0.48106943213880826</v>
      </c>
      <c r="N825" s="25">
        <f t="shared" si="97"/>
        <v>0.48106943213880826</v>
      </c>
      <c r="O825" s="25">
        <f t="shared" si="98"/>
        <v>-0.73174366973283933</v>
      </c>
      <c r="P825" s="25">
        <f t="shared" si="99"/>
        <v>1</v>
      </c>
      <c r="Q825" s="25">
        <f t="shared" si="103"/>
        <v>489.30892773166988</v>
      </c>
      <c r="R825" s="25">
        <f t="shared" si="100"/>
        <v>7</v>
      </c>
      <c r="S825" s="26">
        <f t="shared" si="101"/>
        <v>15</v>
      </c>
    </row>
    <row r="826" spans="2:19" x14ac:dyDescent="0.3">
      <c r="B826" s="24">
        <v>335690</v>
      </c>
      <c r="C826" s="25">
        <v>40</v>
      </c>
      <c r="D826" s="25">
        <v>3</v>
      </c>
      <c r="E826" s="25">
        <v>18</v>
      </c>
      <c r="F826" s="25">
        <v>13</v>
      </c>
      <c r="G826" s="25">
        <v>84</v>
      </c>
      <c r="H826" s="25">
        <v>6.2</v>
      </c>
      <c r="I826" s="25">
        <v>0.94</v>
      </c>
      <c r="J826" s="25">
        <v>4.2699999999999996</v>
      </c>
      <c r="K826" s="26">
        <v>0</v>
      </c>
      <c r="L826" s="25">
        <f t="shared" si="96"/>
        <v>-4.7326527870634756</v>
      </c>
      <c r="M826" s="25">
        <f t="shared" si="102"/>
        <v>8.7262692114056118E-3</v>
      </c>
      <c r="N826" s="25">
        <f t="shared" si="97"/>
        <v>0.99127373078859438</v>
      </c>
      <c r="O826" s="25">
        <f t="shared" si="98"/>
        <v>-8.7645660537217177E-3</v>
      </c>
      <c r="P826" s="25">
        <f t="shared" si="99"/>
        <v>0</v>
      </c>
      <c r="Q826" s="25">
        <f t="shared" si="103"/>
        <v>623.67849025265082</v>
      </c>
      <c r="R826" s="25">
        <f t="shared" si="100"/>
        <v>3</v>
      </c>
      <c r="S826" s="26">
        <f t="shared" si="101"/>
        <v>5</v>
      </c>
    </row>
    <row r="827" spans="2:19" x14ac:dyDescent="0.3">
      <c r="B827" s="24">
        <v>335722</v>
      </c>
      <c r="C827" s="25">
        <v>18</v>
      </c>
      <c r="D827" s="25">
        <v>2</v>
      </c>
      <c r="E827" s="25">
        <v>0</v>
      </c>
      <c r="F827" s="25">
        <v>0</v>
      </c>
      <c r="G827" s="25">
        <v>17</v>
      </c>
      <c r="H827" s="25">
        <v>11.9</v>
      </c>
      <c r="I827" s="25">
        <v>0.17</v>
      </c>
      <c r="J827" s="25">
        <v>1.86</v>
      </c>
      <c r="K827" s="26">
        <v>1</v>
      </c>
      <c r="L827" s="25">
        <f t="shared" si="96"/>
        <v>0.41952874989302563</v>
      </c>
      <c r="M827" s="25">
        <f t="shared" si="102"/>
        <v>0.60337047835573421</v>
      </c>
      <c r="N827" s="25">
        <f t="shared" si="97"/>
        <v>0.60337047835573421</v>
      </c>
      <c r="O827" s="25">
        <f t="shared" si="98"/>
        <v>-0.50522387895003329</v>
      </c>
      <c r="P827" s="25">
        <f t="shared" si="99"/>
        <v>1</v>
      </c>
      <c r="Q827" s="25">
        <f t="shared" si="103"/>
        <v>475.01795940346165</v>
      </c>
      <c r="R827" s="25">
        <f t="shared" si="100"/>
        <v>7</v>
      </c>
      <c r="S827" s="26">
        <f t="shared" si="101"/>
        <v>15</v>
      </c>
    </row>
    <row r="828" spans="2:19" x14ac:dyDescent="0.3">
      <c r="B828" s="24">
        <v>335743</v>
      </c>
      <c r="C828" s="25">
        <v>45</v>
      </c>
      <c r="D828" s="25">
        <v>1</v>
      </c>
      <c r="E828" s="25">
        <v>24</v>
      </c>
      <c r="F828" s="25">
        <v>14</v>
      </c>
      <c r="G828" s="25">
        <v>69</v>
      </c>
      <c r="H828" s="25">
        <v>3.2</v>
      </c>
      <c r="I828" s="25">
        <v>1.33</v>
      </c>
      <c r="J828" s="25">
        <v>0.87</v>
      </c>
      <c r="K828" s="26">
        <v>0</v>
      </c>
      <c r="L828" s="25">
        <f t="shared" si="96"/>
        <v>-6.3267630951775438</v>
      </c>
      <c r="M828" s="25">
        <f t="shared" si="102"/>
        <v>1.7846208231281613E-3</v>
      </c>
      <c r="N828" s="25">
        <f t="shared" si="97"/>
        <v>0.99821537917687186</v>
      </c>
      <c r="O828" s="25">
        <f t="shared" si="98"/>
        <v>-1.7862151560047732E-3</v>
      </c>
      <c r="P828" s="25">
        <f t="shared" si="99"/>
        <v>0</v>
      </c>
      <c r="Q828" s="25">
        <f t="shared" si="103"/>
        <v>669.67478967194336</v>
      </c>
      <c r="R828" s="25">
        <f t="shared" si="100"/>
        <v>2</v>
      </c>
      <c r="S828" s="26">
        <f t="shared" si="101"/>
        <v>1</v>
      </c>
    </row>
    <row r="829" spans="2:19" x14ac:dyDescent="0.3">
      <c r="B829" s="24">
        <v>335816</v>
      </c>
      <c r="C829" s="25">
        <v>34</v>
      </c>
      <c r="D829" s="25">
        <v>3</v>
      </c>
      <c r="E829" s="25">
        <v>11</v>
      </c>
      <c r="F829" s="25">
        <v>6</v>
      </c>
      <c r="G829" s="25">
        <v>52</v>
      </c>
      <c r="H829" s="25">
        <v>12.9</v>
      </c>
      <c r="I829" s="25">
        <v>4.17</v>
      </c>
      <c r="J829" s="25">
        <v>2.54</v>
      </c>
      <c r="K829" s="26">
        <v>0</v>
      </c>
      <c r="L829" s="25">
        <f t="shared" si="96"/>
        <v>-0.64424871045860954</v>
      </c>
      <c r="M829" s="25">
        <f t="shared" si="102"/>
        <v>0.3442867451000467</v>
      </c>
      <c r="N829" s="25">
        <f t="shared" si="97"/>
        <v>0.65571325489995336</v>
      </c>
      <c r="O829" s="25">
        <f t="shared" si="98"/>
        <v>-0.42203169703209659</v>
      </c>
      <c r="P829" s="25">
        <f t="shared" si="99"/>
        <v>0</v>
      </c>
      <c r="Q829" s="25">
        <f t="shared" si="103"/>
        <v>505.71208786670167</v>
      </c>
      <c r="R829" s="25">
        <f t="shared" si="100"/>
        <v>7</v>
      </c>
      <c r="S829" s="26">
        <f t="shared" si="101"/>
        <v>14</v>
      </c>
    </row>
    <row r="830" spans="2:19" x14ac:dyDescent="0.3">
      <c r="B830" s="24">
        <v>335819</v>
      </c>
      <c r="C830" s="25">
        <v>19</v>
      </c>
      <c r="D830" s="25">
        <v>2</v>
      </c>
      <c r="E830" s="25">
        <v>0</v>
      </c>
      <c r="F830" s="25">
        <v>0</v>
      </c>
      <c r="G830" s="25">
        <v>21</v>
      </c>
      <c r="H830" s="25">
        <v>12.6</v>
      </c>
      <c r="I830" s="25">
        <v>1.23</v>
      </c>
      <c r="J830" s="25">
        <v>1.42</v>
      </c>
      <c r="K830" s="26">
        <v>1</v>
      </c>
      <c r="L830" s="25">
        <f t="shared" si="96"/>
        <v>0.95964013800552994</v>
      </c>
      <c r="M830" s="25">
        <f t="shared" si="102"/>
        <v>0.72304974897293683</v>
      </c>
      <c r="N830" s="25">
        <f t="shared" si="97"/>
        <v>0.72304974897293683</v>
      </c>
      <c r="O830" s="25">
        <f t="shared" si="98"/>
        <v>-0.32427725009941033</v>
      </c>
      <c r="P830" s="25">
        <f t="shared" si="99"/>
        <v>1</v>
      </c>
      <c r="Q830" s="25">
        <f t="shared" si="103"/>
        <v>459.43363942200222</v>
      </c>
      <c r="R830" s="25">
        <f t="shared" si="100"/>
        <v>8</v>
      </c>
      <c r="S830" s="26">
        <f t="shared" si="101"/>
        <v>16</v>
      </c>
    </row>
    <row r="831" spans="2:19" x14ac:dyDescent="0.3">
      <c r="B831" s="24">
        <v>335844</v>
      </c>
      <c r="C831" s="25">
        <v>25</v>
      </c>
      <c r="D831" s="25">
        <v>3</v>
      </c>
      <c r="E831" s="25">
        <v>3</v>
      </c>
      <c r="F831" s="25">
        <v>1</v>
      </c>
      <c r="G831" s="25">
        <v>27</v>
      </c>
      <c r="H831" s="25">
        <v>16.899999999999999</v>
      </c>
      <c r="I831" s="25">
        <v>1.0900000000000001</v>
      </c>
      <c r="J831" s="25">
        <v>3.48</v>
      </c>
      <c r="K831" s="26">
        <v>0</v>
      </c>
      <c r="L831" s="25">
        <f t="shared" si="96"/>
        <v>0.48049905297992229</v>
      </c>
      <c r="M831" s="25">
        <f t="shared" si="102"/>
        <v>0.61786571193639817</v>
      </c>
      <c r="N831" s="25">
        <f t="shared" si="97"/>
        <v>0.38213428806360183</v>
      </c>
      <c r="O831" s="25">
        <f t="shared" si="98"/>
        <v>-0.96198319271755861</v>
      </c>
      <c r="P831" s="25">
        <f t="shared" si="99"/>
        <v>1</v>
      </c>
      <c r="Q831" s="25">
        <f t="shared" si="103"/>
        <v>473.25872837522263</v>
      </c>
      <c r="R831" s="25">
        <f t="shared" si="100"/>
        <v>7</v>
      </c>
      <c r="S831" s="26">
        <f t="shared" si="101"/>
        <v>15</v>
      </c>
    </row>
    <row r="832" spans="2:19" x14ac:dyDescent="0.3">
      <c r="B832" s="24">
        <v>335958</v>
      </c>
      <c r="C832" s="25">
        <v>53</v>
      </c>
      <c r="D832" s="25">
        <v>2</v>
      </c>
      <c r="E832" s="25">
        <v>30</v>
      </c>
      <c r="F832" s="25">
        <v>12</v>
      </c>
      <c r="G832" s="25">
        <v>220</v>
      </c>
      <c r="H832" s="25">
        <v>12.9</v>
      </c>
      <c r="I832" s="25">
        <v>2.81</v>
      </c>
      <c r="J832" s="25">
        <v>25.57</v>
      </c>
      <c r="K832" s="26">
        <v>0</v>
      </c>
      <c r="L832" s="25">
        <f t="shared" si="96"/>
        <v>-5.523401783131658</v>
      </c>
      <c r="M832" s="25">
        <f t="shared" si="102"/>
        <v>3.9763694306948656E-3</v>
      </c>
      <c r="N832" s="25">
        <f t="shared" si="97"/>
        <v>0.9960236305693051</v>
      </c>
      <c r="O832" s="25">
        <f t="shared" si="98"/>
        <v>-3.9842962077935029E-3</v>
      </c>
      <c r="P832" s="25">
        <f t="shared" si="99"/>
        <v>0</v>
      </c>
      <c r="Q832" s="25">
        <f t="shared" si="103"/>
        <v>646.49468271030253</v>
      </c>
      <c r="R832" s="25">
        <f t="shared" si="100"/>
        <v>3</v>
      </c>
      <c r="S832" s="26">
        <f t="shared" si="101"/>
        <v>3</v>
      </c>
    </row>
    <row r="833" spans="2:19" x14ac:dyDescent="0.3">
      <c r="B833" s="24">
        <v>336005</v>
      </c>
      <c r="C833" s="25">
        <v>30</v>
      </c>
      <c r="D833" s="25">
        <v>3</v>
      </c>
      <c r="E833" s="25">
        <v>4</v>
      </c>
      <c r="F833" s="25">
        <v>4</v>
      </c>
      <c r="G833" s="25">
        <v>39</v>
      </c>
      <c r="H833" s="25">
        <v>11.6</v>
      </c>
      <c r="I833" s="25">
        <v>1.39</v>
      </c>
      <c r="J833" s="25">
        <v>3.13</v>
      </c>
      <c r="K833" s="26">
        <v>0</v>
      </c>
      <c r="L833" s="25">
        <f t="shared" si="96"/>
        <v>-0.34351173784394506</v>
      </c>
      <c r="M833" s="25">
        <f t="shared" si="102"/>
        <v>0.41495668696459609</v>
      </c>
      <c r="N833" s="25">
        <f t="shared" si="97"/>
        <v>0.58504331303540391</v>
      </c>
      <c r="O833" s="25">
        <f t="shared" si="98"/>
        <v>-0.53606939511430107</v>
      </c>
      <c r="P833" s="25">
        <f t="shared" si="99"/>
        <v>1</v>
      </c>
      <c r="Q833" s="25">
        <f t="shared" si="103"/>
        <v>497.03465333257537</v>
      </c>
      <c r="R833" s="25">
        <f t="shared" si="100"/>
        <v>7</v>
      </c>
      <c r="S833" s="26">
        <f t="shared" si="101"/>
        <v>14</v>
      </c>
    </row>
    <row r="834" spans="2:19" x14ac:dyDescent="0.3">
      <c r="B834" s="24">
        <v>336019</v>
      </c>
      <c r="C834" s="25">
        <v>49</v>
      </c>
      <c r="D834" s="25">
        <v>5</v>
      </c>
      <c r="E834" s="25">
        <v>23</v>
      </c>
      <c r="F834" s="25">
        <v>11</v>
      </c>
      <c r="G834" s="25">
        <v>178</v>
      </c>
      <c r="H834" s="25">
        <v>19.399999999999999</v>
      </c>
      <c r="I834" s="25">
        <v>5.59</v>
      </c>
      <c r="J834" s="25">
        <v>28.94</v>
      </c>
      <c r="K834" s="26">
        <v>0</v>
      </c>
      <c r="L834" s="25">
        <f t="shared" si="96"/>
        <v>-1.9410035197742186</v>
      </c>
      <c r="M834" s="25">
        <f t="shared" si="102"/>
        <v>0.12553765076883486</v>
      </c>
      <c r="N834" s="25">
        <f t="shared" si="97"/>
        <v>0.87446234923116517</v>
      </c>
      <c r="O834" s="25">
        <f t="shared" si="98"/>
        <v>-0.13414603950274523</v>
      </c>
      <c r="P834" s="25">
        <f t="shared" si="99"/>
        <v>0</v>
      </c>
      <c r="Q834" s="25">
        <f t="shared" si="103"/>
        <v>543.12852145921329</v>
      </c>
      <c r="R834" s="25">
        <f t="shared" si="100"/>
        <v>6</v>
      </c>
      <c r="S834" s="26">
        <f t="shared" si="101"/>
        <v>11</v>
      </c>
    </row>
    <row r="835" spans="2:19" x14ac:dyDescent="0.3">
      <c r="B835" s="24">
        <v>336093</v>
      </c>
      <c r="C835" s="25">
        <v>21</v>
      </c>
      <c r="D835" s="25">
        <v>2</v>
      </c>
      <c r="E835" s="25">
        <v>2</v>
      </c>
      <c r="F835" s="25">
        <v>1</v>
      </c>
      <c r="G835" s="25">
        <v>23</v>
      </c>
      <c r="H835" s="25">
        <v>3.5</v>
      </c>
      <c r="I835" s="25">
        <v>0.25</v>
      </c>
      <c r="J835" s="25">
        <v>0.55000000000000004</v>
      </c>
      <c r="K835" s="26">
        <v>0</v>
      </c>
      <c r="L835" s="25">
        <f t="shared" si="96"/>
        <v>-0.96088806239635938</v>
      </c>
      <c r="M835" s="25">
        <f t="shared" si="102"/>
        <v>0.27670042522471378</v>
      </c>
      <c r="N835" s="25">
        <f t="shared" si="97"/>
        <v>0.72329957477528617</v>
      </c>
      <c r="O835" s="25">
        <f t="shared" si="98"/>
        <v>-0.32393179302243474</v>
      </c>
      <c r="P835" s="25">
        <f t="shared" si="99"/>
        <v>0</v>
      </c>
      <c r="Q835" s="25">
        <f t="shared" si="103"/>
        <v>514.84836806357828</v>
      </c>
      <c r="R835" s="25">
        <f t="shared" si="100"/>
        <v>7</v>
      </c>
      <c r="S835" s="26">
        <f t="shared" si="101"/>
        <v>13</v>
      </c>
    </row>
    <row r="836" spans="2:19" x14ac:dyDescent="0.3">
      <c r="B836" s="24">
        <v>336204</v>
      </c>
      <c r="C836" s="25">
        <v>40</v>
      </c>
      <c r="D836" s="25">
        <v>2</v>
      </c>
      <c r="E836" s="25">
        <v>0</v>
      </c>
      <c r="F836" s="25">
        <v>12</v>
      </c>
      <c r="G836" s="25">
        <v>21</v>
      </c>
      <c r="H836" s="25">
        <v>36.6</v>
      </c>
      <c r="I836" s="25">
        <v>4.3499999999999996</v>
      </c>
      <c r="J836" s="25">
        <v>3.34</v>
      </c>
      <c r="K836" s="26">
        <v>1</v>
      </c>
      <c r="L836" s="25">
        <f t="shared" si="96"/>
        <v>4.0324041563541737</v>
      </c>
      <c r="M836" s="25">
        <f t="shared" si="102"/>
        <v>0.98257728446495207</v>
      </c>
      <c r="N836" s="25">
        <f t="shared" si="97"/>
        <v>0.98257728446495207</v>
      </c>
      <c r="O836" s="25">
        <f t="shared" si="98"/>
        <v>-1.7576277299307479E-2</v>
      </c>
      <c r="P836" s="25">
        <f t="shared" si="99"/>
        <v>1</v>
      </c>
      <c r="Q836" s="25">
        <f t="shared" si="103"/>
        <v>370.77241371297231</v>
      </c>
      <c r="R836" s="25">
        <f t="shared" si="100"/>
        <v>8</v>
      </c>
      <c r="S836" s="26">
        <f t="shared" si="101"/>
        <v>17</v>
      </c>
    </row>
    <row r="837" spans="2:19" x14ac:dyDescent="0.3">
      <c r="B837" s="24">
        <v>336244</v>
      </c>
      <c r="C837" s="25">
        <v>18</v>
      </c>
      <c r="D837" s="25">
        <v>2</v>
      </c>
      <c r="E837" s="25">
        <v>0</v>
      </c>
      <c r="F837" s="25">
        <v>0</v>
      </c>
      <c r="G837" s="25">
        <v>23</v>
      </c>
      <c r="H837" s="25">
        <v>11.5</v>
      </c>
      <c r="I837" s="25">
        <v>0.66</v>
      </c>
      <c r="J837" s="25">
        <v>1.98</v>
      </c>
      <c r="K837" s="26">
        <v>1</v>
      </c>
      <c r="L837" s="25">
        <f t="shared" ref="L837:L900" si="104">$Y$4+SUMPRODUCT($Z$4:$AG$4,C837:J837)</f>
        <v>0.61614940680111774</v>
      </c>
      <c r="M837" s="25">
        <f t="shared" si="102"/>
        <v>0.64934228549288453</v>
      </c>
      <c r="N837" s="25">
        <f t="shared" ref="N837:N900" si="105">IF(K837=1,M837,(1-M837))</f>
        <v>0.64934228549288453</v>
      </c>
      <c r="O837" s="25">
        <f t="shared" ref="O837:O900" si="106">LN(N837)</f>
        <v>-0.4317952968494479</v>
      </c>
      <c r="P837" s="25">
        <f t="shared" ref="P837:P900" si="107">IF(M837&gt;0.4,1,0)</f>
        <v>1</v>
      </c>
      <c r="Q837" s="25">
        <f t="shared" si="103"/>
        <v>469.34468663110124</v>
      </c>
      <c r="R837" s="25">
        <f t="shared" ref="R837:R900" si="108">VLOOKUP(M837,$U$9:$W$16,3,TRUE)</f>
        <v>7</v>
      </c>
      <c r="S837" s="26">
        <f t="shared" ref="S837:S900" si="109">VLOOKUP(M837,$U$21:$W$37,3,TRUE)</f>
        <v>15</v>
      </c>
    </row>
    <row r="838" spans="2:19" x14ac:dyDescent="0.3">
      <c r="B838" s="24">
        <v>336247</v>
      </c>
      <c r="C838" s="25">
        <v>18</v>
      </c>
      <c r="D838" s="25">
        <v>2</v>
      </c>
      <c r="E838" s="25">
        <v>0</v>
      </c>
      <c r="F838" s="25">
        <v>0</v>
      </c>
      <c r="G838" s="25">
        <v>15</v>
      </c>
      <c r="H838" s="25">
        <v>8</v>
      </c>
      <c r="I838" s="25">
        <v>0.22</v>
      </c>
      <c r="J838" s="25">
        <v>0.98</v>
      </c>
      <c r="K838" s="26">
        <v>0</v>
      </c>
      <c r="L838" s="25">
        <f t="shared" si="104"/>
        <v>3.2113999600107135E-2</v>
      </c>
      <c r="M838" s="25">
        <f t="shared" ref="M838:M901" si="110">EXP(L838)/(1+EXP(L838))</f>
        <v>0.50802780998251473</v>
      </c>
      <c r="N838" s="25">
        <f t="shared" si="105"/>
        <v>0.49197219001748527</v>
      </c>
      <c r="O838" s="25">
        <f t="shared" si="106"/>
        <v>-0.70933308844209519</v>
      </c>
      <c r="P838" s="25">
        <f t="shared" si="107"/>
        <v>1</v>
      </c>
      <c r="Q838" s="25">
        <f t="shared" si="103"/>
        <v>486.19638586693844</v>
      </c>
      <c r="R838" s="25">
        <f t="shared" si="108"/>
        <v>7</v>
      </c>
      <c r="S838" s="26">
        <f t="shared" si="109"/>
        <v>15</v>
      </c>
    </row>
    <row r="839" spans="2:19" x14ac:dyDescent="0.3">
      <c r="B839" s="24">
        <v>336295</v>
      </c>
      <c r="C839" s="25">
        <v>34</v>
      </c>
      <c r="D839" s="25">
        <v>1</v>
      </c>
      <c r="E839" s="25">
        <v>10</v>
      </c>
      <c r="F839" s="25">
        <v>6</v>
      </c>
      <c r="G839" s="25">
        <v>50</v>
      </c>
      <c r="H839" s="25">
        <v>5.3</v>
      </c>
      <c r="I839" s="25">
        <v>0.57999999999999996</v>
      </c>
      <c r="J839" s="25">
        <v>2.0699999999999998</v>
      </c>
      <c r="K839" s="26">
        <v>0</v>
      </c>
      <c r="L839" s="25">
        <f t="shared" si="104"/>
        <v>-2.7812563483908779</v>
      </c>
      <c r="M839" s="25">
        <f t="shared" si="110"/>
        <v>5.8345491821884553E-2</v>
      </c>
      <c r="N839" s="25">
        <f t="shared" si="105"/>
        <v>0.94165450817811547</v>
      </c>
      <c r="O839" s="25">
        <f t="shared" si="106"/>
        <v>-6.0116835822319657E-2</v>
      </c>
      <c r="P839" s="25">
        <f t="shared" si="107"/>
        <v>0</v>
      </c>
      <c r="Q839" s="25">
        <f t="shared" si="103"/>
        <v>567.37309255083551</v>
      </c>
      <c r="R839" s="25">
        <f t="shared" si="108"/>
        <v>5</v>
      </c>
      <c r="S839" s="26">
        <f t="shared" si="109"/>
        <v>9</v>
      </c>
    </row>
    <row r="840" spans="2:19" x14ac:dyDescent="0.3">
      <c r="B840" s="24">
        <v>336308</v>
      </c>
      <c r="C840" s="25">
        <v>33</v>
      </c>
      <c r="D840" s="25">
        <v>4</v>
      </c>
      <c r="E840" s="25">
        <v>5</v>
      </c>
      <c r="F840" s="25">
        <v>8</v>
      </c>
      <c r="G840" s="25">
        <v>27</v>
      </c>
      <c r="H840" s="25">
        <v>20.6</v>
      </c>
      <c r="I840" s="25">
        <v>1.0900000000000001</v>
      </c>
      <c r="J840" s="25">
        <v>4.47</v>
      </c>
      <c r="K840" s="26">
        <v>0</v>
      </c>
      <c r="L840" s="25">
        <f t="shared" si="104"/>
        <v>-3.2747385864921597E-2</v>
      </c>
      <c r="M840" s="25">
        <f t="shared" si="110"/>
        <v>0.49181388508055002</v>
      </c>
      <c r="N840" s="25">
        <f t="shared" si="105"/>
        <v>0.50818611491944998</v>
      </c>
      <c r="O840" s="25">
        <f t="shared" si="106"/>
        <v>-0.67690753054833253</v>
      </c>
      <c r="P840" s="25">
        <f t="shared" si="107"/>
        <v>1</v>
      </c>
      <c r="Q840" s="25">
        <f t="shared" si="103"/>
        <v>488.06788979700787</v>
      </c>
      <c r="R840" s="25">
        <f t="shared" si="108"/>
        <v>7</v>
      </c>
      <c r="S840" s="26">
        <f t="shared" si="109"/>
        <v>15</v>
      </c>
    </row>
    <row r="841" spans="2:19" x14ac:dyDescent="0.3">
      <c r="B841" s="24">
        <v>336316</v>
      </c>
      <c r="C841" s="25">
        <v>45</v>
      </c>
      <c r="D841" s="25">
        <v>3</v>
      </c>
      <c r="E841" s="25">
        <v>23</v>
      </c>
      <c r="F841" s="25">
        <v>10</v>
      </c>
      <c r="G841" s="25">
        <v>55</v>
      </c>
      <c r="H841" s="25">
        <v>13.3</v>
      </c>
      <c r="I841" s="25">
        <v>1.46</v>
      </c>
      <c r="J841" s="25">
        <v>5.86</v>
      </c>
      <c r="K841" s="26">
        <v>0</v>
      </c>
      <c r="L841" s="25">
        <f t="shared" si="104"/>
        <v>-4.886886826399123</v>
      </c>
      <c r="M841" s="25">
        <f t="shared" si="110"/>
        <v>7.488375601202032E-3</v>
      </c>
      <c r="N841" s="25">
        <f t="shared" si="105"/>
        <v>0.99251162439879792</v>
      </c>
      <c r="O841" s="25">
        <f t="shared" si="106"/>
        <v>-7.5165542487768897E-3</v>
      </c>
      <c r="P841" s="25">
        <f t="shared" si="107"/>
        <v>0</v>
      </c>
      <c r="Q841" s="25">
        <f t="shared" ref="Q841:Q904" si="111">28.8539*LN((1-M841)/(M841))+487.123</f>
        <v>628.12874380023766</v>
      </c>
      <c r="R841" s="25">
        <f t="shared" si="108"/>
        <v>3</v>
      </c>
      <c r="S841" s="26">
        <f t="shared" si="109"/>
        <v>4</v>
      </c>
    </row>
    <row r="842" spans="2:19" x14ac:dyDescent="0.3">
      <c r="B842" s="24">
        <v>336326</v>
      </c>
      <c r="C842" s="25">
        <v>40</v>
      </c>
      <c r="D842" s="25">
        <v>4</v>
      </c>
      <c r="E842" s="25">
        <v>15</v>
      </c>
      <c r="F842" s="25">
        <v>13</v>
      </c>
      <c r="G842" s="25">
        <v>111</v>
      </c>
      <c r="H842" s="25">
        <v>9.6</v>
      </c>
      <c r="I842" s="25">
        <v>1.88</v>
      </c>
      <c r="J842" s="25">
        <v>8.7799999999999994</v>
      </c>
      <c r="K842" s="26">
        <v>0</v>
      </c>
      <c r="L842" s="25">
        <f t="shared" si="104"/>
        <v>-3.2039546168213686</v>
      </c>
      <c r="M842" s="25">
        <f t="shared" si="110"/>
        <v>3.9017174481697912E-2</v>
      </c>
      <c r="N842" s="25">
        <f t="shared" si="105"/>
        <v>0.96098282551830205</v>
      </c>
      <c r="O842" s="25">
        <f t="shared" si="106"/>
        <v>-3.9798741640529663E-2</v>
      </c>
      <c r="P842" s="25">
        <f t="shared" si="107"/>
        <v>0</v>
      </c>
      <c r="Q842" s="25">
        <f t="shared" si="111"/>
        <v>579.56958611830203</v>
      </c>
      <c r="R842" s="25">
        <f t="shared" si="108"/>
        <v>5</v>
      </c>
      <c r="S842" s="26">
        <f t="shared" si="109"/>
        <v>8</v>
      </c>
    </row>
    <row r="843" spans="2:19" x14ac:dyDescent="0.3">
      <c r="B843" s="24">
        <v>336330</v>
      </c>
      <c r="C843" s="25">
        <v>49</v>
      </c>
      <c r="D843" s="25">
        <v>1</v>
      </c>
      <c r="E843" s="25">
        <v>4</v>
      </c>
      <c r="F843" s="25">
        <v>11</v>
      </c>
      <c r="G843" s="25">
        <v>36</v>
      </c>
      <c r="H843" s="25">
        <v>9.9</v>
      </c>
      <c r="I843" s="25">
        <v>1.36</v>
      </c>
      <c r="J843" s="25">
        <v>2.21</v>
      </c>
      <c r="K843" s="26">
        <v>0</v>
      </c>
      <c r="L843" s="25">
        <f t="shared" si="104"/>
        <v>-1.0824710437826923</v>
      </c>
      <c r="M843" s="25">
        <f t="shared" si="110"/>
        <v>0.25303867945887931</v>
      </c>
      <c r="N843" s="25">
        <f t="shared" si="105"/>
        <v>0.74696132054112074</v>
      </c>
      <c r="O843" s="25">
        <f t="shared" si="106"/>
        <v>-0.29174187492069836</v>
      </c>
      <c r="P843" s="25">
        <f t="shared" si="107"/>
        <v>0</v>
      </c>
      <c r="Q843" s="25">
        <f t="shared" si="111"/>
        <v>518.35651125020138</v>
      </c>
      <c r="R843" s="25">
        <f t="shared" si="108"/>
        <v>6</v>
      </c>
      <c r="S843" s="26">
        <f t="shared" si="109"/>
        <v>13</v>
      </c>
    </row>
    <row r="844" spans="2:19" x14ac:dyDescent="0.3">
      <c r="B844" s="24">
        <v>336350</v>
      </c>
      <c r="C844" s="25">
        <v>27</v>
      </c>
      <c r="D844" s="25">
        <v>3</v>
      </c>
      <c r="E844" s="25">
        <v>0</v>
      </c>
      <c r="F844" s="25">
        <v>4</v>
      </c>
      <c r="G844" s="25">
        <v>31</v>
      </c>
      <c r="H844" s="25">
        <v>3.7</v>
      </c>
      <c r="I844" s="25">
        <v>0.28000000000000003</v>
      </c>
      <c r="J844" s="25">
        <v>0.86</v>
      </c>
      <c r="K844" s="26">
        <v>0</v>
      </c>
      <c r="L844" s="25">
        <f t="shared" si="104"/>
        <v>-0.74545435045975772</v>
      </c>
      <c r="M844" s="25">
        <f t="shared" si="110"/>
        <v>0.32181258077716257</v>
      </c>
      <c r="N844" s="25">
        <f t="shared" si="105"/>
        <v>0.67818741922283743</v>
      </c>
      <c r="O844" s="25">
        <f t="shared" si="106"/>
        <v>-0.3883315997091365</v>
      </c>
      <c r="P844" s="25">
        <f t="shared" si="107"/>
        <v>0</v>
      </c>
      <c r="Q844" s="25">
        <f t="shared" si="111"/>
        <v>508.63226528273077</v>
      </c>
      <c r="R844" s="25">
        <f t="shared" si="108"/>
        <v>7</v>
      </c>
      <c r="S844" s="26">
        <f t="shared" si="109"/>
        <v>14</v>
      </c>
    </row>
    <row r="845" spans="2:19" x14ac:dyDescent="0.3">
      <c r="B845" s="24">
        <v>336401</v>
      </c>
      <c r="C845" s="25">
        <v>52</v>
      </c>
      <c r="D845" s="25">
        <v>1</v>
      </c>
      <c r="E845" s="25">
        <v>26</v>
      </c>
      <c r="F845" s="25">
        <v>12</v>
      </c>
      <c r="G845" s="25">
        <v>77</v>
      </c>
      <c r="H845" s="25">
        <v>28.6</v>
      </c>
      <c r="I845" s="25">
        <v>5.26</v>
      </c>
      <c r="J845" s="25">
        <v>16.760000000000002</v>
      </c>
      <c r="K845" s="26">
        <v>0</v>
      </c>
      <c r="L845" s="25">
        <f t="shared" si="104"/>
        <v>-2.0717787880204099</v>
      </c>
      <c r="M845" s="25">
        <f t="shared" si="110"/>
        <v>0.11187018458148829</v>
      </c>
      <c r="N845" s="25">
        <f t="shared" si="105"/>
        <v>0.88812981541851177</v>
      </c>
      <c r="O845" s="25">
        <f t="shared" si="106"/>
        <v>-0.11863735814010938</v>
      </c>
      <c r="P845" s="25">
        <f t="shared" si="107"/>
        <v>0</v>
      </c>
      <c r="Q845" s="25">
        <f t="shared" si="111"/>
        <v>546.90189797166215</v>
      </c>
      <c r="R845" s="25">
        <f t="shared" si="108"/>
        <v>6</v>
      </c>
      <c r="S845" s="26">
        <f t="shared" si="109"/>
        <v>11</v>
      </c>
    </row>
    <row r="846" spans="2:19" x14ac:dyDescent="0.3">
      <c r="B846" s="24">
        <v>336436</v>
      </c>
      <c r="C846" s="25">
        <v>23</v>
      </c>
      <c r="D846" s="25">
        <v>2</v>
      </c>
      <c r="E846" s="25">
        <v>1</v>
      </c>
      <c r="F846" s="25">
        <v>2</v>
      </c>
      <c r="G846" s="25">
        <v>30</v>
      </c>
      <c r="H846" s="25">
        <v>18.2</v>
      </c>
      <c r="I846" s="25">
        <v>1.37</v>
      </c>
      <c r="J846" s="25">
        <v>4.09</v>
      </c>
      <c r="K846" s="26">
        <v>1</v>
      </c>
      <c r="L846" s="25">
        <f t="shared" si="104"/>
        <v>1.2751816265442579</v>
      </c>
      <c r="M846" s="25">
        <f t="shared" si="110"/>
        <v>0.78162846648870388</v>
      </c>
      <c r="N846" s="25">
        <f t="shared" si="105"/>
        <v>0.78162846648870388</v>
      </c>
      <c r="O846" s="25">
        <f t="shared" si="106"/>
        <v>-0.24637575812775742</v>
      </c>
      <c r="P846" s="25">
        <f t="shared" si="107"/>
        <v>1</v>
      </c>
      <c r="Q846" s="25">
        <f t="shared" si="111"/>
        <v>450.32903686585462</v>
      </c>
      <c r="R846" s="25">
        <f t="shared" si="108"/>
        <v>8</v>
      </c>
      <c r="S846" s="26">
        <f t="shared" si="109"/>
        <v>16</v>
      </c>
    </row>
    <row r="847" spans="2:19" x14ac:dyDescent="0.3">
      <c r="B847" s="24">
        <v>336457</v>
      </c>
      <c r="C847" s="25">
        <v>39</v>
      </c>
      <c r="D847" s="25">
        <v>3</v>
      </c>
      <c r="E847" s="25">
        <v>16</v>
      </c>
      <c r="F847" s="25">
        <v>10</v>
      </c>
      <c r="G847" s="25">
        <v>46</v>
      </c>
      <c r="H847" s="25">
        <v>11.3</v>
      </c>
      <c r="I847" s="25">
        <v>1.45</v>
      </c>
      <c r="J847" s="25">
        <v>3.75</v>
      </c>
      <c r="K847" s="26">
        <v>0</v>
      </c>
      <c r="L847" s="25">
        <f t="shared" si="104"/>
        <v>-3.4326170347241844</v>
      </c>
      <c r="M847" s="25">
        <f t="shared" si="110"/>
        <v>3.129150640032366E-2</v>
      </c>
      <c r="N847" s="25">
        <f t="shared" si="105"/>
        <v>0.96870849359967637</v>
      </c>
      <c r="O847" s="25">
        <f t="shared" si="106"/>
        <v>-3.1791544548930198E-2</v>
      </c>
      <c r="P847" s="25">
        <f t="shared" si="107"/>
        <v>0</v>
      </c>
      <c r="Q847" s="25">
        <f t="shared" si="111"/>
        <v>586.16738865822811</v>
      </c>
      <c r="R847" s="25">
        <f t="shared" si="108"/>
        <v>5</v>
      </c>
      <c r="S847" s="26">
        <f t="shared" si="109"/>
        <v>8</v>
      </c>
    </row>
    <row r="848" spans="2:19" x14ac:dyDescent="0.3">
      <c r="B848" s="24">
        <v>336479</v>
      </c>
      <c r="C848" s="25">
        <v>20</v>
      </c>
      <c r="D848" s="25">
        <v>2</v>
      </c>
      <c r="E848" s="25">
        <v>0</v>
      </c>
      <c r="F848" s="25">
        <v>1</v>
      </c>
      <c r="G848" s="25">
        <v>28</v>
      </c>
      <c r="H848" s="25">
        <v>9.8000000000000007</v>
      </c>
      <c r="I848" s="25">
        <v>0.66</v>
      </c>
      <c r="J848" s="25">
        <v>2.09</v>
      </c>
      <c r="K848" s="26">
        <v>0</v>
      </c>
      <c r="L848" s="25">
        <f t="shared" si="104"/>
        <v>0.37488243435207441</v>
      </c>
      <c r="M848" s="25">
        <f t="shared" si="110"/>
        <v>0.5926382177807421</v>
      </c>
      <c r="N848" s="25">
        <f t="shared" si="105"/>
        <v>0.4073617822192579</v>
      </c>
      <c r="O848" s="25">
        <f t="shared" si="106"/>
        <v>-0.89805358857539097</v>
      </c>
      <c r="P848" s="25">
        <f t="shared" si="107"/>
        <v>1</v>
      </c>
      <c r="Q848" s="25">
        <f t="shared" si="111"/>
        <v>476.30617972744864</v>
      </c>
      <c r="R848" s="25">
        <f t="shared" si="108"/>
        <v>7</v>
      </c>
      <c r="S848" s="26">
        <f t="shared" si="109"/>
        <v>15</v>
      </c>
    </row>
    <row r="849" spans="2:19" x14ac:dyDescent="0.3">
      <c r="B849" s="24">
        <v>336499</v>
      </c>
      <c r="C849" s="25">
        <v>26</v>
      </c>
      <c r="D849" s="25">
        <v>3</v>
      </c>
      <c r="E849" s="25">
        <v>0</v>
      </c>
      <c r="F849" s="25">
        <v>3</v>
      </c>
      <c r="G849" s="25">
        <v>23</v>
      </c>
      <c r="H849" s="25">
        <v>10.9</v>
      </c>
      <c r="I849" s="25">
        <v>1.71</v>
      </c>
      <c r="J849" s="25">
        <v>0.8</v>
      </c>
      <c r="K849" s="26">
        <v>1</v>
      </c>
      <c r="L849" s="25">
        <f t="shared" si="104"/>
        <v>0.70017297625097008</v>
      </c>
      <c r="M849" s="25">
        <f t="shared" si="110"/>
        <v>0.66822612211398913</v>
      </c>
      <c r="N849" s="25">
        <f t="shared" si="105"/>
        <v>0.66822612211398913</v>
      </c>
      <c r="O849" s="25">
        <f t="shared" si="106"/>
        <v>-0.40312865656710856</v>
      </c>
      <c r="P849" s="25">
        <f t="shared" si="107"/>
        <v>1</v>
      </c>
      <c r="Q849" s="25">
        <f t="shared" si="111"/>
        <v>466.92027896055214</v>
      </c>
      <c r="R849" s="25">
        <f t="shared" si="108"/>
        <v>7</v>
      </c>
      <c r="S849" s="26">
        <f t="shared" si="109"/>
        <v>15</v>
      </c>
    </row>
    <row r="850" spans="2:19" x14ac:dyDescent="0.3">
      <c r="B850" s="24">
        <v>336510</v>
      </c>
      <c r="C850" s="25">
        <v>62</v>
      </c>
      <c r="D850" s="25">
        <v>4</v>
      </c>
      <c r="E850" s="25">
        <v>23</v>
      </c>
      <c r="F850" s="25">
        <v>22</v>
      </c>
      <c r="G850" s="25">
        <v>124</v>
      </c>
      <c r="H850" s="25">
        <v>23</v>
      </c>
      <c r="I850" s="25">
        <v>19.05</v>
      </c>
      <c r="J850" s="25">
        <v>9.4700000000000006</v>
      </c>
      <c r="K850" s="26">
        <v>1</v>
      </c>
      <c r="L850" s="25">
        <f t="shared" si="104"/>
        <v>3.7068408702501801</v>
      </c>
      <c r="M850" s="25">
        <f t="shared" si="110"/>
        <v>0.97603352298477952</v>
      </c>
      <c r="N850" s="25">
        <f t="shared" si="105"/>
        <v>0.97603352298477952</v>
      </c>
      <c r="O850" s="25">
        <f t="shared" si="106"/>
        <v>-2.4258345838429448E-2</v>
      </c>
      <c r="P850" s="25">
        <f t="shared" si="107"/>
        <v>1</v>
      </c>
      <c r="Q850" s="25">
        <f t="shared" si="111"/>
        <v>380.1661842138883</v>
      </c>
      <c r="R850" s="25">
        <f t="shared" si="108"/>
        <v>8</v>
      </c>
      <c r="S850" s="26">
        <f t="shared" si="109"/>
        <v>17</v>
      </c>
    </row>
    <row r="851" spans="2:19" x14ac:dyDescent="0.3">
      <c r="B851" s="24">
        <v>336576</v>
      </c>
      <c r="C851" s="25">
        <v>39</v>
      </c>
      <c r="D851" s="25">
        <v>2</v>
      </c>
      <c r="E851" s="25">
        <v>1</v>
      </c>
      <c r="F851" s="25">
        <v>9</v>
      </c>
      <c r="G851" s="25">
        <v>27</v>
      </c>
      <c r="H851" s="25">
        <v>1.4</v>
      </c>
      <c r="I851" s="25">
        <v>0.1</v>
      </c>
      <c r="J851" s="25">
        <v>0.28000000000000003</v>
      </c>
      <c r="K851" s="26">
        <v>0</v>
      </c>
      <c r="L851" s="25">
        <f t="shared" si="104"/>
        <v>-1.6702316515047917</v>
      </c>
      <c r="M851" s="25">
        <f t="shared" si="110"/>
        <v>0.15839329612984504</v>
      </c>
      <c r="N851" s="25">
        <f t="shared" si="105"/>
        <v>0.8416067038701549</v>
      </c>
      <c r="O851" s="25">
        <f t="shared" si="106"/>
        <v>-0.172442471405233</v>
      </c>
      <c r="P851" s="25">
        <f t="shared" si="107"/>
        <v>0</v>
      </c>
      <c r="Q851" s="25">
        <f t="shared" si="111"/>
        <v>535.31569704935407</v>
      </c>
      <c r="R851" s="25">
        <f t="shared" si="108"/>
        <v>6</v>
      </c>
      <c r="S851" s="26">
        <f t="shared" si="109"/>
        <v>12</v>
      </c>
    </row>
    <row r="852" spans="2:19" x14ac:dyDescent="0.3">
      <c r="B852" s="24">
        <v>336580</v>
      </c>
      <c r="C852" s="25">
        <v>26</v>
      </c>
      <c r="D852" s="25">
        <v>1</v>
      </c>
      <c r="E852" s="25">
        <v>5</v>
      </c>
      <c r="F852" s="25">
        <v>2</v>
      </c>
      <c r="G852" s="25">
        <v>47</v>
      </c>
      <c r="H852" s="25">
        <v>21.7</v>
      </c>
      <c r="I852" s="25">
        <v>6.14</v>
      </c>
      <c r="J852" s="25">
        <v>4.0599999999999996</v>
      </c>
      <c r="K852" s="26">
        <v>1</v>
      </c>
      <c r="L852" s="25">
        <f t="shared" si="104"/>
        <v>2.9702087290057237</v>
      </c>
      <c r="M852" s="25">
        <f t="shared" si="110"/>
        <v>0.95120996493646959</v>
      </c>
      <c r="N852" s="25">
        <f t="shared" si="105"/>
        <v>0.95120996493646959</v>
      </c>
      <c r="O852" s="25">
        <f t="shared" si="106"/>
        <v>-5.0020457486691185E-2</v>
      </c>
      <c r="P852" s="25">
        <f t="shared" si="107"/>
        <v>1</v>
      </c>
      <c r="Q852" s="25">
        <f t="shared" si="111"/>
        <v>401.42089435414175</v>
      </c>
      <c r="R852" s="25">
        <f t="shared" si="108"/>
        <v>8</v>
      </c>
      <c r="S852" s="26">
        <f t="shared" si="109"/>
        <v>17</v>
      </c>
    </row>
    <row r="853" spans="2:19" x14ac:dyDescent="0.3">
      <c r="B853" s="24">
        <v>336624</v>
      </c>
      <c r="C853" s="25">
        <v>35</v>
      </c>
      <c r="D853" s="25">
        <v>2</v>
      </c>
      <c r="E853" s="25">
        <v>15</v>
      </c>
      <c r="F853" s="25">
        <v>8</v>
      </c>
      <c r="G853" s="25">
        <v>66</v>
      </c>
      <c r="H853" s="25">
        <v>3.3</v>
      </c>
      <c r="I853" s="25">
        <v>1.05</v>
      </c>
      <c r="J853" s="25">
        <v>1.1200000000000001</v>
      </c>
      <c r="K853" s="26">
        <v>0</v>
      </c>
      <c r="L853" s="25">
        <f t="shared" si="104"/>
        <v>-4.0495944705349824</v>
      </c>
      <c r="M853" s="25">
        <f t="shared" si="110"/>
        <v>1.7130860038089626E-2</v>
      </c>
      <c r="N853" s="25">
        <f t="shared" si="105"/>
        <v>0.98286913996191039</v>
      </c>
      <c r="O853" s="25">
        <f t="shared" si="106"/>
        <v>-1.7279290827963107E-2</v>
      </c>
      <c r="P853" s="25">
        <f t="shared" si="107"/>
        <v>0</v>
      </c>
      <c r="Q853" s="25">
        <f t="shared" si="111"/>
        <v>603.96959389336928</v>
      </c>
      <c r="R853" s="25">
        <f t="shared" si="108"/>
        <v>4</v>
      </c>
      <c r="S853" s="26">
        <f t="shared" si="109"/>
        <v>6</v>
      </c>
    </row>
    <row r="854" spans="2:19" x14ac:dyDescent="0.3">
      <c r="B854" s="24">
        <v>336636</v>
      </c>
      <c r="C854" s="25">
        <v>46</v>
      </c>
      <c r="D854" s="25">
        <v>5</v>
      </c>
      <c r="E854" s="25">
        <v>11</v>
      </c>
      <c r="F854" s="25">
        <v>9</v>
      </c>
      <c r="G854" s="25">
        <v>136</v>
      </c>
      <c r="H854" s="25">
        <v>4.9000000000000004</v>
      </c>
      <c r="I854" s="25">
        <v>3.27</v>
      </c>
      <c r="J854" s="25">
        <v>3.39</v>
      </c>
      <c r="K854" s="26">
        <v>1</v>
      </c>
      <c r="L854" s="25">
        <f t="shared" si="104"/>
        <v>-2.2914383692435965</v>
      </c>
      <c r="M854" s="25">
        <f t="shared" si="110"/>
        <v>9.1834518135770149E-2</v>
      </c>
      <c r="N854" s="25">
        <f t="shared" si="105"/>
        <v>9.1834518135770149E-2</v>
      </c>
      <c r="O854" s="25">
        <f t="shared" si="106"/>
        <v>-2.3877670374805744</v>
      </c>
      <c r="P854" s="25">
        <f t="shared" si="107"/>
        <v>0</v>
      </c>
      <c r="Q854" s="25">
        <f t="shared" si="111"/>
        <v>553.23993356231779</v>
      </c>
      <c r="R854" s="25">
        <f t="shared" si="108"/>
        <v>6</v>
      </c>
      <c r="S854" s="26">
        <f t="shared" si="109"/>
        <v>10</v>
      </c>
    </row>
    <row r="855" spans="2:19" x14ac:dyDescent="0.3">
      <c r="B855" s="24">
        <v>336640</v>
      </c>
      <c r="C855" s="25">
        <v>47</v>
      </c>
      <c r="D855" s="25">
        <v>4</v>
      </c>
      <c r="E855" s="25">
        <v>17</v>
      </c>
      <c r="F855" s="25">
        <v>17</v>
      </c>
      <c r="G855" s="25">
        <v>61</v>
      </c>
      <c r="H855" s="25">
        <v>7.5</v>
      </c>
      <c r="I855" s="25">
        <v>3.12</v>
      </c>
      <c r="J855" s="25">
        <v>1.45</v>
      </c>
      <c r="K855" s="26">
        <v>0</v>
      </c>
      <c r="L855" s="25">
        <f t="shared" si="104"/>
        <v>-3.7550806477682102</v>
      </c>
      <c r="M855" s="25">
        <f t="shared" si="110"/>
        <v>2.2863588367146127E-2</v>
      </c>
      <c r="N855" s="25">
        <f t="shared" si="105"/>
        <v>0.97713641163285392</v>
      </c>
      <c r="O855" s="25">
        <f t="shared" si="106"/>
        <v>-2.3129013724776819E-2</v>
      </c>
      <c r="P855" s="25">
        <f t="shared" si="107"/>
        <v>0</v>
      </c>
      <c r="Q855" s="25">
        <f t="shared" si="111"/>
        <v>595.47172150263918</v>
      </c>
      <c r="R855" s="25">
        <f t="shared" si="108"/>
        <v>4</v>
      </c>
      <c r="S855" s="26">
        <f t="shared" si="109"/>
        <v>7</v>
      </c>
    </row>
    <row r="856" spans="2:19" x14ac:dyDescent="0.3">
      <c r="B856" s="24">
        <v>336658</v>
      </c>
      <c r="C856" s="25">
        <v>56</v>
      </c>
      <c r="D856" s="25">
        <v>1</v>
      </c>
      <c r="E856" s="25">
        <v>3</v>
      </c>
      <c r="F856" s="25">
        <v>16</v>
      </c>
      <c r="G856" s="25">
        <v>38</v>
      </c>
      <c r="H856" s="25">
        <v>18.7</v>
      </c>
      <c r="I856" s="25">
        <v>3.72</v>
      </c>
      <c r="J856" s="25">
        <v>3.39</v>
      </c>
      <c r="K856" s="26">
        <v>1</v>
      </c>
      <c r="L856" s="25">
        <f t="shared" si="104"/>
        <v>0.85449077510792337</v>
      </c>
      <c r="M856" s="25">
        <f t="shared" si="110"/>
        <v>0.70150833572212068</v>
      </c>
      <c r="N856" s="25">
        <f t="shared" si="105"/>
        <v>0.70150833572212068</v>
      </c>
      <c r="O856" s="25">
        <f t="shared" si="106"/>
        <v>-0.35452249679871539</v>
      </c>
      <c r="P856" s="25">
        <f t="shared" si="107"/>
        <v>1</v>
      </c>
      <c r="Q856" s="25">
        <f t="shared" si="111"/>
        <v>462.4676086241135</v>
      </c>
      <c r="R856" s="25">
        <f t="shared" si="108"/>
        <v>8</v>
      </c>
      <c r="S856" s="26">
        <f t="shared" si="109"/>
        <v>16</v>
      </c>
    </row>
    <row r="857" spans="2:19" x14ac:dyDescent="0.3">
      <c r="B857" s="24">
        <v>336706</v>
      </c>
      <c r="C857" s="25">
        <v>21</v>
      </c>
      <c r="D857" s="25">
        <v>3</v>
      </c>
      <c r="E857" s="25">
        <v>0</v>
      </c>
      <c r="F857" s="25">
        <v>1</v>
      </c>
      <c r="G857" s="25">
        <v>33</v>
      </c>
      <c r="H857" s="25">
        <v>9.1</v>
      </c>
      <c r="I857" s="25">
        <v>1.05</v>
      </c>
      <c r="J857" s="25">
        <v>1.95</v>
      </c>
      <c r="K857" s="26">
        <v>1</v>
      </c>
      <c r="L857" s="25">
        <f t="shared" si="104"/>
        <v>0.41246493164855286</v>
      </c>
      <c r="M857" s="25">
        <f t="shared" si="110"/>
        <v>0.60167877568169015</v>
      </c>
      <c r="N857" s="25">
        <f t="shared" si="105"/>
        <v>0.60167877568169015</v>
      </c>
      <c r="O857" s="25">
        <f t="shared" si="106"/>
        <v>-0.50803157129904375</v>
      </c>
      <c r="P857" s="25">
        <f t="shared" si="107"/>
        <v>1</v>
      </c>
      <c r="Q857" s="25">
        <f t="shared" si="111"/>
        <v>475.22177810870579</v>
      </c>
      <c r="R857" s="25">
        <f t="shared" si="108"/>
        <v>7</v>
      </c>
      <c r="S857" s="26">
        <f t="shared" si="109"/>
        <v>15</v>
      </c>
    </row>
    <row r="858" spans="2:19" x14ac:dyDescent="0.3">
      <c r="B858" s="24">
        <v>336731</v>
      </c>
      <c r="C858" s="25">
        <v>29</v>
      </c>
      <c r="D858" s="25">
        <v>2</v>
      </c>
      <c r="E858" s="25">
        <v>0</v>
      </c>
      <c r="F858" s="25">
        <v>5</v>
      </c>
      <c r="G858" s="25">
        <v>33</v>
      </c>
      <c r="H858" s="25">
        <v>5.8</v>
      </c>
      <c r="I858" s="25">
        <v>0.57999999999999996</v>
      </c>
      <c r="J858" s="25">
        <v>1.34</v>
      </c>
      <c r="K858" s="26">
        <v>0</v>
      </c>
      <c r="L858" s="25">
        <f t="shared" si="104"/>
        <v>-0.40397068848023998</v>
      </c>
      <c r="M858" s="25">
        <f t="shared" si="110"/>
        <v>0.40035871425090419</v>
      </c>
      <c r="N858" s="25">
        <f t="shared" si="105"/>
        <v>0.59964128574909581</v>
      </c>
      <c r="O858" s="25">
        <f t="shared" si="106"/>
        <v>-0.51142365963864123</v>
      </c>
      <c r="P858" s="25">
        <f t="shared" si="107"/>
        <v>1</v>
      </c>
      <c r="Q858" s="25">
        <f t="shared" si="111"/>
        <v>498.77912984834001</v>
      </c>
      <c r="R858" s="25">
        <f t="shared" si="108"/>
        <v>7</v>
      </c>
      <c r="S858" s="26">
        <f t="shared" si="109"/>
        <v>14</v>
      </c>
    </row>
    <row r="859" spans="2:19" x14ac:dyDescent="0.3">
      <c r="B859" s="24">
        <v>336792</v>
      </c>
      <c r="C859" s="25">
        <v>28</v>
      </c>
      <c r="D859" s="25">
        <v>2</v>
      </c>
      <c r="E859" s="25">
        <v>3</v>
      </c>
      <c r="F859" s="25">
        <v>5</v>
      </c>
      <c r="G859" s="25">
        <v>53</v>
      </c>
      <c r="H859" s="25">
        <v>5.7</v>
      </c>
      <c r="I859" s="25">
        <v>1.57</v>
      </c>
      <c r="J859" s="25">
        <v>1.45</v>
      </c>
      <c r="K859" s="26">
        <v>1</v>
      </c>
      <c r="L859" s="25">
        <f t="shared" si="104"/>
        <v>-0.59488683460451497</v>
      </c>
      <c r="M859" s="25">
        <f t="shared" si="110"/>
        <v>0.35551437476694986</v>
      </c>
      <c r="N859" s="25">
        <f t="shared" si="105"/>
        <v>0.35551437476694986</v>
      </c>
      <c r="O859" s="25">
        <f t="shared" si="106"/>
        <v>-1.0341895952062583</v>
      </c>
      <c r="P859" s="25">
        <f t="shared" si="107"/>
        <v>0</v>
      </c>
      <c r="Q859" s="25">
        <f t="shared" si="111"/>
        <v>504.28780523699521</v>
      </c>
      <c r="R859" s="25">
        <f t="shared" si="108"/>
        <v>7</v>
      </c>
      <c r="S859" s="26">
        <f t="shared" si="109"/>
        <v>14</v>
      </c>
    </row>
    <row r="860" spans="2:19" x14ac:dyDescent="0.3">
      <c r="B860" s="24">
        <v>336815</v>
      </c>
      <c r="C860" s="25">
        <v>28</v>
      </c>
      <c r="D860" s="25">
        <v>3</v>
      </c>
      <c r="E860" s="25">
        <v>3</v>
      </c>
      <c r="F860" s="25">
        <v>3</v>
      </c>
      <c r="G860" s="25">
        <v>61</v>
      </c>
      <c r="H860" s="25">
        <v>16.100000000000001</v>
      </c>
      <c r="I860" s="25">
        <v>3.16</v>
      </c>
      <c r="J860" s="25">
        <v>6.66</v>
      </c>
      <c r="K860" s="26">
        <v>1</v>
      </c>
      <c r="L860" s="25">
        <f t="shared" si="104"/>
        <v>1.3389344077521168</v>
      </c>
      <c r="M860" s="25">
        <f t="shared" si="110"/>
        <v>0.79231465056784178</v>
      </c>
      <c r="N860" s="25">
        <f t="shared" si="105"/>
        <v>0.79231465056784178</v>
      </c>
      <c r="O860" s="25">
        <f t="shared" si="106"/>
        <v>-0.232796679994419</v>
      </c>
      <c r="P860" s="25">
        <f t="shared" si="107"/>
        <v>1</v>
      </c>
      <c r="Q860" s="25">
        <f t="shared" si="111"/>
        <v>448.4895204921612</v>
      </c>
      <c r="R860" s="25">
        <f t="shared" si="108"/>
        <v>8</v>
      </c>
      <c r="S860" s="26">
        <f t="shared" si="109"/>
        <v>16</v>
      </c>
    </row>
    <row r="861" spans="2:19" x14ac:dyDescent="0.3">
      <c r="B861" s="24">
        <v>336852</v>
      </c>
      <c r="C861" s="25">
        <v>30</v>
      </c>
      <c r="D861" s="25">
        <v>1</v>
      </c>
      <c r="E861" s="25">
        <v>4</v>
      </c>
      <c r="F861" s="25">
        <v>6</v>
      </c>
      <c r="G861" s="25">
        <v>30</v>
      </c>
      <c r="H861" s="25">
        <v>10.8</v>
      </c>
      <c r="I861" s="25">
        <v>1.03</v>
      </c>
      <c r="J861" s="25">
        <v>2.21</v>
      </c>
      <c r="K861" s="26">
        <v>0</v>
      </c>
      <c r="L861" s="25">
        <f t="shared" si="104"/>
        <v>-0.57718908993672613</v>
      </c>
      <c r="M861" s="25">
        <f t="shared" si="110"/>
        <v>0.35957964017972294</v>
      </c>
      <c r="N861" s="25">
        <f t="shared" si="105"/>
        <v>0.64042035982027712</v>
      </c>
      <c r="O861" s="25">
        <f t="shared" si="106"/>
        <v>-0.44563050601597853</v>
      </c>
      <c r="P861" s="25">
        <f t="shared" si="107"/>
        <v>0</v>
      </c>
      <c r="Q861" s="25">
        <f t="shared" si="111"/>
        <v>503.7771562821253</v>
      </c>
      <c r="R861" s="25">
        <f t="shared" si="108"/>
        <v>7</v>
      </c>
      <c r="S861" s="26">
        <f t="shared" si="109"/>
        <v>14</v>
      </c>
    </row>
    <row r="862" spans="2:19" x14ac:dyDescent="0.3">
      <c r="B862" s="24">
        <v>336899</v>
      </c>
      <c r="C862" s="25">
        <v>20</v>
      </c>
      <c r="D862" s="25">
        <v>1</v>
      </c>
      <c r="E862" s="25">
        <v>1</v>
      </c>
      <c r="F862" s="25">
        <v>0</v>
      </c>
      <c r="G862" s="25">
        <v>22</v>
      </c>
      <c r="H862" s="25">
        <v>10.1</v>
      </c>
      <c r="I862" s="25">
        <v>0.14000000000000001</v>
      </c>
      <c r="J862" s="25">
        <v>2.08</v>
      </c>
      <c r="K862" s="26">
        <v>1</v>
      </c>
      <c r="L862" s="25">
        <f t="shared" si="104"/>
        <v>1.6608906926953937E-2</v>
      </c>
      <c r="M862" s="25">
        <f t="shared" si="110"/>
        <v>0.50415213128305625</v>
      </c>
      <c r="N862" s="25">
        <f t="shared" si="105"/>
        <v>0.50415213128305625</v>
      </c>
      <c r="O862" s="25">
        <f t="shared" si="106"/>
        <v>-0.68487720867380375</v>
      </c>
      <c r="P862" s="25">
        <f t="shared" si="107"/>
        <v>1</v>
      </c>
      <c r="Q862" s="25">
        <f t="shared" si="111"/>
        <v>486.64376826042036</v>
      </c>
      <c r="R862" s="25">
        <f t="shared" si="108"/>
        <v>7</v>
      </c>
      <c r="S862" s="26">
        <f t="shared" si="109"/>
        <v>15</v>
      </c>
    </row>
    <row r="863" spans="2:19" x14ac:dyDescent="0.3">
      <c r="B863" s="24">
        <v>336953</v>
      </c>
      <c r="C863" s="25">
        <v>24</v>
      </c>
      <c r="D863" s="25">
        <v>4</v>
      </c>
      <c r="E863" s="25">
        <v>0</v>
      </c>
      <c r="F863" s="25">
        <v>2</v>
      </c>
      <c r="G863" s="25">
        <v>29</v>
      </c>
      <c r="H863" s="25">
        <v>9.6</v>
      </c>
      <c r="I863" s="25">
        <v>1.04</v>
      </c>
      <c r="J863" s="25">
        <v>1.75</v>
      </c>
      <c r="K863" s="26">
        <v>1</v>
      </c>
      <c r="L863" s="25">
        <f t="shared" si="104"/>
        <v>0.3008309704483661</v>
      </c>
      <c r="M863" s="25">
        <f t="shared" si="110"/>
        <v>0.57464564186762224</v>
      </c>
      <c r="N863" s="25">
        <f t="shared" si="105"/>
        <v>0.57464564186762224</v>
      </c>
      <c r="O863" s="25">
        <f t="shared" si="106"/>
        <v>-0.5540017031731187</v>
      </c>
      <c r="P863" s="25">
        <f t="shared" si="107"/>
        <v>1</v>
      </c>
      <c r="Q863" s="25">
        <f t="shared" si="111"/>
        <v>478.44285326177987</v>
      </c>
      <c r="R863" s="25">
        <f t="shared" si="108"/>
        <v>7</v>
      </c>
      <c r="S863" s="26">
        <f t="shared" si="109"/>
        <v>15</v>
      </c>
    </row>
    <row r="864" spans="2:19" x14ac:dyDescent="0.3">
      <c r="B864" s="24">
        <v>336969</v>
      </c>
      <c r="C864" s="25">
        <v>29</v>
      </c>
      <c r="D864" s="25">
        <v>4</v>
      </c>
      <c r="E864" s="25">
        <v>5</v>
      </c>
      <c r="F864" s="25">
        <v>4</v>
      </c>
      <c r="G864" s="25">
        <v>73</v>
      </c>
      <c r="H864" s="25">
        <v>25.1</v>
      </c>
      <c r="I864" s="25">
        <v>2.1800000000000002</v>
      </c>
      <c r="J864" s="25">
        <v>16.14</v>
      </c>
      <c r="K864" s="26">
        <v>1</v>
      </c>
      <c r="L864" s="25">
        <f t="shared" si="104"/>
        <v>1.4522247965881068</v>
      </c>
      <c r="M864" s="25">
        <f t="shared" si="110"/>
        <v>0.81034059621494769</v>
      </c>
      <c r="N864" s="25">
        <f t="shared" si="105"/>
        <v>0.81034059621494769</v>
      </c>
      <c r="O864" s="25">
        <f t="shared" si="106"/>
        <v>-0.21030063054218603</v>
      </c>
      <c r="P864" s="25">
        <f t="shared" si="107"/>
        <v>1</v>
      </c>
      <c r="Q864" s="25">
        <f t="shared" si="111"/>
        <v>445.22065094172643</v>
      </c>
      <c r="R864" s="25">
        <f t="shared" si="108"/>
        <v>8</v>
      </c>
      <c r="S864" s="26">
        <f t="shared" si="109"/>
        <v>16</v>
      </c>
    </row>
    <row r="865" spans="2:19" x14ac:dyDescent="0.3">
      <c r="B865" s="24">
        <v>337073</v>
      </c>
      <c r="C865" s="25">
        <v>19</v>
      </c>
      <c r="D865" s="25">
        <v>2</v>
      </c>
      <c r="E865" s="25">
        <v>0</v>
      </c>
      <c r="F865" s="25">
        <v>0</v>
      </c>
      <c r="G865" s="25">
        <v>15</v>
      </c>
      <c r="H865" s="25">
        <v>9.5</v>
      </c>
      <c r="I865" s="25">
        <v>0.4</v>
      </c>
      <c r="J865" s="25">
        <v>1.03</v>
      </c>
      <c r="K865" s="26">
        <v>1</v>
      </c>
      <c r="L865" s="25">
        <f t="shared" si="104"/>
        <v>0.24647905104398943</v>
      </c>
      <c r="M865" s="25">
        <f t="shared" si="110"/>
        <v>0.56130968647638346</v>
      </c>
      <c r="N865" s="25">
        <f t="shared" si="105"/>
        <v>0.56130968647638346</v>
      </c>
      <c r="O865" s="25">
        <f t="shared" si="106"/>
        <v>-0.57748249996502987</v>
      </c>
      <c r="P865" s="25">
        <f t="shared" si="107"/>
        <v>1</v>
      </c>
      <c r="Q865" s="25">
        <f t="shared" si="111"/>
        <v>480.01111810908185</v>
      </c>
      <c r="R865" s="25">
        <f t="shared" si="108"/>
        <v>7</v>
      </c>
      <c r="S865" s="26">
        <f t="shared" si="109"/>
        <v>15</v>
      </c>
    </row>
    <row r="866" spans="2:19" x14ac:dyDescent="0.3">
      <c r="B866" s="24">
        <v>337079</v>
      </c>
      <c r="C866" s="25">
        <v>63</v>
      </c>
      <c r="D866" s="25">
        <v>2</v>
      </c>
      <c r="E866" s="25">
        <v>29</v>
      </c>
      <c r="F866" s="25">
        <v>19</v>
      </c>
      <c r="G866" s="25">
        <v>208</v>
      </c>
      <c r="H866" s="25">
        <v>16.600000000000001</v>
      </c>
      <c r="I866" s="25">
        <v>21.89</v>
      </c>
      <c r="J866" s="25">
        <v>12.64</v>
      </c>
      <c r="K866" s="26">
        <v>1</v>
      </c>
      <c r="L866" s="25">
        <f t="shared" si="104"/>
        <v>3.3384186474303981</v>
      </c>
      <c r="M866" s="25">
        <f t="shared" si="110"/>
        <v>0.96572353555910218</v>
      </c>
      <c r="N866" s="25">
        <f t="shared" si="105"/>
        <v>0.96572353555910218</v>
      </c>
      <c r="O866" s="25">
        <f t="shared" si="106"/>
        <v>-3.4877680804637795E-2</v>
      </c>
      <c r="P866" s="25">
        <f t="shared" si="107"/>
        <v>1</v>
      </c>
      <c r="Q866" s="25">
        <f t="shared" si="111"/>
        <v>390.79660218890803</v>
      </c>
      <c r="R866" s="25">
        <f t="shared" si="108"/>
        <v>8</v>
      </c>
      <c r="S866" s="26">
        <f t="shared" si="109"/>
        <v>17</v>
      </c>
    </row>
    <row r="867" spans="2:19" x14ac:dyDescent="0.3">
      <c r="B867" s="24">
        <v>337113</v>
      </c>
      <c r="C867" s="25">
        <v>39</v>
      </c>
      <c r="D867" s="25">
        <v>2</v>
      </c>
      <c r="E867" s="25">
        <v>17</v>
      </c>
      <c r="F867" s="25">
        <v>9</v>
      </c>
      <c r="G867" s="25">
        <v>90</v>
      </c>
      <c r="H867" s="25">
        <v>6.8</v>
      </c>
      <c r="I867" s="25">
        <v>3.45</v>
      </c>
      <c r="J867" s="25">
        <v>2.67</v>
      </c>
      <c r="K867" s="26">
        <v>0</v>
      </c>
      <c r="L867" s="25">
        <f t="shared" si="104"/>
        <v>-3.0911461769821265</v>
      </c>
      <c r="M867" s="25">
        <f t="shared" si="110"/>
        <v>4.3473947425948518E-2</v>
      </c>
      <c r="N867" s="25">
        <f t="shared" si="105"/>
        <v>0.95652605257405143</v>
      </c>
      <c r="O867" s="25">
        <f t="shared" si="106"/>
        <v>-4.4447253071766057E-2</v>
      </c>
      <c r="P867" s="25">
        <f t="shared" si="107"/>
        <v>0</v>
      </c>
      <c r="Q867" s="25">
        <f t="shared" si="111"/>
        <v>576.31462267602456</v>
      </c>
      <c r="R867" s="25">
        <f t="shared" si="108"/>
        <v>5</v>
      </c>
      <c r="S867" s="26">
        <f t="shared" si="109"/>
        <v>9</v>
      </c>
    </row>
    <row r="868" spans="2:19" x14ac:dyDescent="0.3">
      <c r="B868" s="24">
        <v>337128</v>
      </c>
      <c r="C868" s="25">
        <v>22</v>
      </c>
      <c r="D868" s="25">
        <v>4</v>
      </c>
      <c r="E868" s="25">
        <v>0</v>
      </c>
      <c r="F868" s="25">
        <v>1</v>
      </c>
      <c r="G868" s="25">
        <v>30</v>
      </c>
      <c r="H868" s="25">
        <v>3.4</v>
      </c>
      <c r="I868" s="25">
        <v>0.15</v>
      </c>
      <c r="J868" s="25">
        <v>0.87</v>
      </c>
      <c r="K868" s="26">
        <v>0</v>
      </c>
      <c r="L868" s="25">
        <f t="shared" si="104"/>
        <v>-0.68458565167217866</v>
      </c>
      <c r="M868" s="25">
        <f t="shared" si="110"/>
        <v>0.33523860233969693</v>
      </c>
      <c r="N868" s="25">
        <f t="shared" si="105"/>
        <v>0.66476139766030307</v>
      </c>
      <c r="O868" s="25">
        <f t="shared" si="106"/>
        <v>-0.40832710322140986</v>
      </c>
      <c r="P868" s="25">
        <f t="shared" si="107"/>
        <v>0</v>
      </c>
      <c r="Q868" s="25">
        <f t="shared" si="111"/>
        <v>506.87596593478384</v>
      </c>
      <c r="R868" s="25">
        <f t="shared" si="108"/>
        <v>7</v>
      </c>
      <c r="S868" s="26">
        <f t="shared" si="109"/>
        <v>14</v>
      </c>
    </row>
    <row r="869" spans="2:19" x14ac:dyDescent="0.3">
      <c r="B869" s="24">
        <v>337143</v>
      </c>
      <c r="C869" s="25">
        <v>30</v>
      </c>
      <c r="D869" s="25">
        <v>2</v>
      </c>
      <c r="E869" s="25">
        <v>2</v>
      </c>
      <c r="F869" s="25">
        <v>4</v>
      </c>
      <c r="G869" s="25">
        <v>34</v>
      </c>
      <c r="H869" s="25">
        <v>11.6</v>
      </c>
      <c r="I869" s="25">
        <v>1.39</v>
      </c>
      <c r="J869" s="25">
        <v>2.5499999999999998</v>
      </c>
      <c r="K869" s="26">
        <v>0</v>
      </c>
      <c r="L869" s="25">
        <f t="shared" si="104"/>
        <v>0.14670678288045985</v>
      </c>
      <c r="M869" s="25">
        <f t="shared" si="110"/>
        <v>0.536611054651146</v>
      </c>
      <c r="N869" s="25">
        <f t="shared" si="105"/>
        <v>0.463388945348854</v>
      </c>
      <c r="O869" s="25">
        <f t="shared" si="106"/>
        <v>-0.76918852279526684</v>
      </c>
      <c r="P869" s="25">
        <f t="shared" si="107"/>
        <v>1</v>
      </c>
      <c r="Q869" s="25">
        <f t="shared" si="111"/>
        <v>482.8899371574455</v>
      </c>
      <c r="R869" s="25">
        <f t="shared" si="108"/>
        <v>7</v>
      </c>
      <c r="S869" s="26">
        <f t="shared" si="109"/>
        <v>15</v>
      </c>
    </row>
    <row r="870" spans="2:19" x14ac:dyDescent="0.3">
      <c r="B870" s="24">
        <v>337173</v>
      </c>
      <c r="C870" s="25">
        <v>24</v>
      </c>
      <c r="D870" s="25">
        <v>1</v>
      </c>
      <c r="E870" s="25">
        <v>4</v>
      </c>
      <c r="F870" s="25">
        <v>2</v>
      </c>
      <c r="G870" s="25">
        <v>24</v>
      </c>
      <c r="H870" s="25">
        <v>18</v>
      </c>
      <c r="I870" s="25">
        <v>1.64</v>
      </c>
      <c r="J870" s="25">
        <v>2.68</v>
      </c>
      <c r="K870" s="26">
        <v>1</v>
      </c>
      <c r="L870" s="25">
        <f t="shared" si="104"/>
        <v>0.69947816867592016</v>
      </c>
      <c r="M870" s="25">
        <f t="shared" si="110"/>
        <v>0.66807206529346685</v>
      </c>
      <c r="N870" s="25">
        <f t="shared" si="105"/>
        <v>0.66807206529346685</v>
      </c>
      <c r="O870" s="25">
        <f t="shared" si="106"/>
        <v>-0.40335922908850619</v>
      </c>
      <c r="P870" s="25">
        <f t="shared" si="107"/>
        <v>1</v>
      </c>
      <c r="Q870" s="25">
        <f t="shared" si="111"/>
        <v>466.94032686884185</v>
      </c>
      <c r="R870" s="25">
        <f t="shared" si="108"/>
        <v>7</v>
      </c>
      <c r="S870" s="26">
        <f t="shared" si="109"/>
        <v>15</v>
      </c>
    </row>
    <row r="871" spans="2:19" x14ac:dyDescent="0.3">
      <c r="B871" s="24">
        <v>337261</v>
      </c>
      <c r="C871" s="25">
        <v>25</v>
      </c>
      <c r="D871" s="25">
        <v>4</v>
      </c>
      <c r="E871" s="25">
        <v>1</v>
      </c>
      <c r="F871" s="25">
        <v>2</v>
      </c>
      <c r="G871" s="25">
        <v>66</v>
      </c>
      <c r="H871" s="25">
        <v>4.2</v>
      </c>
      <c r="I871" s="25">
        <v>0.55000000000000004</v>
      </c>
      <c r="J871" s="25">
        <v>2.2200000000000002</v>
      </c>
      <c r="K871" s="26">
        <v>1</v>
      </c>
      <c r="L871" s="25">
        <f t="shared" si="104"/>
        <v>-0.69711819923509721</v>
      </c>
      <c r="M871" s="25">
        <f t="shared" si="110"/>
        <v>0.33245146954729043</v>
      </c>
      <c r="N871" s="25">
        <f t="shared" si="105"/>
        <v>0.33245146954729043</v>
      </c>
      <c r="O871" s="25">
        <f t="shared" si="106"/>
        <v>-1.1012613857876286</v>
      </c>
      <c r="P871" s="25">
        <f t="shared" si="107"/>
        <v>0</v>
      </c>
      <c r="Q871" s="25">
        <f t="shared" si="111"/>
        <v>507.23757880890957</v>
      </c>
      <c r="R871" s="25">
        <f t="shared" si="108"/>
        <v>7</v>
      </c>
      <c r="S871" s="26">
        <f t="shared" si="109"/>
        <v>14</v>
      </c>
    </row>
    <row r="872" spans="2:19" x14ac:dyDescent="0.3">
      <c r="B872" s="24">
        <v>337272</v>
      </c>
      <c r="C872" s="25">
        <v>22</v>
      </c>
      <c r="D872" s="25">
        <v>2</v>
      </c>
      <c r="E872" s="25">
        <v>2</v>
      </c>
      <c r="F872" s="25">
        <v>1</v>
      </c>
      <c r="G872" s="25">
        <v>39</v>
      </c>
      <c r="H872" s="25">
        <v>4.7</v>
      </c>
      <c r="I872" s="25">
        <v>0.5</v>
      </c>
      <c r="J872" s="25">
        <v>1.33</v>
      </c>
      <c r="K872" s="26">
        <v>0</v>
      </c>
      <c r="L872" s="25">
        <f t="shared" si="104"/>
        <v>-0.7213602328163442</v>
      </c>
      <c r="M872" s="25">
        <f t="shared" si="110"/>
        <v>0.32709352074809722</v>
      </c>
      <c r="N872" s="25">
        <f t="shared" si="105"/>
        <v>0.67290647925190283</v>
      </c>
      <c r="O872" s="25">
        <f t="shared" si="106"/>
        <v>-0.39614891998609753</v>
      </c>
      <c r="P872" s="25">
        <f t="shared" si="107"/>
        <v>0</v>
      </c>
      <c r="Q872" s="25">
        <f t="shared" si="111"/>
        <v>507.93705602165949</v>
      </c>
      <c r="R872" s="25">
        <f t="shared" si="108"/>
        <v>7</v>
      </c>
      <c r="S872" s="26">
        <f t="shared" si="109"/>
        <v>14</v>
      </c>
    </row>
    <row r="873" spans="2:19" x14ac:dyDescent="0.3">
      <c r="B873" s="24">
        <v>337301</v>
      </c>
      <c r="C873" s="25">
        <v>35</v>
      </c>
      <c r="D873" s="25">
        <v>5</v>
      </c>
      <c r="E873" s="25">
        <v>0</v>
      </c>
      <c r="F873" s="25">
        <v>9</v>
      </c>
      <c r="G873" s="25">
        <v>36</v>
      </c>
      <c r="H873" s="25">
        <v>13.3</v>
      </c>
      <c r="I873" s="25">
        <v>0.99</v>
      </c>
      <c r="J873" s="25">
        <v>3.8</v>
      </c>
      <c r="K873" s="26">
        <v>0</v>
      </c>
      <c r="L873" s="25">
        <f t="shared" si="104"/>
        <v>0.17978471103882238</v>
      </c>
      <c r="M873" s="25">
        <f t="shared" si="110"/>
        <v>0.54482550323437162</v>
      </c>
      <c r="N873" s="25">
        <f t="shared" si="105"/>
        <v>0.45517449676562838</v>
      </c>
      <c r="O873" s="25">
        <f t="shared" si="106"/>
        <v>-0.78707442417710283</v>
      </c>
      <c r="P873" s="25">
        <f t="shared" si="107"/>
        <v>1</v>
      </c>
      <c r="Q873" s="25">
        <f t="shared" si="111"/>
        <v>481.9355099261569</v>
      </c>
      <c r="R873" s="25">
        <f t="shared" si="108"/>
        <v>7</v>
      </c>
      <c r="S873" s="26">
        <f t="shared" si="109"/>
        <v>15</v>
      </c>
    </row>
    <row r="874" spans="2:19" x14ac:dyDescent="0.3">
      <c r="B874" s="24">
        <v>337304</v>
      </c>
      <c r="C874" s="25">
        <v>51</v>
      </c>
      <c r="D874" s="25">
        <v>3</v>
      </c>
      <c r="E874" s="25">
        <v>14</v>
      </c>
      <c r="F874" s="25">
        <v>16</v>
      </c>
      <c r="G874" s="25">
        <v>161</v>
      </c>
      <c r="H874" s="25">
        <v>1.4</v>
      </c>
      <c r="I874" s="25">
        <v>0.56999999999999995</v>
      </c>
      <c r="J874" s="25">
        <v>1.69</v>
      </c>
      <c r="K874" s="26">
        <v>0</v>
      </c>
      <c r="L874" s="25">
        <f t="shared" si="104"/>
        <v>-4.8643473040217948</v>
      </c>
      <c r="M874" s="25">
        <f t="shared" si="110"/>
        <v>7.6577693543358324E-3</v>
      </c>
      <c r="N874" s="25">
        <f t="shared" si="105"/>
        <v>0.99234223064566418</v>
      </c>
      <c r="O874" s="25">
        <f t="shared" si="106"/>
        <v>-7.6872406226018309E-3</v>
      </c>
      <c r="P874" s="25">
        <f t="shared" si="107"/>
        <v>0</v>
      </c>
      <c r="Q874" s="25">
        <f t="shared" si="111"/>
        <v>627.47839067551445</v>
      </c>
      <c r="R874" s="25">
        <f t="shared" si="108"/>
        <v>3</v>
      </c>
      <c r="S874" s="26">
        <f t="shared" si="109"/>
        <v>4</v>
      </c>
    </row>
    <row r="875" spans="2:19" x14ac:dyDescent="0.3">
      <c r="B875" s="24">
        <v>337309</v>
      </c>
      <c r="C875" s="25">
        <v>65</v>
      </c>
      <c r="D875" s="25">
        <v>2</v>
      </c>
      <c r="E875" s="25">
        <v>0</v>
      </c>
      <c r="F875" s="25">
        <v>25</v>
      </c>
      <c r="G875" s="25">
        <v>57</v>
      </c>
      <c r="H875" s="25">
        <v>6.2</v>
      </c>
      <c r="I875" s="25">
        <v>1.68</v>
      </c>
      <c r="J875" s="25">
        <v>1.86</v>
      </c>
      <c r="K875" s="26">
        <v>0</v>
      </c>
      <c r="L875" s="25">
        <f t="shared" si="104"/>
        <v>-1.2537780627854793</v>
      </c>
      <c r="M875" s="25">
        <f t="shared" si="110"/>
        <v>0.22204682329880768</v>
      </c>
      <c r="N875" s="25">
        <f t="shared" si="105"/>
        <v>0.77795317670119235</v>
      </c>
      <c r="O875" s="25">
        <f t="shared" si="106"/>
        <v>-0.25108894080358518</v>
      </c>
      <c r="P875" s="25">
        <f t="shared" si="107"/>
        <v>0</v>
      </c>
      <c r="Q875" s="25">
        <f t="shared" si="111"/>
        <v>523.29938684580588</v>
      </c>
      <c r="R875" s="25">
        <f t="shared" si="108"/>
        <v>6</v>
      </c>
      <c r="S875" s="26">
        <f t="shared" si="109"/>
        <v>13</v>
      </c>
    </row>
    <row r="876" spans="2:19" x14ac:dyDescent="0.3">
      <c r="B876" s="24">
        <v>337365</v>
      </c>
      <c r="C876" s="25">
        <v>38</v>
      </c>
      <c r="D876" s="25">
        <v>4</v>
      </c>
      <c r="E876" s="25">
        <v>14</v>
      </c>
      <c r="F876" s="25">
        <v>7</v>
      </c>
      <c r="G876" s="25">
        <v>192</v>
      </c>
      <c r="H876" s="25">
        <v>28.9</v>
      </c>
      <c r="I876" s="25">
        <v>5.27</v>
      </c>
      <c r="J876" s="25">
        <v>50.22</v>
      </c>
      <c r="K876" s="26">
        <v>1</v>
      </c>
      <c r="L876" s="25">
        <f t="shared" si="104"/>
        <v>1.8494964559665756</v>
      </c>
      <c r="M876" s="25">
        <f t="shared" si="110"/>
        <v>0.86406797031339333</v>
      </c>
      <c r="N876" s="25">
        <f t="shared" si="105"/>
        <v>0.86406797031339333</v>
      </c>
      <c r="O876" s="25">
        <f t="shared" si="106"/>
        <v>-0.14610384392814676</v>
      </c>
      <c r="P876" s="25">
        <f t="shared" si="107"/>
        <v>1</v>
      </c>
      <c r="Q876" s="25">
        <f t="shared" si="111"/>
        <v>433.75781420918599</v>
      </c>
      <c r="R876" s="25">
        <f t="shared" si="108"/>
        <v>8</v>
      </c>
      <c r="S876" s="26">
        <f t="shared" si="109"/>
        <v>16</v>
      </c>
    </row>
    <row r="877" spans="2:19" x14ac:dyDescent="0.3">
      <c r="B877" s="24">
        <v>337367</v>
      </c>
      <c r="C877" s="25">
        <v>28</v>
      </c>
      <c r="D877" s="25">
        <v>2</v>
      </c>
      <c r="E877" s="25">
        <v>8</v>
      </c>
      <c r="F877" s="25">
        <v>4</v>
      </c>
      <c r="G877" s="25">
        <v>24</v>
      </c>
      <c r="H877" s="25">
        <v>24.6</v>
      </c>
      <c r="I877" s="25">
        <v>4.07</v>
      </c>
      <c r="J877" s="25">
        <v>1.83</v>
      </c>
      <c r="K877" s="26">
        <v>1</v>
      </c>
      <c r="L877" s="25">
        <f t="shared" si="104"/>
        <v>1.376841623162532</v>
      </c>
      <c r="M877" s="25">
        <f t="shared" si="110"/>
        <v>0.79848327205109115</v>
      </c>
      <c r="N877" s="25">
        <f t="shared" si="105"/>
        <v>0.79848327205109115</v>
      </c>
      <c r="O877" s="25">
        <f t="shared" si="106"/>
        <v>-0.22504126076242373</v>
      </c>
      <c r="P877" s="25">
        <f t="shared" si="107"/>
        <v>1</v>
      </c>
      <c r="Q877" s="25">
        <f t="shared" si="111"/>
        <v>447.39574948943061</v>
      </c>
      <c r="R877" s="25">
        <f t="shared" si="108"/>
        <v>8</v>
      </c>
      <c r="S877" s="26">
        <f t="shared" si="109"/>
        <v>16</v>
      </c>
    </row>
    <row r="878" spans="2:19" x14ac:dyDescent="0.3">
      <c r="B878" s="24">
        <v>337411</v>
      </c>
      <c r="C878" s="25">
        <v>30</v>
      </c>
      <c r="D878" s="25">
        <v>4</v>
      </c>
      <c r="E878" s="25">
        <v>2</v>
      </c>
      <c r="F878" s="25">
        <v>5</v>
      </c>
      <c r="G878" s="25">
        <v>27</v>
      </c>
      <c r="H878" s="25">
        <v>10.6</v>
      </c>
      <c r="I878" s="25">
        <v>0.74</v>
      </c>
      <c r="J878" s="25">
        <v>2.13</v>
      </c>
      <c r="K878" s="26">
        <v>0</v>
      </c>
      <c r="L878" s="25">
        <f t="shared" si="104"/>
        <v>-0.41236702344432224</v>
      </c>
      <c r="M878" s="25">
        <f t="shared" si="110"/>
        <v>0.39834468937178946</v>
      </c>
      <c r="N878" s="25">
        <f t="shared" si="105"/>
        <v>0.60165531062821054</v>
      </c>
      <c r="O878" s="25">
        <f t="shared" si="106"/>
        <v>-0.50807057136353051</v>
      </c>
      <c r="P878" s="25">
        <f t="shared" si="107"/>
        <v>0</v>
      </c>
      <c r="Q878" s="25">
        <f t="shared" si="111"/>
        <v>499.02139685776012</v>
      </c>
      <c r="R878" s="25">
        <f t="shared" si="108"/>
        <v>7</v>
      </c>
      <c r="S878" s="26">
        <f t="shared" si="109"/>
        <v>14</v>
      </c>
    </row>
    <row r="879" spans="2:19" x14ac:dyDescent="0.3">
      <c r="B879" s="24">
        <v>337462</v>
      </c>
      <c r="C879" s="25">
        <v>22</v>
      </c>
      <c r="D879" s="25">
        <v>4</v>
      </c>
      <c r="E879" s="25">
        <v>0</v>
      </c>
      <c r="F879" s="25">
        <v>2</v>
      </c>
      <c r="G879" s="25">
        <v>46</v>
      </c>
      <c r="H879" s="25">
        <v>8.6</v>
      </c>
      <c r="I879" s="25">
        <v>1.76</v>
      </c>
      <c r="J879" s="25">
        <v>2.19</v>
      </c>
      <c r="K879" s="26">
        <v>1</v>
      </c>
      <c r="L879" s="25">
        <f t="shared" si="104"/>
        <v>0.60030931728169268</v>
      </c>
      <c r="M879" s="25">
        <f t="shared" si="110"/>
        <v>0.6457270699563934</v>
      </c>
      <c r="N879" s="25">
        <f t="shared" si="105"/>
        <v>0.6457270699563934</v>
      </c>
      <c r="O879" s="25">
        <f t="shared" si="106"/>
        <v>-0.43737835680212928</v>
      </c>
      <c r="P879" s="25">
        <f t="shared" si="107"/>
        <v>1</v>
      </c>
      <c r="Q879" s="25">
        <f t="shared" si="111"/>
        <v>469.80173499008578</v>
      </c>
      <c r="R879" s="25">
        <f t="shared" si="108"/>
        <v>7</v>
      </c>
      <c r="S879" s="26">
        <f t="shared" si="109"/>
        <v>15</v>
      </c>
    </row>
    <row r="880" spans="2:19" x14ac:dyDescent="0.3">
      <c r="B880" s="24">
        <v>337514</v>
      </c>
      <c r="C880" s="25">
        <v>19</v>
      </c>
      <c r="D880" s="25">
        <v>2</v>
      </c>
      <c r="E880" s="25">
        <v>0</v>
      </c>
      <c r="F880" s="25">
        <v>0</v>
      </c>
      <c r="G880" s="25">
        <v>28</v>
      </c>
      <c r="H880" s="25">
        <v>7.5</v>
      </c>
      <c r="I880" s="25">
        <v>1.51</v>
      </c>
      <c r="J880" s="25">
        <v>0.59</v>
      </c>
      <c r="K880" s="26">
        <v>1</v>
      </c>
      <c r="L880" s="25">
        <f t="shared" si="104"/>
        <v>0.56487965650967298</v>
      </c>
      <c r="M880" s="25">
        <f t="shared" si="110"/>
        <v>0.63758084513021085</v>
      </c>
      <c r="N880" s="25">
        <f t="shared" si="105"/>
        <v>0.63758084513021085</v>
      </c>
      <c r="O880" s="25">
        <f t="shared" si="106"/>
        <v>-0.45007419409948429</v>
      </c>
      <c r="P880" s="25">
        <f t="shared" si="107"/>
        <v>1</v>
      </c>
      <c r="Q880" s="25">
        <f t="shared" si="111"/>
        <v>470.82401887903552</v>
      </c>
      <c r="R880" s="25">
        <f t="shared" si="108"/>
        <v>7</v>
      </c>
      <c r="S880" s="26">
        <f t="shared" si="109"/>
        <v>15</v>
      </c>
    </row>
    <row r="881" spans="2:19" x14ac:dyDescent="0.3">
      <c r="B881" s="24">
        <v>337528</v>
      </c>
      <c r="C881" s="25">
        <v>48</v>
      </c>
      <c r="D881" s="25">
        <v>4</v>
      </c>
      <c r="E881" s="25">
        <v>24</v>
      </c>
      <c r="F881" s="25">
        <v>18</v>
      </c>
      <c r="G881" s="25">
        <v>66</v>
      </c>
      <c r="H881" s="25">
        <v>4.4000000000000004</v>
      </c>
      <c r="I881" s="25">
        <v>0.32</v>
      </c>
      <c r="J881" s="25">
        <v>2.58</v>
      </c>
      <c r="K881" s="26">
        <v>0</v>
      </c>
      <c r="L881" s="25">
        <f t="shared" si="104"/>
        <v>-6.9987197407498716</v>
      </c>
      <c r="M881" s="25">
        <f t="shared" si="110"/>
        <v>9.1221725839892237E-4</v>
      </c>
      <c r="N881" s="25">
        <f t="shared" si="105"/>
        <v>0.99908778274160104</v>
      </c>
      <c r="O881" s="25">
        <f t="shared" si="106"/>
        <v>-9.1263358176638554E-4</v>
      </c>
      <c r="P881" s="25">
        <f t="shared" si="107"/>
        <v>0</v>
      </c>
      <c r="Q881" s="25">
        <f t="shared" si="111"/>
        <v>689.06335952762265</v>
      </c>
      <c r="R881" s="25">
        <f t="shared" si="108"/>
        <v>1</v>
      </c>
      <c r="S881" s="26">
        <f t="shared" si="109"/>
        <v>1</v>
      </c>
    </row>
    <row r="882" spans="2:19" x14ac:dyDescent="0.3">
      <c r="B882" s="24">
        <v>337553</v>
      </c>
      <c r="C882" s="25">
        <v>18</v>
      </c>
      <c r="D882" s="25">
        <v>2</v>
      </c>
      <c r="E882" s="25">
        <v>0</v>
      </c>
      <c r="F882" s="25">
        <v>0</v>
      </c>
      <c r="G882" s="25">
        <v>16</v>
      </c>
      <c r="H882" s="25">
        <v>8.3000000000000007</v>
      </c>
      <c r="I882" s="25">
        <v>0.17</v>
      </c>
      <c r="J882" s="25">
        <v>1.1499999999999999</v>
      </c>
      <c r="K882" s="26">
        <v>1</v>
      </c>
      <c r="L882" s="25">
        <f t="shared" si="104"/>
        <v>4.2809969009044213E-2</v>
      </c>
      <c r="M882" s="25">
        <f t="shared" si="110"/>
        <v>0.51070085801948084</v>
      </c>
      <c r="N882" s="25">
        <f t="shared" si="105"/>
        <v>0.51070085801948084</v>
      </c>
      <c r="O882" s="25">
        <f t="shared" si="106"/>
        <v>-0.67197126524481043</v>
      </c>
      <c r="P882" s="25">
        <f t="shared" si="107"/>
        <v>1</v>
      </c>
      <c r="Q882" s="25">
        <f t="shared" si="111"/>
        <v>485.88776543520993</v>
      </c>
      <c r="R882" s="25">
        <f t="shared" si="108"/>
        <v>7</v>
      </c>
      <c r="S882" s="26">
        <f t="shared" si="109"/>
        <v>15</v>
      </c>
    </row>
    <row r="883" spans="2:19" x14ac:dyDescent="0.3">
      <c r="B883" s="24">
        <v>337620</v>
      </c>
      <c r="C883" s="25">
        <v>29</v>
      </c>
      <c r="D883" s="25">
        <v>2</v>
      </c>
      <c r="E883" s="25">
        <v>1</v>
      </c>
      <c r="F883" s="25">
        <v>5</v>
      </c>
      <c r="G883" s="25">
        <v>39</v>
      </c>
      <c r="H883" s="25">
        <v>10.3</v>
      </c>
      <c r="I883" s="25">
        <v>2.98</v>
      </c>
      <c r="J883" s="25">
        <v>1.03</v>
      </c>
      <c r="K883" s="26">
        <v>1</v>
      </c>
      <c r="L883" s="25">
        <f t="shared" si="104"/>
        <v>0.9485762856367681</v>
      </c>
      <c r="M883" s="25">
        <f t="shared" si="110"/>
        <v>0.72082876744852364</v>
      </c>
      <c r="N883" s="25">
        <f t="shared" si="105"/>
        <v>0.72082876744852364</v>
      </c>
      <c r="O883" s="25">
        <f t="shared" si="106"/>
        <v>-0.32735366303973185</v>
      </c>
      <c r="P883" s="25">
        <f t="shared" si="107"/>
        <v>1</v>
      </c>
      <c r="Q883" s="25">
        <f t="shared" si="111"/>
        <v>459.75287471186527</v>
      </c>
      <c r="R883" s="25">
        <f t="shared" si="108"/>
        <v>8</v>
      </c>
      <c r="S883" s="26">
        <f t="shared" si="109"/>
        <v>16</v>
      </c>
    </row>
    <row r="884" spans="2:19" x14ac:dyDescent="0.3">
      <c r="B884" s="24">
        <v>337625</v>
      </c>
      <c r="C884" s="25">
        <v>37</v>
      </c>
      <c r="D884" s="25">
        <v>2</v>
      </c>
      <c r="E884" s="25">
        <v>0</v>
      </c>
      <c r="F884" s="25">
        <v>9</v>
      </c>
      <c r="G884" s="25">
        <v>37</v>
      </c>
      <c r="H884" s="25">
        <v>16.2</v>
      </c>
      <c r="I884" s="25">
        <v>0.93</v>
      </c>
      <c r="J884" s="25">
        <v>5.0599999999999996</v>
      </c>
      <c r="K884" s="26">
        <v>0</v>
      </c>
      <c r="L884" s="25">
        <f t="shared" si="104"/>
        <v>0.58923498147581799</v>
      </c>
      <c r="M884" s="25">
        <f t="shared" si="110"/>
        <v>0.64318959567608291</v>
      </c>
      <c r="N884" s="25">
        <f t="shared" si="105"/>
        <v>0.35681040432391709</v>
      </c>
      <c r="O884" s="25">
        <f t="shared" si="106"/>
        <v>-1.0305507186007656</v>
      </c>
      <c r="P884" s="25">
        <f t="shared" si="107"/>
        <v>1</v>
      </c>
      <c r="Q884" s="25">
        <f t="shared" si="111"/>
        <v>470.12127276799492</v>
      </c>
      <c r="R884" s="25">
        <f t="shared" si="108"/>
        <v>7</v>
      </c>
      <c r="S884" s="26">
        <f t="shared" si="109"/>
        <v>15</v>
      </c>
    </row>
    <row r="885" spans="2:19" x14ac:dyDescent="0.3">
      <c r="B885" s="24">
        <v>337641</v>
      </c>
      <c r="C885" s="25">
        <v>23</v>
      </c>
      <c r="D885" s="25">
        <v>4</v>
      </c>
      <c r="E885" s="25">
        <v>0</v>
      </c>
      <c r="F885" s="25">
        <v>1</v>
      </c>
      <c r="G885" s="25">
        <v>73</v>
      </c>
      <c r="H885" s="25">
        <v>0.7</v>
      </c>
      <c r="I885" s="25">
        <v>0.25</v>
      </c>
      <c r="J885" s="25">
        <v>0.26</v>
      </c>
      <c r="K885" s="26">
        <v>0</v>
      </c>
      <c r="L885" s="25">
        <f t="shared" si="104"/>
        <v>-0.93363722281630523</v>
      </c>
      <c r="M885" s="25">
        <f t="shared" si="110"/>
        <v>0.28218738382421354</v>
      </c>
      <c r="N885" s="25">
        <f t="shared" si="105"/>
        <v>0.71781261617578651</v>
      </c>
      <c r="O885" s="25">
        <f t="shared" si="106"/>
        <v>-0.33154672425175113</v>
      </c>
      <c r="P885" s="25">
        <f t="shared" si="107"/>
        <v>0</v>
      </c>
      <c r="Q885" s="25">
        <f t="shared" si="111"/>
        <v>514.06207506341934</v>
      </c>
      <c r="R885" s="25">
        <f t="shared" si="108"/>
        <v>7</v>
      </c>
      <c r="S885" s="26">
        <f t="shared" si="109"/>
        <v>13</v>
      </c>
    </row>
    <row r="886" spans="2:19" x14ac:dyDescent="0.3">
      <c r="B886" s="24">
        <v>337769</v>
      </c>
      <c r="C886" s="25">
        <v>27</v>
      </c>
      <c r="D886" s="25">
        <v>3</v>
      </c>
      <c r="E886" s="25">
        <v>4</v>
      </c>
      <c r="F886" s="25">
        <v>5</v>
      </c>
      <c r="G886" s="25">
        <v>41</v>
      </c>
      <c r="H886" s="25">
        <v>6.1</v>
      </c>
      <c r="I886" s="25">
        <v>1.65</v>
      </c>
      <c r="J886" s="25">
        <v>0.85</v>
      </c>
      <c r="K886" s="26">
        <v>1</v>
      </c>
      <c r="L886" s="25">
        <f t="shared" si="104"/>
        <v>-0.7929396731420334</v>
      </c>
      <c r="M886" s="25">
        <f t="shared" si="110"/>
        <v>0.31153781337911285</v>
      </c>
      <c r="N886" s="25">
        <f t="shared" si="105"/>
        <v>0.31153781337911285</v>
      </c>
      <c r="O886" s="25">
        <f t="shared" si="106"/>
        <v>-1.1662345568567429</v>
      </c>
      <c r="P886" s="25">
        <f t="shared" si="107"/>
        <v>0</v>
      </c>
      <c r="Q886" s="25">
        <f t="shared" si="111"/>
        <v>510.00240203487289</v>
      </c>
      <c r="R886" s="25">
        <f t="shared" si="108"/>
        <v>7</v>
      </c>
      <c r="S886" s="26">
        <f t="shared" si="109"/>
        <v>14</v>
      </c>
    </row>
    <row r="887" spans="2:19" x14ac:dyDescent="0.3">
      <c r="B887" s="24">
        <v>337840</v>
      </c>
      <c r="C887" s="25">
        <v>38</v>
      </c>
      <c r="D887" s="25">
        <v>4</v>
      </c>
      <c r="E887" s="25">
        <v>10</v>
      </c>
      <c r="F887" s="25">
        <v>11</v>
      </c>
      <c r="G887" s="25">
        <v>63</v>
      </c>
      <c r="H887" s="25">
        <v>12.2</v>
      </c>
      <c r="I887" s="25">
        <v>2.76</v>
      </c>
      <c r="J887" s="25">
        <v>4.93</v>
      </c>
      <c r="K887" s="26">
        <v>0</v>
      </c>
      <c r="L887" s="25">
        <f t="shared" si="104"/>
        <v>-1.3958862727814443</v>
      </c>
      <c r="M887" s="25">
        <f t="shared" si="110"/>
        <v>0.19846970939067199</v>
      </c>
      <c r="N887" s="25">
        <f t="shared" si="105"/>
        <v>0.80153029060932801</v>
      </c>
      <c r="O887" s="25">
        <f t="shared" si="106"/>
        <v>-0.22123251524573589</v>
      </c>
      <c r="P887" s="25">
        <f t="shared" si="107"/>
        <v>0</v>
      </c>
      <c r="Q887" s="25">
        <f t="shared" si="111"/>
        <v>527.3997629262085</v>
      </c>
      <c r="R887" s="25">
        <f t="shared" si="108"/>
        <v>6</v>
      </c>
      <c r="S887" s="26">
        <f t="shared" si="109"/>
        <v>12</v>
      </c>
    </row>
    <row r="888" spans="2:19" x14ac:dyDescent="0.3">
      <c r="B888" s="24">
        <v>337873</v>
      </c>
      <c r="C888" s="25">
        <v>39</v>
      </c>
      <c r="D888" s="25">
        <v>3</v>
      </c>
      <c r="E888" s="25">
        <v>10</v>
      </c>
      <c r="F888" s="25">
        <v>7</v>
      </c>
      <c r="G888" s="25">
        <v>45</v>
      </c>
      <c r="H888" s="25">
        <v>25</v>
      </c>
      <c r="I888" s="25">
        <v>1.77</v>
      </c>
      <c r="J888" s="25">
        <v>9.48</v>
      </c>
      <c r="K888" s="26">
        <v>0</v>
      </c>
      <c r="L888" s="25">
        <f t="shared" si="104"/>
        <v>-0.31713117357164833</v>
      </c>
      <c r="M888" s="25">
        <f t="shared" si="110"/>
        <v>0.42137506149716075</v>
      </c>
      <c r="N888" s="25">
        <f t="shared" si="105"/>
        <v>0.57862493850283925</v>
      </c>
      <c r="O888" s="25">
        <f t="shared" si="106"/>
        <v>-0.54710078591225619</v>
      </c>
      <c r="P888" s="25">
        <f t="shared" si="107"/>
        <v>1</v>
      </c>
      <c r="Q888" s="25">
        <f t="shared" si="111"/>
        <v>496.27347116911898</v>
      </c>
      <c r="R888" s="25">
        <f t="shared" si="108"/>
        <v>7</v>
      </c>
      <c r="S888" s="26">
        <f t="shared" si="109"/>
        <v>14</v>
      </c>
    </row>
    <row r="889" spans="2:19" x14ac:dyDescent="0.3">
      <c r="B889" s="24">
        <v>337887</v>
      </c>
      <c r="C889" s="25">
        <v>28</v>
      </c>
      <c r="D889" s="25">
        <v>4</v>
      </c>
      <c r="E889" s="25">
        <v>4</v>
      </c>
      <c r="F889" s="25">
        <v>3</v>
      </c>
      <c r="G889" s="25">
        <v>48</v>
      </c>
      <c r="H889" s="25">
        <v>24.3</v>
      </c>
      <c r="I889" s="25">
        <v>3.34</v>
      </c>
      <c r="J889" s="25">
        <v>8.33</v>
      </c>
      <c r="K889" s="26">
        <v>1</v>
      </c>
      <c r="L889" s="25">
        <f t="shared" si="104"/>
        <v>2.000576981940116</v>
      </c>
      <c r="M889" s="25">
        <f t="shared" si="110"/>
        <v>0.88085764407164757</v>
      </c>
      <c r="N889" s="25">
        <f t="shared" si="105"/>
        <v>0.88085764407164757</v>
      </c>
      <c r="O889" s="25">
        <f t="shared" si="106"/>
        <v>-0.12685925058380768</v>
      </c>
      <c r="P889" s="25">
        <f t="shared" si="107"/>
        <v>1</v>
      </c>
      <c r="Q889" s="25">
        <f t="shared" si="111"/>
        <v>429.3985518207981</v>
      </c>
      <c r="R889" s="25">
        <f t="shared" si="108"/>
        <v>8</v>
      </c>
      <c r="S889" s="26">
        <f t="shared" si="109"/>
        <v>16</v>
      </c>
    </row>
    <row r="890" spans="2:19" x14ac:dyDescent="0.3">
      <c r="B890" s="24">
        <v>337922</v>
      </c>
      <c r="C890" s="25">
        <v>54</v>
      </c>
      <c r="D890" s="25">
        <v>3</v>
      </c>
      <c r="E890" s="25">
        <v>2</v>
      </c>
      <c r="F890" s="25">
        <v>19</v>
      </c>
      <c r="G890" s="25">
        <v>35</v>
      </c>
      <c r="H890" s="25">
        <v>6.4</v>
      </c>
      <c r="I890" s="25">
        <v>0.93</v>
      </c>
      <c r="J890" s="25">
        <v>1.31</v>
      </c>
      <c r="K890" s="26">
        <v>0</v>
      </c>
      <c r="L890" s="25">
        <f t="shared" si="104"/>
        <v>-1.6806847510949197</v>
      </c>
      <c r="M890" s="25">
        <f t="shared" si="110"/>
        <v>0.15700481784283973</v>
      </c>
      <c r="N890" s="25">
        <f t="shared" si="105"/>
        <v>0.84299518215716029</v>
      </c>
      <c r="O890" s="25">
        <f t="shared" si="106"/>
        <v>-0.17079403611267427</v>
      </c>
      <c r="P890" s="25">
        <f t="shared" si="107"/>
        <v>0</v>
      </c>
      <c r="Q890" s="25">
        <f t="shared" si="111"/>
        <v>535.61730973961767</v>
      </c>
      <c r="R890" s="25">
        <f t="shared" si="108"/>
        <v>6</v>
      </c>
      <c r="S890" s="26">
        <f t="shared" si="109"/>
        <v>12</v>
      </c>
    </row>
    <row r="891" spans="2:19" x14ac:dyDescent="0.3">
      <c r="B891" s="24">
        <v>337945</v>
      </c>
      <c r="C891" s="25">
        <v>39</v>
      </c>
      <c r="D891" s="25">
        <v>4</v>
      </c>
      <c r="E891" s="25">
        <v>12</v>
      </c>
      <c r="F891" s="25">
        <v>10</v>
      </c>
      <c r="G891" s="25">
        <v>98</v>
      </c>
      <c r="H891" s="25">
        <v>1.6</v>
      </c>
      <c r="I891" s="25">
        <v>0.16</v>
      </c>
      <c r="J891" s="25">
        <v>1.41</v>
      </c>
      <c r="K891" s="26">
        <v>0</v>
      </c>
      <c r="L891" s="25">
        <f t="shared" si="104"/>
        <v>-4.2058809131515469</v>
      </c>
      <c r="M891" s="25">
        <f t="shared" si="110"/>
        <v>1.4688674354037631E-2</v>
      </c>
      <c r="N891" s="25">
        <f t="shared" si="105"/>
        <v>0.98531132564596235</v>
      </c>
      <c r="O891" s="25">
        <f t="shared" si="106"/>
        <v>-1.4797621102941028E-2</v>
      </c>
      <c r="P891" s="25">
        <f t="shared" si="107"/>
        <v>0</v>
      </c>
      <c r="Q891" s="25">
        <f t="shared" si="111"/>
        <v>608.47906727998338</v>
      </c>
      <c r="R891" s="25">
        <f t="shared" si="108"/>
        <v>4</v>
      </c>
      <c r="S891" s="26">
        <f t="shared" si="109"/>
        <v>6</v>
      </c>
    </row>
    <row r="892" spans="2:19" x14ac:dyDescent="0.3">
      <c r="B892" s="24">
        <v>337963</v>
      </c>
      <c r="C892" s="25">
        <v>19</v>
      </c>
      <c r="D892" s="25">
        <v>2</v>
      </c>
      <c r="E892" s="25">
        <v>0</v>
      </c>
      <c r="F892" s="25">
        <v>0</v>
      </c>
      <c r="G892" s="25">
        <v>26</v>
      </c>
      <c r="H892" s="25">
        <v>17.2</v>
      </c>
      <c r="I892" s="25">
        <v>2.65</v>
      </c>
      <c r="J892" s="25">
        <v>1.82</v>
      </c>
      <c r="K892" s="26">
        <v>1</v>
      </c>
      <c r="L892" s="25">
        <f t="shared" si="104"/>
        <v>2.1017682887447409</v>
      </c>
      <c r="M892" s="25">
        <f t="shared" si="110"/>
        <v>0.89107492834380042</v>
      </c>
      <c r="N892" s="25">
        <f t="shared" si="105"/>
        <v>0.89107492834380042</v>
      </c>
      <c r="O892" s="25">
        <f t="shared" si="106"/>
        <v>-0.11532676038513227</v>
      </c>
      <c r="P892" s="25">
        <f t="shared" si="107"/>
        <v>1</v>
      </c>
      <c r="Q892" s="25">
        <f t="shared" si="111"/>
        <v>426.47878797338814</v>
      </c>
      <c r="R892" s="25">
        <f t="shared" si="108"/>
        <v>8</v>
      </c>
      <c r="S892" s="26">
        <f t="shared" si="109"/>
        <v>16</v>
      </c>
    </row>
    <row r="893" spans="2:19" x14ac:dyDescent="0.3">
      <c r="B893" s="24">
        <v>337991</v>
      </c>
      <c r="C893" s="25">
        <v>71</v>
      </c>
      <c r="D893" s="25">
        <v>1</v>
      </c>
      <c r="E893" s="25">
        <v>2</v>
      </c>
      <c r="F893" s="25">
        <v>13</v>
      </c>
      <c r="G893" s="25">
        <v>23</v>
      </c>
      <c r="H893" s="25">
        <v>10.1</v>
      </c>
      <c r="I893" s="25">
        <v>1.44</v>
      </c>
      <c r="J893" s="25">
        <v>0.89</v>
      </c>
      <c r="K893" s="26">
        <v>0</v>
      </c>
      <c r="L893" s="25">
        <f t="shared" si="104"/>
        <v>-1.1485633904005825</v>
      </c>
      <c r="M893" s="25">
        <f t="shared" si="110"/>
        <v>0.24075158348049394</v>
      </c>
      <c r="N893" s="25">
        <f t="shared" si="105"/>
        <v>0.75924841651950603</v>
      </c>
      <c r="O893" s="25">
        <f t="shared" si="106"/>
        <v>-0.27542626064356268</v>
      </c>
      <c r="P893" s="25">
        <f t="shared" si="107"/>
        <v>0</v>
      </c>
      <c r="Q893" s="25">
        <f t="shared" si="111"/>
        <v>520.26353321027932</v>
      </c>
      <c r="R893" s="25">
        <f t="shared" si="108"/>
        <v>6</v>
      </c>
      <c r="S893" s="26">
        <f t="shared" si="109"/>
        <v>13</v>
      </c>
    </row>
    <row r="894" spans="2:19" x14ac:dyDescent="0.3">
      <c r="B894" s="24">
        <v>338047</v>
      </c>
      <c r="C894" s="25">
        <v>24</v>
      </c>
      <c r="D894" s="25">
        <v>2</v>
      </c>
      <c r="E894" s="25">
        <v>4</v>
      </c>
      <c r="F894" s="25">
        <v>2</v>
      </c>
      <c r="G894" s="25">
        <v>21</v>
      </c>
      <c r="H894" s="25">
        <v>3.8</v>
      </c>
      <c r="I894" s="25">
        <v>0.36</v>
      </c>
      <c r="J894" s="25">
        <v>0.44</v>
      </c>
      <c r="K894" s="26">
        <v>0</v>
      </c>
      <c r="L894" s="25">
        <f t="shared" si="104"/>
        <v>-1.4319599427175422</v>
      </c>
      <c r="M894" s="25">
        <f t="shared" si="110"/>
        <v>0.19279348613412223</v>
      </c>
      <c r="N894" s="25">
        <f t="shared" si="105"/>
        <v>0.80720651386587772</v>
      </c>
      <c r="O894" s="25">
        <f t="shared" si="106"/>
        <v>-0.21417574027029562</v>
      </c>
      <c r="P894" s="25">
        <f t="shared" si="107"/>
        <v>0</v>
      </c>
      <c r="Q894" s="25">
        <f t="shared" si="111"/>
        <v>528.44062899117762</v>
      </c>
      <c r="R894" s="25">
        <f t="shared" si="108"/>
        <v>6</v>
      </c>
      <c r="S894" s="26">
        <f t="shared" si="109"/>
        <v>12</v>
      </c>
    </row>
    <row r="895" spans="2:19" x14ac:dyDescent="0.3">
      <c r="B895" s="24">
        <v>338062</v>
      </c>
      <c r="C895" s="25">
        <v>28</v>
      </c>
      <c r="D895" s="25">
        <v>2</v>
      </c>
      <c r="E895" s="25">
        <v>3</v>
      </c>
      <c r="F895" s="25">
        <v>4</v>
      </c>
      <c r="G895" s="25">
        <v>20</v>
      </c>
      <c r="H895" s="25">
        <v>9</v>
      </c>
      <c r="I895" s="25">
        <v>0.37</v>
      </c>
      <c r="J895" s="25">
        <v>1.43</v>
      </c>
      <c r="K895" s="26">
        <v>0</v>
      </c>
      <c r="L895" s="25">
        <f t="shared" si="104"/>
        <v>-0.80981748378629126</v>
      </c>
      <c r="M895" s="25">
        <f t="shared" si="110"/>
        <v>0.30792939016065746</v>
      </c>
      <c r="N895" s="25">
        <f t="shared" si="105"/>
        <v>0.69207060983934254</v>
      </c>
      <c r="O895" s="25">
        <f t="shared" si="106"/>
        <v>-0.36806729122983239</v>
      </c>
      <c r="P895" s="25">
        <f t="shared" si="107"/>
        <v>0</v>
      </c>
      <c r="Q895" s="25">
        <f t="shared" si="111"/>
        <v>510.48939269542126</v>
      </c>
      <c r="R895" s="25">
        <f t="shared" si="108"/>
        <v>7</v>
      </c>
      <c r="S895" s="26">
        <f t="shared" si="109"/>
        <v>13</v>
      </c>
    </row>
    <row r="896" spans="2:19" x14ac:dyDescent="0.3">
      <c r="B896" s="24">
        <v>338069</v>
      </c>
      <c r="C896" s="25">
        <v>21</v>
      </c>
      <c r="D896" s="25">
        <v>1</v>
      </c>
      <c r="E896" s="25">
        <v>4</v>
      </c>
      <c r="F896" s="25">
        <v>1</v>
      </c>
      <c r="G896" s="25">
        <v>15</v>
      </c>
      <c r="H896" s="25">
        <v>7.3</v>
      </c>
      <c r="I896" s="25">
        <v>0.05</v>
      </c>
      <c r="J896" s="25">
        <v>1.04</v>
      </c>
      <c r="K896" s="26">
        <v>0</v>
      </c>
      <c r="L896" s="25">
        <f t="shared" si="104"/>
        <v>-1.0655753734754794</v>
      </c>
      <c r="M896" s="25">
        <f t="shared" si="110"/>
        <v>0.25624543605218614</v>
      </c>
      <c r="N896" s="25">
        <f t="shared" si="105"/>
        <v>0.74375456394781381</v>
      </c>
      <c r="O896" s="25">
        <f t="shared" si="106"/>
        <v>-0.29604418574070324</v>
      </c>
      <c r="P896" s="25">
        <f t="shared" si="107"/>
        <v>0</v>
      </c>
      <c r="Q896" s="25">
        <f t="shared" si="111"/>
        <v>517.8690052687241</v>
      </c>
      <c r="R896" s="25">
        <f t="shared" si="108"/>
        <v>6</v>
      </c>
      <c r="S896" s="26">
        <f t="shared" si="109"/>
        <v>13</v>
      </c>
    </row>
    <row r="897" spans="2:19" x14ac:dyDescent="0.3">
      <c r="B897" s="24">
        <v>338112</v>
      </c>
      <c r="C897" s="25">
        <v>36</v>
      </c>
      <c r="D897" s="25">
        <v>2</v>
      </c>
      <c r="E897" s="25">
        <v>8</v>
      </c>
      <c r="F897" s="25">
        <v>2</v>
      </c>
      <c r="G897" s="25">
        <v>42</v>
      </c>
      <c r="H897" s="25">
        <v>3.1</v>
      </c>
      <c r="I897" s="25">
        <v>0.75</v>
      </c>
      <c r="J897" s="25">
        <v>0.55000000000000004</v>
      </c>
      <c r="K897" s="26">
        <v>0</v>
      </c>
      <c r="L897" s="25">
        <f t="shared" si="104"/>
        <v>-2.4737011028581879</v>
      </c>
      <c r="M897" s="25">
        <f t="shared" si="110"/>
        <v>7.7722518695213391E-2</v>
      </c>
      <c r="N897" s="25">
        <f t="shared" si="105"/>
        <v>0.92227748130478659</v>
      </c>
      <c r="O897" s="25">
        <f t="shared" si="106"/>
        <v>-8.0909144841649905E-2</v>
      </c>
      <c r="P897" s="25">
        <f t="shared" si="107"/>
        <v>0</v>
      </c>
      <c r="Q897" s="25">
        <f t="shared" si="111"/>
        <v>558.49892425175983</v>
      </c>
      <c r="R897" s="25">
        <f t="shared" si="108"/>
        <v>5</v>
      </c>
      <c r="S897" s="26">
        <f t="shared" si="109"/>
        <v>10</v>
      </c>
    </row>
    <row r="898" spans="2:19" x14ac:dyDescent="0.3">
      <c r="B898" s="24">
        <v>338207</v>
      </c>
      <c r="C898" s="25">
        <v>36</v>
      </c>
      <c r="D898" s="25">
        <v>2</v>
      </c>
      <c r="E898" s="25">
        <v>1</v>
      </c>
      <c r="F898" s="25">
        <v>8</v>
      </c>
      <c r="G898" s="25">
        <v>31</v>
      </c>
      <c r="H898" s="25">
        <v>21</v>
      </c>
      <c r="I898" s="25">
        <v>0.33</v>
      </c>
      <c r="J898" s="25">
        <v>6.18</v>
      </c>
      <c r="K898" s="26">
        <v>0</v>
      </c>
      <c r="L898" s="25">
        <f t="shared" si="104"/>
        <v>0.63796170804515295</v>
      </c>
      <c r="M898" s="25">
        <f t="shared" si="110"/>
        <v>0.65429255670013686</v>
      </c>
      <c r="N898" s="25">
        <f t="shared" si="105"/>
        <v>0.34570744329986314</v>
      </c>
      <c r="O898" s="25">
        <f t="shared" si="106"/>
        <v>-1.0621624011904185</v>
      </c>
      <c r="P898" s="25">
        <f t="shared" si="107"/>
        <v>1</v>
      </c>
      <c r="Q898" s="25">
        <f t="shared" si="111"/>
        <v>468.71531667223593</v>
      </c>
      <c r="R898" s="25">
        <f t="shared" si="108"/>
        <v>7</v>
      </c>
      <c r="S898" s="26">
        <f t="shared" si="109"/>
        <v>15</v>
      </c>
    </row>
    <row r="899" spans="2:19" x14ac:dyDescent="0.3">
      <c r="B899" s="24">
        <v>338240</v>
      </c>
      <c r="C899" s="25">
        <v>23</v>
      </c>
      <c r="D899" s="25">
        <v>1</v>
      </c>
      <c r="E899" s="25">
        <v>0</v>
      </c>
      <c r="F899" s="25">
        <v>2</v>
      </c>
      <c r="G899" s="25">
        <v>20</v>
      </c>
      <c r="H899" s="25">
        <v>8.4</v>
      </c>
      <c r="I899" s="25">
        <v>0.24</v>
      </c>
      <c r="J899" s="25">
        <v>1.44</v>
      </c>
      <c r="K899" s="26">
        <v>1</v>
      </c>
      <c r="L899" s="25">
        <f t="shared" si="104"/>
        <v>-2.5623453020291953E-2</v>
      </c>
      <c r="M899" s="25">
        <f t="shared" si="110"/>
        <v>0.49359448720876631</v>
      </c>
      <c r="N899" s="25">
        <f t="shared" si="105"/>
        <v>0.49359448720876631</v>
      </c>
      <c r="O899" s="25">
        <f t="shared" si="106"/>
        <v>-0.70604097499310414</v>
      </c>
      <c r="P899" s="25">
        <f t="shared" si="107"/>
        <v>1</v>
      </c>
      <c r="Q899" s="25">
        <f t="shared" si="111"/>
        <v>487.8623365511022</v>
      </c>
      <c r="R899" s="25">
        <f t="shared" si="108"/>
        <v>7</v>
      </c>
      <c r="S899" s="26">
        <f t="shared" si="109"/>
        <v>15</v>
      </c>
    </row>
    <row r="900" spans="2:19" x14ac:dyDescent="0.3">
      <c r="B900" s="24">
        <v>338253</v>
      </c>
      <c r="C900" s="25">
        <v>28</v>
      </c>
      <c r="D900" s="25">
        <v>3</v>
      </c>
      <c r="E900" s="25">
        <v>3</v>
      </c>
      <c r="F900" s="25">
        <v>3</v>
      </c>
      <c r="G900" s="25">
        <v>25</v>
      </c>
      <c r="H900" s="25">
        <v>18.8</v>
      </c>
      <c r="I900" s="25">
        <v>1.1599999999999999</v>
      </c>
      <c r="J900" s="25">
        <v>3.54</v>
      </c>
      <c r="K900" s="26">
        <v>1</v>
      </c>
      <c r="L900" s="25">
        <f t="shared" si="104"/>
        <v>0.57405833343540791</v>
      </c>
      <c r="M900" s="25">
        <f t="shared" si="110"/>
        <v>0.63969908606933512</v>
      </c>
      <c r="N900" s="25">
        <f t="shared" si="105"/>
        <v>0.63969908606933512</v>
      </c>
      <c r="O900" s="25">
        <f t="shared" si="106"/>
        <v>-0.44675739121342628</v>
      </c>
      <c r="P900" s="25">
        <f t="shared" si="107"/>
        <v>1</v>
      </c>
      <c r="Q900" s="25">
        <f t="shared" si="111"/>
        <v>470.5591782528881</v>
      </c>
      <c r="R900" s="25">
        <f t="shared" si="108"/>
        <v>7</v>
      </c>
      <c r="S900" s="26">
        <f t="shared" si="109"/>
        <v>15</v>
      </c>
    </row>
    <row r="901" spans="2:19" x14ac:dyDescent="0.3">
      <c r="B901" s="24">
        <v>338294</v>
      </c>
      <c r="C901" s="25">
        <v>26</v>
      </c>
      <c r="D901" s="25">
        <v>3</v>
      </c>
      <c r="E901" s="25">
        <v>0</v>
      </c>
      <c r="F901" s="25">
        <v>3</v>
      </c>
      <c r="G901" s="25">
        <v>31</v>
      </c>
      <c r="H901" s="25">
        <v>3.1</v>
      </c>
      <c r="I901" s="25">
        <v>0.1</v>
      </c>
      <c r="J901" s="25">
        <v>0.86</v>
      </c>
      <c r="K901" s="26">
        <v>1</v>
      </c>
      <c r="L901" s="25">
        <f t="shared" ref="L901:L964" si="112">$Y$4+SUMPRODUCT($Z$4:$AG$4,C901:J901)</f>
        <v>-0.83632270195373137</v>
      </c>
      <c r="M901" s="25">
        <f t="shared" si="110"/>
        <v>0.30230983023592378</v>
      </c>
      <c r="N901" s="25">
        <f t="shared" ref="N901:N964" si="113">IF(K901=1,M901,(1-M901))</f>
        <v>0.30230983023592378</v>
      </c>
      <c r="O901" s="25">
        <f t="shared" ref="O901:O964" si="114">LN(N901)</f>
        <v>-1.1963028595781446</v>
      </c>
      <c r="P901" s="25">
        <f t="shared" ref="P901:P964" si="115">IF(M901&gt;0.4,1,0)</f>
        <v>0</v>
      </c>
      <c r="Q901" s="25">
        <f t="shared" si="111"/>
        <v>511.25417160990276</v>
      </c>
      <c r="R901" s="25">
        <f t="shared" ref="R901:R964" si="116">VLOOKUP(M901,$U$9:$W$16,3,TRUE)</f>
        <v>7</v>
      </c>
      <c r="S901" s="26">
        <f t="shared" ref="S901:S964" si="117">VLOOKUP(M901,$U$21:$W$37,3,TRUE)</f>
        <v>13</v>
      </c>
    </row>
    <row r="902" spans="2:19" x14ac:dyDescent="0.3">
      <c r="B902" s="24">
        <v>338307</v>
      </c>
      <c r="C902" s="25">
        <v>36</v>
      </c>
      <c r="D902" s="25">
        <v>5</v>
      </c>
      <c r="E902" s="25">
        <v>3</v>
      </c>
      <c r="F902" s="25">
        <v>7</v>
      </c>
      <c r="G902" s="25">
        <v>45</v>
      </c>
      <c r="H902" s="25">
        <v>3.3</v>
      </c>
      <c r="I902" s="25">
        <v>0.47</v>
      </c>
      <c r="J902" s="25">
        <v>1.02</v>
      </c>
      <c r="K902" s="26">
        <v>0</v>
      </c>
      <c r="L902" s="25">
        <f t="shared" si="112"/>
        <v>-1.7658775290339006</v>
      </c>
      <c r="M902" s="25">
        <f t="shared" ref="M902:M965" si="118">EXP(L902)/(1+EXP(L902))</f>
        <v>0.14605574793655202</v>
      </c>
      <c r="N902" s="25">
        <f t="shared" si="113"/>
        <v>0.85394425206344793</v>
      </c>
      <c r="O902" s="25">
        <f t="shared" si="114"/>
        <v>-0.15788936593853825</v>
      </c>
      <c r="P902" s="25">
        <f t="shared" si="115"/>
        <v>0</v>
      </c>
      <c r="Q902" s="25">
        <f t="shared" si="111"/>
        <v>538.07545363499128</v>
      </c>
      <c r="R902" s="25">
        <f t="shared" si="116"/>
        <v>6</v>
      </c>
      <c r="S902" s="26">
        <f t="shared" si="117"/>
        <v>12</v>
      </c>
    </row>
    <row r="903" spans="2:19" x14ac:dyDescent="0.3">
      <c r="B903" s="24">
        <v>338320</v>
      </c>
      <c r="C903" s="25">
        <v>32</v>
      </c>
      <c r="D903" s="25">
        <v>4</v>
      </c>
      <c r="E903" s="25">
        <v>2</v>
      </c>
      <c r="F903" s="25">
        <v>2</v>
      </c>
      <c r="G903" s="25">
        <v>55</v>
      </c>
      <c r="H903" s="25">
        <v>10.6</v>
      </c>
      <c r="I903" s="25">
        <v>1.43</v>
      </c>
      <c r="J903" s="25">
        <v>4.4000000000000004</v>
      </c>
      <c r="K903" s="26">
        <v>1</v>
      </c>
      <c r="L903" s="25">
        <f t="shared" si="112"/>
        <v>3.230328741843097E-2</v>
      </c>
      <c r="M903" s="25">
        <f t="shared" si="118"/>
        <v>0.50807511966627206</v>
      </c>
      <c r="N903" s="25">
        <f t="shared" si="113"/>
        <v>0.50807511966627206</v>
      </c>
      <c r="O903" s="25">
        <f t="shared" si="114"/>
        <v>-0.67712596897703936</v>
      </c>
      <c r="P903" s="25">
        <f t="shared" si="115"/>
        <v>1</v>
      </c>
      <c r="Q903" s="25">
        <f t="shared" si="111"/>
        <v>486.19092417515731</v>
      </c>
      <c r="R903" s="25">
        <f t="shared" si="116"/>
        <v>7</v>
      </c>
      <c r="S903" s="26">
        <f t="shared" si="117"/>
        <v>15</v>
      </c>
    </row>
    <row r="904" spans="2:19" x14ac:dyDescent="0.3">
      <c r="B904" s="24">
        <v>360036</v>
      </c>
      <c r="C904" s="25">
        <v>24</v>
      </c>
      <c r="D904" s="25">
        <v>4</v>
      </c>
      <c r="E904" s="25">
        <v>0</v>
      </c>
      <c r="F904" s="25">
        <v>1</v>
      </c>
      <c r="G904" s="25">
        <v>56</v>
      </c>
      <c r="H904" s="25">
        <v>9.3000000000000007</v>
      </c>
      <c r="I904" s="25">
        <v>1.55</v>
      </c>
      <c r="J904" s="25">
        <v>3.66</v>
      </c>
      <c r="K904" s="26">
        <v>1</v>
      </c>
      <c r="L904" s="25">
        <f t="shared" si="112"/>
        <v>0.59911241463707499</v>
      </c>
      <c r="M904" s="25">
        <f t="shared" si="118"/>
        <v>0.64545321443983672</v>
      </c>
      <c r="N904" s="25">
        <f t="shared" si="113"/>
        <v>0.64545321443983672</v>
      </c>
      <c r="O904" s="25">
        <f t="shared" si="114"/>
        <v>-0.43780255088869124</v>
      </c>
      <c r="P904" s="25">
        <f t="shared" si="115"/>
        <v>1</v>
      </c>
      <c r="Q904" s="25">
        <f t="shared" si="111"/>
        <v>469.83627029930329</v>
      </c>
      <c r="R904" s="25">
        <f t="shared" si="116"/>
        <v>7</v>
      </c>
      <c r="S904" s="26">
        <f t="shared" si="117"/>
        <v>15</v>
      </c>
    </row>
    <row r="905" spans="2:19" x14ac:dyDescent="0.3">
      <c r="B905" s="24">
        <v>360188</v>
      </c>
      <c r="C905" s="25">
        <v>19</v>
      </c>
      <c r="D905" s="25">
        <v>2</v>
      </c>
      <c r="E905" s="25">
        <v>0</v>
      </c>
      <c r="F905" s="25">
        <v>0</v>
      </c>
      <c r="G905" s="25">
        <v>55</v>
      </c>
      <c r="H905" s="25">
        <v>7.9</v>
      </c>
      <c r="I905" s="25">
        <v>0.61</v>
      </c>
      <c r="J905" s="25">
        <v>3.73</v>
      </c>
      <c r="K905" s="26">
        <v>0</v>
      </c>
      <c r="L905" s="25">
        <f t="shared" si="112"/>
        <v>0.26328731785689247</v>
      </c>
      <c r="M905" s="25">
        <f t="shared" si="118"/>
        <v>0.56544421495052177</v>
      </c>
      <c r="N905" s="25">
        <f t="shared" si="113"/>
        <v>0.43455578504947823</v>
      </c>
      <c r="O905" s="25">
        <f t="shared" si="114"/>
        <v>-0.83343095345116791</v>
      </c>
      <c r="P905" s="25">
        <f t="shared" si="115"/>
        <v>1</v>
      </c>
      <c r="Q905" s="25">
        <f t="shared" ref="Q905:Q968" si="119">28.8539*LN((1-M905)/(M905))+487.123</f>
        <v>479.52613405928901</v>
      </c>
      <c r="R905" s="25">
        <f t="shared" si="116"/>
        <v>7</v>
      </c>
      <c r="S905" s="26">
        <f t="shared" si="117"/>
        <v>15</v>
      </c>
    </row>
    <row r="906" spans="2:19" x14ac:dyDescent="0.3">
      <c r="B906" s="24">
        <v>360230</v>
      </c>
      <c r="C906" s="25">
        <v>28</v>
      </c>
      <c r="D906" s="25">
        <v>4</v>
      </c>
      <c r="E906" s="25">
        <v>2</v>
      </c>
      <c r="F906" s="25">
        <v>3</v>
      </c>
      <c r="G906" s="25">
        <v>22</v>
      </c>
      <c r="H906" s="25">
        <v>6.2</v>
      </c>
      <c r="I906" s="25">
        <v>0.76</v>
      </c>
      <c r="J906" s="25">
        <v>0.61</v>
      </c>
      <c r="K906" s="26">
        <v>1</v>
      </c>
      <c r="L906" s="25">
        <f t="shared" si="112"/>
        <v>-0.77220559842236725</v>
      </c>
      <c r="M906" s="25">
        <f t="shared" si="118"/>
        <v>0.31600218427173632</v>
      </c>
      <c r="N906" s="25">
        <f t="shared" si="113"/>
        <v>0.31600218427173632</v>
      </c>
      <c r="O906" s="25">
        <f t="shared" si="114"/>
        <v>-1.1520061531667842</v>
      </c>
      <c r="P906" s="25">
        <f t="shared" si="115"/>
        <v>0</v>
      </c>
      <c r="Q906" s="25">
        <f t="shared" si="119"/>
        <v>509.40414311631912</v>
      </c>
      <c r="R906" s="25">
        <f t="shared" si="116"/>
        <v>7</v>
      </c>
      <c r="S906" s="26">
        <f t="shared" si="117"/>
        <v>14</v>
      </c>
    </row>
    <row r="907" spans="2:19" x14ac:dyDescent="0.3">
      <c r="B907" s="24">
        <v>360245</v>
      </c>
      <c r="C907" s="25">
        <v>40</v>
      </c>
      <c r="D907" s="25">
        <v>5</v>
      </c>
      <c r="E907" s="25">
        <v>1</v>
      </c>
      <c r="F907" s="25">
        <v>11</v>
      </c>
      <c r="G907" s="25">
        <v>32</v>
      </c>
      <c r="H907" s="25">
        <v>18.600000000000001</v>
      </c>
      <c r="I907" s="25">
        <v>3.4</v>
      </c>
      <c r="J907" s="25">
        <v>2.5499999999999998</v>
      </c>
      <c r="K907" s="26">
        <v>1</v>
      </c>
      <c r="L907" s="25">
        <f t="shared" si="112"/>
        <v>1.4177715830006836</v>
      </c>
      <c r="M907" s="25">
        <f t="shared" si="118"/>
        <v>0.80498883320702252</v>
      </c>
      <c r="N907" s="25">
        <f t="shared" si="113"/>
        <v>0.80498883320702252</v>
      </c>
      <c r="O907" s="25">
        <f t="shared" si="114"/>
        <v>-0.21692687345230649</v>
      </c>
      <c r="P907" s="25">
        <f t="shared" si="115"/>
        <v>1</v>
      </c>
      <c r="Q907" s="25">
        <f t="shared" si="119"/>
        <v>446.21476052125661</v>
      </c>
      <c r="R907" s="25">
        <f t="shared" si="116"/>
        <v>8</v>
      </c>
      <c r="S907" s="26">
        <f t="shared" si="117"/>
        <v>16</v>
      </c>
    </row>
    <row r="908" spans="2:19" x14ac:dyDescent="0.3">
      <c r="B908" s="24">
        <v>360349</v>
      </c>
      <c r="C908" s="25">
        <v>33</v>
      </c>
      <c r="D908" s="25">
        <v>5</v>
      </c>
      <c r="E908" s="25">
        <v>6</v>
      </c>
      <c r="F908" s="25">
        <v>4</v>
      </c>
      <c r="G908" s="25">
        <v>121</v>
      </c>
      <c r="H908" s="25">
        <v>15.1</v>
      </c>
      <c r="I908" s="25">
        <v>3.31</v>
      </c>
      <c r="J908" s="25">
        <v>14.96</v>
      </c>
      <c r="K908" s="26">
        <v>1</v>
      </c>
      <c r="L908" s="25">
        <f t="shared" si="112"/>
        <v>0.60617250484677032</v>
      </c>
      <c r="M908" s="25">
        <f t="shared" si="118"/>
        <v>0.64706720509056104</v>
      </c>
      <c r="N908" s="25">
        <f t="shared" si="113"/>
        <v>0.64706720509056104</v>
      </c>
      <c r="O908" s="25">
        <f t="shared" si="114"/>
        <v>-0.43530511801996291</v>
      </c>
      <c r="P908" s="25">
        <f t="shared" si="115"/>
        <v>1</v>
      </c>
      <c r="Q908" s="25">
        <f t="shared" si="119"/>
        <v>469.63255916240178</v>
      </c>
      <c r="R908" s="25">
        <f t="shared" si="116"/>
        <v>7</v>
      </c>
      <c r="S908" s="26">
        <f t="shared" si="117"/>
        <v>15</v>
      </c>
    </row>
    <row r="909" spans="2:19" x14ac:dyDescent="0.3">
      <c r="B909" s="24">
        <v>360448</v>
      </c>
      <c r="C909" s="25">
        <v>34</v>
      </c>
      <c r="D909" s="25">
        <v>3</v>
      </c>
      <c r="E909" s="25">
        <v>0</v>
      </c>
      <c r="F909" s="25">
        <v>4</v>
      </c>
      <c r="G909" s="25">
        <v>23</v>
      </c>
      <c r="H909" s="25">
        <v>6.8</v>
      </c>
      <c r="I909" s="25">
        <v>0.69</v>
      </c>
      <c r="J909" s="25">
        <v>0.88</v>
      </c>
      <c r="K909" s="26">
        <v>1</v>
      </c>
      <c r="L909" s="25">
        <f t="shared" si="112"/>
        <v>-0.39485009910582847</v>
      </c>
      <c r="M909" s="25">
        <f t="shared" si="118"/>
        <v>0.40255028534395126</v>
      </c>
      <c r="N909" s="25">
        <f t="shared" si="113"/>
        <v>0.40255028534395126</v>
      </c>
      <c r="O909" s="25">
        <f t="shared" si="114"/>
        <v>-0.90993525739538184</v>
      </c>
      <c r="P909" s="25">
        <f t="shared" si="115"/>
        <v>1</v>
      </c>
      <c r="Q909" s="25">
        <f t="shared" si="119"/>
        <v>498.51596527458963</v>
      </c>
      <c r="R909" s="25">
        <f t="shared" si="116"/>
        <v>7</v>
      </c>
      <c r="S909" s="26">
        <f t="shared" si="117"/>
        <v>14</v>
      </c>
    </row>
    <row r="910" spans="2:19" x14ac:dyDescent="0.3">
      <c r="B910" s="24">
        <v>360449</v>
      </c>
      <c r="C910" s="25">
        <v>19</v>
      </c>
      <c r="D910" s="25">
        <v>2</v>
      </c>
      <c r="E910" s="25">
        <v>0</v>
      </c>
      <c r="F910" s="25">
        <v>0</v>
      </c>
      <c r="G910" s="25">
        <v>30</v>
      </c>
      <c r="H910" s="25">
        <v>4</v>
      </c>
      <c r="I910" s="25">
        <v>0.52</v>
      </c>
      <c r="J910" s="25">
        <v>0.68</v>
      </c>
      <c r="K910" s="26">
        <v>0</v>
      </c>
      <c r="L910" s="25">
        <f t="shared" si="112"/>
        <v>-0.25009180741367626</v>
      </c>
      <c r="M910" s="25">
        <f t="shared" si="118"/>
        <v>0.43780090230965257</v>
      </c>
      <c r="N910" s="25">
        <f t="shared" si="113"/>
        <v>0.56219909769034748</v>
      </c>
      <c r="O910" s="25">
        <f t="shared" si="114"/>
        <v>-0.57589922547302219</v>
      </c>
      <c r="P910" s="25">
        <f t="shared" si="115"/>
        <v>1</v>
      </c>
      <c r="Q910" s="25">
        <f t="shared" si="119"/>
        <v>494.33912400193344</v>
      </c>
      <c r="R910" s="25">
        <f t="shared" si="116"/>
        <v>7</v>
      </c>
      <c r="S910" s="26">
        <f t="shared" si="117"/>
        <v>14</v>
      </c>
    </row>
    <row r="911" spans="2:19" x14ac:dyDescent="0.3">
      <c r="B911" s="24">
        <v>360504</v>
      </c>
      <c r="C911" s="25">
        <v>44</v>
      </c>
      <c r="D911" s="25">
        <v>1</v>
      </c>
      <c r="E911" s="25">
        <v>17</v>
      </c>
      <c r="F911" s="25">
        <v>14</v>
      </c>
      <c r="G911" s="25">
        <v>107</v>
      </c>
      <c r="H911" s="25">
        <v>13</v>
      </c>
      <c r="I911" s="25">
        <v>3.83</v>
      </c>
      <c r="J911" s="25">
        <v>10.08</v>
      </c>
      <c r="K911" s="26">
        <v>0</v>
      </c>
      <c r="L911" s="25">
        <f t="shared" si="112"/>
        <v>-2.3208559118065439</v>
      </c>
      <c r="M911" s="25">
        <f t="shared" si="118"/>
        <v>8.94103498051559E-2</v>
      </c>
      <c r="N911" s="25">
        <f t="shared" si="113"/>
        <v>0.91058965019484406</v>
      </c>
      <c r="O911" s="25">
        <f t="shared" si="114"/>
        <v>-9.366292206429512E-2</v>
      </c>
      <c r="P911" s="25">
        <f t="shared" si="115"/>
        <v>0</v>
      </c>
      <c r="Q911" s="25">
        <f t="shared" si="119"/>
        <v>554.0887443936748</v>
      </c>
      <c r="R911" s="25">
        <f t="shared" si="116"/>
        <v>6</v>
      </c>
      <c r="S911" s="26">
        <f t="shared" si="117"/>
        <v>10</v>
      </c>
    </row>
    <row r="912" spans="2:19" x14ac:dyDescent="0.3">
      <c r="B912" s="24">
        <v>360509</v>
      </c>
      <c r="C912" s="25">
        <v>29</v>
      </c>
      <c r="D912" s="25">
        <v>2</v>
      </c>
      <c r="E912" s="25">
        <v>1</v>
      </c>
      <c r="F912" s="25">
        <v>6</v>
      </c>
      <c r="G912" s="25">
        <v>36</v>
      </c>
      <c r="H912" s="25">
        <v>9.3000000000000007</v>
      </c>
      <c r="I912" s="25">
        <v>1.42</v>
      </c>
      <c r="J912" s="25">
        <v>1.93</v>
      </c>
      <c r="K912" s="26">
        <v>1</v>
      </c>
      <c r="L912" s="25">
        <f t="shared" si="112"/>
        <v>9.9322433770844987E-2</v>
      </c>
      <c r="M912" s="25">
        <f t="shared" si="118"/>
        <v>0.52481021584235532</v>
      </c>
      <c r="N912" s="25">
        <f t="shared" si="113"/>
        <v>0.52481021584235532</v>
      </c>
      <c r="O912" s="25">
        <f t="shared" si="114"/>
        <v>-0.64471857537869648</v>
      </c>
      <c r="P912" s="25">
        <f t="shared" si="115"/>
        <v>1</v>
      </c>
      <c r="Q912" s="25">
        <f t="shared" si="119"/>
        <v>484.25716042821944</v>
      </c>
      <c r="R912" s="25">
        <f t="shared" si="116"/>
        <v>7</v>
      </c>
      <c r="S912" s="26">
        <f t="shared" si="117"/>
        <v>15</v>
      </c>
    </row>
    <row r="913" spans="2:19" x14ac:dyDescent="0.3">
      <c r="B913" s="24">
        <v>360518</v>
      </c>
      <c r="C913" s="25">
        <v>65</v>
      </c>
      <c r="D913" s="25">
        <v>1</v>
      </c>
      <c r="E913" s="25">
        <v>10</v>
      </c>
      <c r="F913" s="25">
        <v>18</v>
      </c>
      <c r="G913" s="25">
        <v>32</v>
      </c>
      <c r="H913" s="25">
        <v>9.9</v>
      </c>
      <c r="I913" s="25">
        <v>1.37</v>
      </c>
      <c r="J913" s="25">
        <v>1.8</v>
      </c>
      <c r="K913" s="26">
        <v>0</v>
      </c>
      <c r="L913" s="25">
        <f t="shared" si="112"/>
        <v>-3.0200187922975523</v>
      </c>
      <c r="M913" s="25">
        <f t="shared" si="118"/>
        <v>4.6529640794236556E-2</v>
      </c>
      <c r="N913" s="25">
        <f t="shared" si="113"/>
        <v>0.9534703592057634</v>
      </c>
      <c r="O913" s="25">
        <f t="shared" si="114"/>
        <v>-4.7646940732389648E-2</v>
      </c>
      <c r="P913" s="25">
        <f t="shared" si="115"/>
        <v>0</v>
      </c>
      <c r="Q913" s="25">
        <f t="shared" si="119"/>
        <v>574.26232023107434</v>
      </c>
      <c r="R913" s="25">
        <f t="shared" si="116"/>
        <v>5</v>
      </c>
      <c r="S913" s="26">
        <f t="shared" si="117"/>
        <v>9</v>
      </c>
    </row>
    <row r="914" spans="2:19" x14ac:dyDescent="0.3">
      <c r="B914" s="24">
        <v>360585</v>
      </c>
      <c r="C914" s="25">
        <v>45</v>
      </c>
      <c r="D914" s="25">
        <v>2</v>
      </c>
      <c r="E914" s="25">
        <v>18</v>
      </c>
      <c r="F914" s="25">
        <v>11</v>
      </c>
      <c r="G914" s="25">
        <v>59</v>
      </c>
      <c r="H914" s="25">
        <v>8.9</v>
      </c>
      <c r="I914" s="25">
        <v>2.74</v>
      </c>
      <c r="J914" s="25">
        <v>2.5099999999999998</v>
      </c>
      <c r="K914" s="26">
        <v>0</v>
      </c>
      <c r="L914" s="25">
        <f t="shared" si="112"/>
        <v>-3.6501488966457432</v>
      </c>
      <c r="M914" s="25">
        <f t="shared" si="118"/>
        <v>2.532902708596162E-2</v>
      </c>
      <c r="N914" s="25">
        <f t="shared" si="113"/>
        <v>0.97467097291403837</v>
      </c>
      <c r="O914" s="25">
        <f t="shared" si="114"/>
        <v>-2.5655328615879755E-2</v>
      </c>
      <c r="P914" s="25">
        <f t="shared" si="115"/>
        <v>0</v>
      </c>
      <c r="Q914" s="25">
        <f t="shared" si="119"/>
        <v>592.44403124892665</v>
      </c>
      <c r="R914" s="25">
        <f t="shared" si="116"/>
        <v>4</v>
      </c>
      <c r="S914" s="26">
        <f t="shared" si="117"/>
        <v>7</v>
      </c>
    </row>
    <row r="915" spans="2:19" x14ac:dyDescent="0.3">
      <c r="B915" s="24">
        <v>360684</v>
      </c>
      <c r="C915" s="25">
        <v>33</v>
      </c>
      <c r="D915" s="25">
        <v>2</v>
      </c>
      <c r="E915" s="25">
        <v>4</v>
      </c>
      <c r="F915" s="25">
        <v>8</v>
      </c>
      <c r="G915" s="25">
        <v>79</v>
      </c>
      <c r="H915" s="25">
        <v>12.6</v>
      </c>
      <c r="I915" s="25">
        <v>8.5500000000000007</v>
      </c>
      <c r="J915" s="25">
        <v>1.4</v>
      </c>
      <c r="K915" s="26">
        <v>1</v>
      </c>
      <c r="L915" s="25">
        <f t="shared" si="112"/>
        <v>2.9716652047630858</v>
      </c>
      <c r="M915" s="25">
        <f t="shared" si="118"/>
        <v>0.95127751494229495</v>
      </c>
      <c r="N915" s="25">
        <f t="shared" si="113"/>
        <v>0.95127751494229495</v>
      </c>
      <c r="O915" s="25">
        <f t="shared" si="114"/>
        <v>-4.9949445186670105E-2</v>
      </c>
      <c r="P915" s="25">
        <f t="shared" si="115"/>
        <v>1</v>
      </c>
      <c r="Q915" s="25">
        <f t="shared" si="119"/>
        <v>401.37886934828634</v>
      </c>
      <c r="R915" s="25">
        <f t="shared" si="116"/>
        <v>8</v>
      </c>
      <c r="S915" s="26">
        <f t="shared" si="117"/>
        <v>17</v>
      </c>
    </row>
    <row r="916" spans="2:19" x14ac:dyDescent="0.3">
      <c r="B916" s="24">
        <v>360740</v>
      </c>
      <c r="C916" s="25">
        <v>32</v>
      </c>
      <c r="D916" s="25">
        <v>3</v>
      </c>
      <c r="E916" s="25">
        <v>3</v>
      </c>
      <c r="F916" s="25">
        <v>5</v>
      </c>
      <c r="G916" s="25">
        <v>34</v>
      </c>
      <c r="H916" s="25">
        <v>12.4</v>
      </c>
      <c r="I916" s="25">
        <v>2.1800000000000002</v>
      </c>
      <c r="J916" s="25">
        <v>2.0299999999999998</v>
      </c>
      <c r="K916" s="26">
        <v>0</v>
      </c>
      <c r="L916" s="25">
        <f t="shared" si="112"/>
        <v>0.2321377432820963</v>
      </c>
      <c r="M916" s="25">
        <f t="shared" si="118"/>
        <v>0.55777521961657883</v>
      </c>
      <c r="N916" s="25">
        <f t="shared" si="113"/>
        <v>0.44222478038342117</v>
      </c>
      <c r="O916" s="25">
        <f t="shared" si="114"/>
        <v>-0.81593697326997405</v>
      </c>
      <c r="P916" s="25">
        <f t="shared" si="115"/>
        <v>1</v>
      </c>
      <c r="Q916" s="25">
        <f t="shared" si="119"/>
        <v>480.4249207691127</v>
      </c>
      <c r="R916" s="25">
        <f t="shared" si="116"/>
        <v>7</v>
      </c>
      <c r="S916" s="26">
        <f t="shared" si="117"/>
        <v>15</v>
      </c>
    </row>
    <row r="917" spans="2:19" x14ac:dyDescent="0.3">
      <c r="B917" s="24">
        <v>360763</v>
      </c>
      <c r="C917" s="25">
        <v>32</v>
      </c>
      <c r="D917" s="25">
        <v>4</v>
      </c>
      <c r="E917" s="25">
        <v>5</v>
      </c>
      <c r="F917" s="25">
        <v>6</v>
      </c>
      <c r="G917" s="25">
        <v>67</v>
      </c>
      <c r="H917" s="25">
        <v>8.4</v>
      </c>
      <c r="I917" s="25">
        <v>3.38</v>
      </c>
      <c r="J917" s="25">
        <v>2.25</v>
      </c>
      <c r="K917" s="26">
        <v>0</v>
      </c>
      <c r="L917" s="25">
        <f t="shared" si="112"/>
        <v>-0.12354578723730469</v>
      </c>
      <c r="M917" s="25">
        <f t="shared" si="118"/>
        <v>0.46915277974987418</v>
      </c>
      <c r="N917" s="25">
        <f t="shared" si="113"/>
        <v>0.53084722025012576</v>
      </c>
      <c r="O917" s="25">
        <f t="shared" si="114"/>
        <v>-0.63328101994932751</v>
      </c>
      <c r="P917" s="25">
        <f t="shared" si="115"/>
        <v>1</v>
      </c>
      <c r="Q917" s="25">
        <f t="shared" si="119"/>
        <v>490.68777779036645</v>
      </c>
      <c r="R917" s="25">
        <f t="shared" si="116"/>
        <v>7</v>
      </c>
      <c r="S917" s="26">
        <f t="shared" si="117"/>
        <v>15</v>
      </c>
    </row>
    <row r="918" spans="2:19" x14ac:dyDescent="0.3">
      <c r="B918" s="24">
        <v>360917</v>
      </c>
      <c r="C918" s="25">
        <v>23</v>
      </c>
      <c r="D918" s="25">
        <v>3</v>
      </c>
      <c r="E918" s="25">
        <v>0</v>
      </c>
      <c r="F918" s="25">
        <v>1</v>
      </c>
      <c r="G918" s="25">
        <v>34</v>
      </c>
      <c r="H918" s="25">
        <v>9.1999999999999993</v>
      </c>
      <c r="I918" s="25">
        <v>1.25</v>
      </c>
      <c r="J918" s="25">
        <v>1.87</v>
      </c>
      <c r="K918" s="26">
        <v>1</v>
      </c>
      <c r="L918" s="25">
        <f t="shared" si="112"/>
        <v>0.47218412450402575</v>
      </c>
      <c r="M918" s="25">
        <f t="shared" si="118"/>
        <v>0.61590057891828354</v>
      </c>
      <c r="N918" s="25">
        <f t="shared" si="113"/>
        <v>0.61590057891828354</v>
      </c>
      <c r="O918" s="25">
        <f t="shared" si="114"/>
        <v>-0.48466972633458277</v>
      </c>
      <c r="P918" s="25">
        <f t="shared" si="115"/>
        <v>1</v>
      </c>
      <c r="Q918" s="25">
        <f t="shared" si="119"/>
        <v>473.49864648997328</v>
      </c>
      <c r="R918" s="25">
        <f t="shared" si="116"/>
        <v>7</v>
      </c>
      <c r="S918" s="26">
        <f t="shared" si="117"/>
        <v>15</v>
      </c>
    </row>
    <row r="919" spans="2:19" x14ac:dyDescent="0.3">
      <c r="B919" s="24">
        <v>360925</v>
      </c>
      <c r="C919" s="25">
        <v>25</v>
      </c>
      <c r="D919" s="25">
        <v>5</v>
      </c>
      <c r="E919" s="25">
        <v>0</v>
      </c>
      <c r="F919" s="25">
        <v>2</v>
      </c>
      <c r="G919" s="25">
        <v>60</v>
      </c>
      <c r="H919" s="25">
        <v>8.4</v>
      </c>
      <c r="I919" s="25">
        <v>1.25</v>
      </c>
      <c r="J919" s="25">
        <v>3.79</v>
      </c>
      <c r="K919" s="26">
        <v>0</v>
      </c>
      <c r="L919" s="25">
        <f t="shared" si="112"/>
        <v>0.26388630720007228</v>
      </c>
      <c r="M919" s="25">
        <f t="shared" si="118"/>
        <v>0.56559139107398082</v>
      </c>
      <c r="N919" s="25">
        <f t="shared" si="113"/>
        <v>0.43440860892601918</v>
      </c>
      <c r="O919" s="25">
        <f t="shared" si="114"/>
        <v>-0.83376969258912736</v>
      </c>
      <c r="P919" s="25">
        <f t="shared" si="115"/>
        <v>1</v>
      </c>
      <c r="Q919" s="25">
        <f t="shared" si="119"/>
        <v>479.50885088067986</v>
      </c>
      <c r="R919" s="25">
        <f t="shared" si="116"/>
        <v>7</v>
      </c>
      <c r="S919" s="26">
        <f t="shared" si="117"/>
        <v>15</v>
      </c>
    </row>
    <row r="920" spans="2:19" x14ac:dyDescent="0.3">
      <c r="B920" s="24">
        <v>360927</v>
      </c>
      <c r="C920" s="25">
        <v>22</v>
      </c>
      <c r="D920" s="25">
        <v>4</v>
      </c>
      <c r="E920" s="25">
        <v>0</v>
      </c>
      <c r="F920" s="25">
        <v>1</v>
      </c>
      <c r="G920" s="25">
        <v>23</v>
      </c>
      <c r="H920" s="25">
        <v>6.2</v>
      </c>
      <c r="I920" s="25">
        <v>0.35</v>
      </c>
      <c r="J920" s="25">
        <v>1.08</v>
      </c>
      <c r="K920" s="26">
        <v>1</v>
      </c>
      <c r="L920" s="25">
        <f t="shared" si="112"/>
        <v>-0.30715873074109623</v>
      </c>
      <c r="M920" s="25">
        <f t="shared" si="118"/>
        <v>0.42380841153179249</v>
      </c>
      <c r="N920" s="25">
        <f t="shared" si="113"/>
        <v>0.42380841153179249</v>
      </c>
      <c r="O920" s="25">
        <f t="shared" si="114"/>
        <v>-0.85847378546431863</v>
      </c>
      <c r="P920" s="25">
        <f t="shared" si="115"/>
        <v>1</v>
      </c>
      <c r="Q920" s="25">
        <f t="shared" si="119"/>
        <v>495.98572730093053</v>
      </c>
      <c r="R920" s="25">
        <f t="shared" si="116"/>
        <v>7</v>
      </c>
      <c r="S920" s="26">
        <f t="shared" si="117"/>
        <v>14</v>
      </c>
    </row>
    <row r="921" spans="2:19" x14ac:dyDescent="0.3">
      <c r="B921" s="24">
        <v>360963</v>
      </c>
      <c r="C921" s="25">
        <v>27</v>
      </c>
      <c r="D921" s="25">
        <v>1</v>
      </c>
      <c r="E921" s="25">
        <v>6</v>
      </c>
      <c r="F921" s="25">
        <v>2</v>
      </c>
      <c r="G921" s="25">
        <v>20</v>
      </c>
      <c r="H921" s="25">
        <v>14.3</v>
      </c>
      <c r="I921" s="25">
        <v>0.38</v>
      </c>
      <c r="J921" s="25">
        <v>2.48</v>
      </c>
      <c r="K921" s="26">
        <v>0</v>
      </c>
      <c r="L921" s="25">
        <f t="shared" si="112"/>
        <v>-0.78922578989201431</v>
      </c>
      <c r="M921" s="25">
        <f t="shared" si="118"/>
        <v>0.31233493150992786</v>
      </c>
      <c r="N921" s="25">
        <f t="shared" si="113"/>
        <v>0.68766506849007214</v>
      </c>
      <c r="O921" s="25">
        <f t="shared" si="114"/>
        <v>-0.37445337863878891</v>
      </c>
      <c r="P921" s="25">
        <f t="shared" si="115"/>
        <v>0</v>
      </c>
      <c r="Q921" s="25">
        <f t="shared" si="119"/>
        <v>509.89524201896518</v>
      </c>
      <c r="R921" s="25">
        <f t="shared" si="116"/>
        <v>7</v>
      </c>
      <c r="S921" s="26">
        <f t="shared" si="117"/>
        <v>14</v>
      </c>
    </row>
    <row r="922" spans="2:19" x14ac:dyDescent="0.3">
      <c r="B922" s="24">
        <v>360968</v>
      </c>
      <c r="C922" s="25">
        <v>43</v>
      </c>
      <c r="D922" s="25">
        <v>4</v>
      </c>
      <c r="E922" s="25">
        <v>0</v>
      </c>
      <c r="F922" s="25">
        <v>10</v>
      </c>
      <c r="G922" s="25">
        <v>94</v>
      </c>
      <c r="H922" s="25">
        <v>19.899999999999999</v>
      </c>
      <c r="I922" s="25">
        <v>6.32</v>
      </c>
      <c r="J922" s="25">
        <v>12.38</v>
      </c>
      <c r="K922" s="26">
        <v>1</v>
      </c>
      <c r="L922" s="25">
        <f t="shared" si="112"/>
        <v>3.4388766917891913</v>
      </c>
      <c r="M922" s="25">
        <f t="shared" si="118"/>
        <v>0.96889768281287858</v>
      </c>
      <c r="N922" s="25">
        <f t="shared" si="113"/>
        <v>0.96889768281287858</v>
      </c>
      <c r="O922" s="25">
        <f t="shared" si="114"/>
        <v>-3.1596263158824682E-2</v>
      </c>
      <c r="P922" s="25">
        <f t="shared" si="115"/>
        <v>1</v>
      </c>
      <c r="Q922" s="25">
        <f t="shared" si="119"/>
        <v>387.89799582278368</v>
      </c>
      <c r="R922" s="25">
        <f t="shared" si="116"/>
        <v>8</v>
      </c>
      <c r="S922" s="26">
        <f t="shared" si="117"/>
        <v>17</v>
      </c>
    </row>
    <row r="923" spans="2:19" x14ac:dyDescent="0.3">
      <c r="B923" s="24">
        <v>360970</v>
      </c>
      <c r="C923" s="25">
        <v>53</v>
      </c>
      <c r="D923" s="25">
        <v>4</v>
      </c>
      <c r="E923" s="25">
        <v>26</v>
      </c>
      <c r="F923" s="25">
        <v>20</v>
      </c>
      <c r="G923" s="25">
        <v>249</v>
      </c>
      <c r="H923" s="25">
        <v>5.8</v>
      </c>
      <c r="I923" s="25">
        <v>7.58</v>
      </c>
      <c r="J923" s="25">
        <v>6.86</v>
      </c>
      <c r="K923" s="26">
        <v>0</v>
      </c>
      <c r="L923" s="25">
        <f t="shared" si="112"/>
        <v>-3.8975711834206401</v>
      </c>
      <c r="M923" s="25">
        <f t="shared" si="118"/>
        <v>1.9887593248125252E-2</v>
      </c>
      <c r="N923" s="25">
        <f t="shared" si="113"/>
        <v>0.98011240675187472</v>
      </c>
      <c r="O923" s="25">
        <f t="shared" si="114"/>
        <v>-2.0088013127930376E-2</v>
      </c>
      <c r="P923" s="25">
        <f t="shared" si="115"/>
        <v>0</v>
      </c>
      <c r="Q923" s="25">
        <f t="shared" si="119"/>
        <v>599.58312916930083</v>
      </c>
      <c r="R923" s="25">
        <f t="shared" si="116"/>
        <v>4</v>
      </c>
      <c r="S923" s="26">
        <f t="shared" si="117"/>
        <v>7</v>
      </c>
    </row>
    <row r="924" spans="2:19" x14ac:dyDescent="0.3">
      <c r="B924" s="24">
        <v>361058</v>
      </c>
      <c r="C924" s="25">
        <v>24</v>
      </c>
      <c r="D924" s="25">
        <v>3</v>
      </c>
      <c r="E924" s="25">
        <v>2</v>
      </c>
      <c r="F924" s="25">
        <v>3</v>
      </c>
      <c r="G924" s="25">
        <v>22</v>
      </c>
      <c r="H924" s="25">
        <v>5.6</v>
      </c>
      <c r="I924" s="25">
        <v>0.08</v>
      </c>
      <c r="J924" s="25">
        <v>1.1499999999999999</v>
      </c>
      <c r="K924" s="26">
        <v>0</v>
      </c>
      <c r="L924" s="25">
        <f t="shared" si="112"/>
        <v>-1.0007210743510941</v>
      </c>
      <c r="M924" s="25">
        <f t="shared" si="118"/>
        <v>0.26879967317068371</v>
      </c>
      <c r="N924" s="25">
        <f t="shared" si="113"/>
        <v>0.73120032682931635</v>
      </c>
      <c r="O924" s="25">
        <f t="shared" si="114"/>
        <v>-0.31306781186566057</v>
      </c>
      <c r="P924" s="25">
        <f t="shared" si="115"/>
        <v>0</v>
      </c>
      <c r="Q924" s="25">
        <f t="shared" si="119"/>
        <v>515.99770580721906</v>
      </c>
      <c r="R924" s="25">
        <f t="shared" si="116"/>
        <v>7</v>
      </c>
      <c r="S924" s="26">
        <f t="shared" si="117"/>
        <v>13</v>
      </c>
    </row>
    <row r="925" spans="2:19" x14ac:dyDescent="0.3">
      <c r="B925" s="24">
        <v>361072</v>
      </c>
      <c r="C925" s="25">
        <v>43</v>
      </c>
      <c r="D925" s="25">
        <v>2</v>
      </c>
      <c r="E925" s="25">
        <v>13</v>
      </c>
      <c r="F925" s="25">
        <v>13</v>
      </c>
      <c r="G925" s="25">
        <v>62</v>
      </c>
      <c r="H925" s="25">
        <v>24.2</v>
      </c>
      <c r="I925" s="25">
        <v>8.07</v>
      </c>
      <c r="J925" s="25">
        <v>6.93</v>
      </c>
      <c r="K925" s="26">
        <v>1</v>
      </c>
      <c r="L925" s="25">
        <f t="shared" si="112"/>
        <v>1.6201330005490371</v>
      </c>
      <c r="M925" s="25">
        <f t="shared" si="118"/>
        <v>0.83481347139376483</v>
      </c>
      <c r="N925" s="25">
        <f t="shared" si="113"/>
        <v>0.83481347139376483</v>
      </c>
      <c r="O925" s="25">
        <f t="shared" si="114"/>
        <v>-0.18054696663837475</v>
      </c>
      <c r="P925" s="25">
        <f t="shared" si="115"/>
        <v>1</v>
      </c>
      <c r="Q925" s="25">
        <f t="shared" si="119"/>
        <v>440.37584441545812</v>
      </c>
      <c r="R925" s="25">
        <f t="shared" si="116"/>
        <v>8</v>
      </c>
      <c r="S925" s="26">
        <f t="shared" si="117"/>
        <v>16</v>
      </c>
    </row>
    <row r="926" spans="2:19" x14ac:dyDescent="0.3">
      <c r="B926" s="24">
        <v>361083</v>
      </c>
      <c r="C926" s="25">
        <v>25</v>
      </c>
      <c r="D926" s="25">
        <v>1</v>
      </c>
      <c r="E926" s="25">
        <v>4</v>
      </c>
      <c r="F926" s="25">
        <v>1</v>
      </c>
      <c r="G926" s="25">
        <v>33</v>
      </c>
      <c r="H926" s="25">
        <v>13.2</v>
      </c>
      <c r="I926" s="25">
        <v>1.63</v>
      </c>
      <c r="J926" s="25">
        <v>2.73</v>
      </c>
      <c r="K926" s="26">
        <v>1</v>
      </c>
      <c r="L926" s="25">
        <f t="shared" si="112"/>
        <v>0.23077032360937239</v>
      </c>
      <c r="M926" s="25">
        <f t="shared" si="118"/>
        <v>0.55743790251595704</v>
      </c>
      <c r="N926" s="25">
        <f t="shared" si="113"/>
        <v>0.55743790251595704</v>
      </c>
      <c r="O926" s="25">
        <f t="shared" si="114"/>
        <v>-0.58440416747330404</v>
      </c>
      <c r="P926" s="25">
        <f t="shared" si="115"/>
        <v>1</v>
      </c>
      <c r="Q926" s="25">
        <f t="shared" si="119"/>
        <v>480.46437615960753</v>
      </c>
      <c r="R926" s="25">
        <f t="shared" si="116"/>
        <v>7</v>
      </c>
      <c r="S926" s="26">
        <f t="shared" si="117"/>
        <v>15</v>
      </c>
    </row>
    <row r="927" spans="2:19" x14ac:dyDescent="0.3">
      <c r="B927" s="24">
        <v>361101</v>
      </c>
      <c r="C927" s="25">
        <v>26</v>
      </c>
      <c r="D927" s="25">
        <v>3</v>
      </c>
      <c r="E927" s="25">
        <v>0</v>
      </c>
      <c r="F927" s="25">
        <v>3</v>
      </c>
      <c r="G927" s="25">
        <v>24</v>
      </c>
      <c r="H927" s="25">
        <v>32</v>
      </c>
      <c r="I927" s="25">
        <v>4.42</v>
      </c>
      <c r="J927" s="25">
        <v>3.26</v>
      </c>
      <c r="K927" s="26">
        <v>1</v>
      </c>
      <c r="L927" s="25">
        <f t="shared" si="112"/>
        <v>4.148118938127844</v>
      </c>
      <c r="M927" s="25">
        <f t="shared" si="118"/>
        <v>0.9844514766694068</v>
      </c>
      <c r="N927" s="25">
        <f t="shared" si="113"/>
        <v>0.9844514766694068</v>
      </c>
      <c r="O927" s="25">
        <f t="shared" si="114"/>
        <v>-1.5670669401102143E-2</v>
      </c>
      <c r="P927" s="25">
        <f t="shared" si="115"/>
        <v>1</v>
      </c>
      <c r="Q927" s="25">
        <f t="shared" si="119"/>
        <v>367.43359097115291</v>
      </c>
      <c r="R927" s="25">
        <f t="shared" si="116"/>
        <v>8</v>
      </c>
      <c r="S927" s="26">
        <f t="shared" si="117"/>
        <v>17</v>
      </c>
    </row>
    <row r="928" spans="2:19" x14ac:dyDescent="0.3">
      <c r="B928" s="24">
        <v>361105</v>
      </c>
      <c r="C928" s="25">
        <v>18</v>
      </c>
      <c r="D928" s="25">
        <v>2</v>
      </c>
      <c r="E928" s="25">
        <v>0</v>
      </c>
      <c r="F928" s="25">
        <v>0</v>
      </c>
      <c r="G928" s="25">
        <v>34</v>
      </c>
      <c r="H928" s="25">
        <v>16.3</v>
      </c>
      <c r="I928" s="25">
        <v>1.87</v>
      </c>
      <c r="J928" s="25">
        <v>3.67</v>
      </c>
      <c r="K928" s="26">
        <v>1</v>
      </c>
      <c r="L928" s="25">
        <f t="shared" si="112"/>
        <v>1.712479882352002</v>
      </c>
      <c r="M928" s="25">
        <f t="shared" si="118"/>
        <v>0.84715765977939317</v>
      </c>
      <c r="N928" s="25">
        <f t="shared" si="113"/>
        <v>0.84715765977939317</v>
      </c>
      <c r="O928" s="25">
        <f t="shared" si="114"/>
        <v>-0.16586846259703353</v>
      </c>
      <c r="P928" s="25">
        <f t="shared" si="115"/>
        <v>1</v>
      </c>
      <c r="Q928" s="25">
        <f t="shared" si="119"/>
        <v>437.71127672260354</v>
      </c>
      <c r="R928" s="25">
        <f t="shared" si="116"/>
        <v>8</v>
      </c>
      <c r="S928" s="26">
        <f t="shared" si="117"/>
        <v>16</v>
      </c>
    </row>
    <row r="929" spans="2:19" x14ac:dyDescent="0.3">
      <c r="B929" s="24">
        <v>361146</v>
      </c>
      <c r="C929" s="25">
        <v>46</v>
      </c>
      <c r="D929" s="25">
        <v>4</v>
      </c>
      <c r="E929" s="25">
        <v>14</v>
      </c>
      <c r="F929" s="25">
        <v>10</v>
      </c>
      <c r="G929" s="25">
        <v>57</v>
      </c>
      <c r="H929" s="25">
        <v>4.7</v>
      </c>
      <c r="I929" s="25">
        <v>0.25</v>
      </c>
      <c r="J929" s="25">
        <v>2.4300000000000002</v>
      </c>
      <c r="K929" s="26">
        <v>0</v>
      </c>
      <c r="L929" s="25">
        <f t="shared" si="112"/>
        <v>-4.4415004244554783</v>
      </c>
      <c r="M929" s="25">
        <f t="shared" si="118"/>
        <v>1.1641140578916534E-2</v>
      </c>
      <c r="N929" s="25">
        <f t="shared" si="113"/>
        <v>0.98835885942108348</v>
      </c>
      <c r="O929" s="25">
        <f t="shared" si="114"/>
        <v>-1.1709429144438298E-2</v>
      </c>
      <c r="P929" s="25">
        <f t="shared" si="115"/>
        <v>0</v>
      </c>
      <c r="Q929" s="25">
        <f t="shared" si="119"/>
        <v>615.27760909719586</v>
      </c>
      <c r="R929" s="25">
        <f t="shared" si="116"/>
        <v>4</v>
      </c>
      <c r="S929" s="26">
        <f t="shared" si="117"/>
        <v>5</v>
      </c>
    </row>
    <row r="930" spans="2:19" x14ac:dyDescent="0.3">
      <c r="B930" s="24">
        <v>361166</v>
      </c>
      <c r="C930" s="25">
        <v>46</v>
      </c>
      <c r="D930" s="25">
        <v>4</v>
      </c>
      <c r="E930" s="25">
        <v>22</v>
      </c>
      <c r="F930" s="25">
        <v>10</v>
      </c>
      <c r="G930" s="25">
        <v>160</v>
      </c>
      <c r="H930" s="25">
        <v>15.5</v>
      </c>
      <c r="I930" s="25">
        <v>9.92</v>
      </c>
      <c r="J930" s="25">
        <v>14.88</v>
      </c>
      <c r="K930" s="26">
        <v>1</v>
      </c>
      <c r="L930" s="25">
        <f t="shared" si="112"/>
        <v>-0.25874562117229161</v>
      </c>
      <c r="M930" s="25">
        <f t="shared" si="118"/>
        <v>0.43567208725948348</v>
      </c>
      <c r="N930" s="25">
        <f t="shared" si="113"/>
        <v>0.43567208725948348</v>
      </c>
      <c r="O930" s="25">
        <f t="shared" si="114"/>
        <v>-0.8308654120388127</v>
      </c>
      <c r="P930" s="25">
        <f t="shared" si="115"/>
        <v>1</v>
      </c>
      <c r="Q930" s="25">
        <f t="shared" si="119"/>
        <v>494.58882027874319</v>
      </c>
      <c r="R930" s="25">
        <f t="shared" si="116"/>
        <v>7</v>
      </c>
      <c r="S930" s="26">
        <f t="shared" si="117"/>
        <v>14</v>
      </c>
    </row>
    <row r="931" spans="2:19" x14ac:dyDescent="0.3">
      <c r="B931" s="24">
        <v>361198</v>
      </c>
      <c r="C931" s="25">
        <v>52</v>
      </c>
      <c r="D931" s="25">
        <v>2</v>
      </c>
      <c r="E931" s="25">
        <v>22</v>
      </c>
      <c r="F931" s="25">
        <v>17</v>
      </c>
      <c r="G931" s="25">
        <v>87</v>
      </c>
      <c r="H931" s="25">
        <v>11.3</v>
      </c>
      <c r="I931" s="25">
        <v>0.71</v>
      </c>
      <c r="J931" s="25">
        <v>9.1199999999999992</v>
      </c>
      <c r="K931" s="26">
        <v>0</v>
      </c>
      <c r="L931" s="25">
        <f t="shared" si="112"/>
        <v>-5.4519733055467654</v>
      </c>
      <c r="M931" s="25">
        <f t="shared" si="118"/>
        <v>4.2695280955923846E-3</v>
      </c>
      <c r="N931" s="25">
        <f t="shared" si="113"/>
        <v>0.99573047190440767</v>
      </c>
      <c r="O931" s="25">
        <f t="shared" si="114"/>
        <v>-4.2786685569206444E-3</v>
      </c>
      <c r="P931" s="25">
        <f t="shared" si="115"/>
        <v>0</v>
      </c>
      <c r="Q931" s="25">
        <f t="shared" si="119"/>
        <v>644.4336925609158</v>
      </c>
      <c r="R931" s="25">
        <f t="shared" si="116"/>
        <v>3</v>
      </c>
      <c r="S931" s="26">
        <f t="shared" si="117"/>
        <v>3</v>
      </c>
    </row>
    <row r="932" spans="2:19" x14ac:dyDescent="0.3">
      <c r="B932" s="24">
        <v>361201</v>
      </c>
      <c r="C932" s="25">
        <v>35</v>
      </c>
      <c r="D932" s="25">
        <v>3</v>
      </c>
      <c r="E932" s="25">
        <v>3</v>
      </c>
      <c r="F932" s="25">
        <v>7</v>
      </c>
      <c r="G932" s="25">
        <v>54</v>
      </c>
      <c r="H932" s="25">
        <v>11</v>
      </c>
      <c r="I932" s="25">
        <v>1.1599999999999999</v>
      </c>
      <c r="J932" s="25">
        <v>4.78</v>
      </c>
      <c r="K932" s="26">
        <v>0</v>
      </c>
      <c r="L932" s="25">
        <f t="shared" si="112"/>
        <v>-0.44693118388241759</v>
      </c>
      <c r="M932" s="25">
        <f t="shared" si="118"/>
        <v>0.39009065182542263</v>
      </c>
      <c r="N932" s="25">
        <f t="shared" si="113"/>
        <v>0.60990934817457743</v>
      </c>
      <c r="O932" s="25">
        <f t="shared" si="114"/>
        <v>-0.49444494240814646</v>
      </c>
      <c r="P932" s="25">
        <f t="shared" si="115"/>
        <v>0</v>
      </c>
      <c r="Q932" s="25">
        <f t="shared" si="119"/>
        <v>500.01870768662485</v>
      </c>
      <c r="R932" s="25">
        <f t="shared" si="116"/>
        <v>7</v>
      </c>
      <c r="S932" s="26">
        <f t="shared" si="117"/>
        <v>14</v>
      </c>
    </row>
    <row r="933" spans="2:19" x14ac:dyDescent="0.3">
      <c r="B933" s="24">
        <v>361255</v>
      </c>
      <c r="C933" s="25">
        <v>23</v>
      </c>
      <c r="D933" s="25">
        <v>3</v>
      </c>
      <c r="E933" s="25">
        <v>1</v>
      </c>
      <c r="F933" s="25">
        <v>2</v>
      </c>
      <c r="G933" s="25">
        <v>63</v>
      </c>
      <c r="H933" s="25">
        <v>16.8</v>
      </c>
      <c r="I933" s="25">
        <v>3.14</v>
      </c>
      <c r="J933" s="25">
        <v>7.44</v>
      </c>
      <c r="K933" s="26">
        <v>1</v>
      </c>
      <c r="L933" s="25">
        <f t="shared" si="112"/>
        <v>2.0123108295633516</v>
      </c>
      <c r="M933" s="25">
        <f t="shared" si="118"/>
        <v>0.8820835887948274</v>
      </c>
      <c r="N933" s="25">
        <f t="shared" si="113"/>
        <v>0.8820835887948274</v>
      </c>
      <c r="O933" s="25">
        <f t="shared" si="114"/>
        <v>-0.12546845558969474</v>
      </c>
      <c r="P933" s="25">
        <f t="shared" si="115"/>
        <v>1</v>
      </c>
      <c r="Q933" s="25">
        <f t="shared" si="119"/>
        <v>429.05998455486201</v>
      </c>
      <c r="R933" s="25">
        <f t="shared" si="116"/>
        <v>8</v>
      </c>
      <c r="S933" s="26">
        <f t="shared" si="117"/>
        <v>16</v>
      </c>
    </row>
    <row r="934" spans="2:19" x14ac:dyDescent="0.3">
      <c r="B934" s="24">
        <v>361267</v>
      </c>
      <c r="C934" s="25">
        <v>33</v>
      </c>
      <c r="D934" s="25">
        <v>1</v>
      </c>
      <c r="E934" s="25">
        <v>7</v>
      </c>
      <c r="F934" s="25">
        <v>5</v>
      </c>
      <c r="G934" s="25">
        <v>33</v>
      </c>
      <c r="H934" s="25">
        <v>6.9</v>
      </c>
      <c r="I934" s="25">
        <v>0.68</v>
      </c>
      <c r="J934" s="25">
        <v>1.6</v>
      </c>
      <c r="K934" s="26">
        <v>1</v>
      </c>
      <c r="L934" s="25">
        <f t="shared" si="112"/>
        <v>-1.8571513024535051</v>
      </c>
      <c r="M934" s="25">
        <f t="shared" si="118"/>
        <v>0.13503543650015296</v>
      </c>
      <c r="N934" s="25">
        <f t="shared" si="113"/>
        <v>0.13503543650015296</v>
      </c>
      <c r="O934" s="25">
        <f t="shared" si="114"/>
        <v>-2.0022180423951355</v>
      </c>
      <c r="P934" s="25">
        <f t="shared" si="115"/>
        <v>0</v>
      </c>
      <c r="Q934" s="25">
        <f t="shared" si="119"/>
        <v>540.70905796586317</v>
      </c>
      <c r="R934" s="25">
        <f t="shared" si="116"/>
        <v>6</v>
      </c>
      <c r="S934" s="26">
        <f t="shared" si="117"/>
        <v>11</v>
      </c>
    </row>
    <row r="935" spans="2:19" x14ac:dyDescent="0.3">
      <c r="B935" s="24">
        <v>361299</v>
      </c>
      <c r="C935" s="25">
        <v>18</v>
      </c>
      <c r="D935" s="25">
        <v>2</v>
      </c>
      <c r="E935" s="25">
        <v>0</v>
      </c>
      <c r="F935" s="25">
        <v>0</v>
      </c>
      <c r="G935" s="25">
        <v>28</v>
      </c>
      <c r="H935" s="25">
        <v>8.1</v>
      </c>
      <c r="I935" s="25">
        <v>0.84</v>
      </c>
      <c r="J935" s="25">
        <v>1.42</v>
      </c>
      <c r="K935" s="26">
        <v>1</v>
      </c>
      <c r="L935" s="25">
        <f t="shared" si="112"/>
        <v>0.34972354350780849</v>
      </c>
      <c r="M935" s="25">
        <f t="shared" si="118"/>
        <v>0.58655053733318629</v>
      </c>
      <c r="N935" s="25">
        <f t="shared" si="113"/>
        <v>0.58655053733318629</v>
      </c>
      <c r="O935" s="25">
        <f t="shared" si="114"/>
        <v>-0.5334964469398098</v>
      </c>
      <c r="P935" s="25">
        <f t="shared" si="115"/>
        <v>1</v>
      </c>
      <c r="Q935" s="25">
        <f t="shared" si="119"/>
        <v>477.03211184798005</v>
      </c>
      <c r="R935" s="25">
        <f t="shared" si="116"/>
        <v>7</v>
      </c>
      <c r="S935" s="26">
        <f t="shared" si="117"/>
        <v>15</v>
      </c>
    </row>
    <row r="936" spans="2:19" x14ac:dyDescent="0.3">
      <c r="B936" s="24">
        <v>361305</v>
      </c>
      <c r="C936" s="25">
        <v>31</v>
      </c>
      <c r="D936" s="25">
        <v>2</v>
      </c>
      <c r="E936" s="25">
        <v>11</v>
      </c>
      <c r="F936" s="25">
        <v>8</v>
      </c>
      <c r="G936" s="25">
        <v>37</v>
      </c>
      <c r="H936" s="25">
        <v>5.7</v>
      </c>
      <c r="I936" s="25">
        <v>0.82</v>
      </c>
      <c r="J936" s="25">
        <v>1.28</v>
      </c>
      <c r="K936" s="26">
        <v>0</v>
      </c>
      <c r="L936" s="25">
        <f t="shared" si="112"/>
        <v>-2.9304681891196953</v>
      </c>
      <c r="M936" s="25">
        <f t="shared" si="118"/>
        <v>5.0667800027613299E-2</v>
      </c>
      <c r="N936" s="25">
        <f t="shared" si="113"/>
        <v>0.94933219997238671</v>
      </c>
      <c r="O936" s="25">
        <f t="shared" si="114"/>
        <v>-5.1996488968404746E-2</v>
      </c>
      <c r="P936" s="25">
        <f t="shared" si="115"/>
        <v>0</v>
      </c>
      <c r="Q936" s="25">
        <f t="shared" si="119"/>
        <v>571.67843608204078</v>
      </c>
      <c r="R936" s="25">
        <f t="shared" si="116"/>
        <v>5</v>
      </c>
      <c r="S936" s="26">
        <f t="shared" si="117"/>
        <v>9</v>
      </c>
    </row>
    <row r="937" spans="2:19" x14ac:dyDescent="0.3">
      <c r="B937" s="24">
        <v>361346</v>
      </c>
      <c r="C937" s="25">
        <v>30</v>
      </c>
      <c r="D937" s="25">
        <v>3</v>
      </c>
      <c r="E937" s="25">
        <v>4</v>
      </c>
      <c r="F937" s="25">
        <v>3</v>
      </c>
      <c r="G937" s="25">
        <v>62</v>
      </c>
      <c r="H937" s="25">
        <v>14.8</v>
      </c>
      <c r="I937" s="25">
        <v>1.53</v>
      </c>
      <c r="J937" s="25">
        <v>7.64</v>
      </c>
      <c r="K937" s="26">
        <v>1</v>
      </c>
      <c r="L937" s="25">
        <f t="shared" si="112"/>
        <v>0.19266383714504071</v>
      </c>
      <c r="M937" s="25">
        <f t="shared" si="118"/>
        <v>0.54801751948583999</v>
      </c>
      <c r="N937" s="25">
        <f t="shared" si="113"/>
        <v>0.54801751948583999</v>
      </c>
      <c r="O937" s="25">
        <f t="shared" si="114"/>
        <v>-0.60144802268047526</v>
      </c>
      <c r="P937" s="25">
        <f t="shared" si="115"/>
        <v>1</v>
      </c>
      <c r="Q937" s="25">
        <f t="shared" si="119"/>
        <v>481.56389690940068</v>
      </c>
      <c r="R937" s="25">
        <f t="shared" si="116"/>
        <v>7</v>
      </c>
      <c r="S937" s="26">
        <f t="shared" si="117"/>
        <v>15</v>
      </c>
    </row>
    <row r="938" spans="2:19" x14ac:dyDescent="0.3">
      <c r="B938" s="24">
        <v>361396</v>
      </c>
      <c r="C938" s="25">
        <v>23</v>
      </c>
      <c r="D938" s="25">
        <v>3</v>
      </c>
      <c r="E938" s="25">
        <v>2</v>
      </c>
      <c r="F938" s="25">
        <v>2</v>
      </c>
      <c r="G938" s="25">
        <v>32</v>
      </c>
      <c r="H938" s="25">
        <v>3</v>
      </c>
      <c r="I938" s="25">
        <v>0.28000000000000003</v>
      </c>
      <c r="J938" s="25">
        <v>0.68</v>
      </c>
      <c r="K938" s="26">
        <v>0</v>
      </c>
      <c r="L938" s="25">
        <f t="shared" si="112"/>
        <v>-1.1204287023616317</v>
      </c>
      <c r="M938" s="25">
        <f t="shared" si="118"/>
        <v>0.24593177232376329</v>
      </c>
      <c r="N938" s="25">
        <f t="shared" si="113"/>
        <v>0.75406822767623671</v>
      </c>
      <c r="O938" s="25">
        <f t="shared" si="114"/>
        <v>-0.28227242743367381</v>
      </c>
      <c r="P938" s="25">
        <f t="shared" si="115"/>
        <v>0</v>
      </c>
      <c r="Q938" s="25">
        <f t="shared" si="119"/>
        <v>519.45173773507224</v>
      </c>
      <c r="R938" s="25">
        <f t="shared" si="116"/>
        <v>6</v>
      </c>
      <c r="S938" s="26">
        <f t="shared" si="117"/>
        <v>13</v>
      </c>
    </row>
    <row r="939" spans="2:19" x14ac:dyDescent="0.3">
      <c r="B939" s="24">
        <v>361437</v>
      </c>
      <c r="C939" s="25">
        <v>42</v>
      </c>
      <c r="D939" s="25">
        <v>2</v>
      </c>
      <c r="E939" s="25">
        <v>1</v>
      </c>
      <c r="F939" s="25">
        <v>5</v>
      </c>
      <c r="G939" s="25">
        <v>50</v>
      </c>
      <c r="H939" s="25">
        <v>9.6</v>
      </c>
      <c r="I939" s="25">
        <v>2.6</v>
      </c>
      <c r="J939" s="25">
        <v>2.2000000000000002</v>
      </c>
      <c r="K939" s="26">
        <v>0</v>
      </c>
      <c r="L939" s="25">
        <f t="shared" si="112"/>
        <v>0.44987949569640134</v>
      </c>
      <c r="M939" s="25">
        <f t="shared" si="118"/>
        <v>0.61061058258937395</v>
      </c>
      <c r="N939" s="25">
        <f t="shared" si="113"/>
        <v>0.38938941741062605</v>
      </c>
      <c r="O939" s="25">
        <f t="shared" si="114"/>
        <v>-0.94317536306811645</v>
      </c>
      <c r="P939" s="25">
        <f t="shared" si="115"/>
        <v>1</v>
      </c>
      <c r="Q939" s="25">
        <f t="shared" si="119"/>
        <v>474.1422220191256</v>
      </c>
      <c r="R939" s="25">
        <f t="shared" si="116"/>
        <v>7</v>
      </c>
      <c r="S939" s="26">
        <f t="shared" si="117"/>
        <v>15</v>
      </c>
    </row>
    <row r="940" spans="2:19" x14ac:dyDescent="0.3">
      <c r="B940" s="24">
        <v>361440</v>
      </c>
      <c r="C940" s="25">
        <v>21</v>
      </c>
      <c r="D940" s="25">
        <v>2</v>
      </c>
      <c r="E940" s="25">
        <v>0</v>
      </c>
      <c r="F940" s="25">
        <v>1</v>
      </c>
      <c r="G940" s="25">
        <v>21</v>
      </c>
      <c r="H940" s="25">
        <v>6.3</v>
      </c>
      <c r="I940" s="25">
        <v>0.83</v>
      </c>
      <c r="J940" s="25">
        <v>0.49</v>
      </c>
      <c r="K940" s="26">
        <v>1</v>
      </c>
      <c r="L940" s="25">
        <f t="shared" si="112"/>
        <v>4.3357588692784554E-2</v>
      </c>
      <c r="M940" s="25">
        <f t="shared" si="118"/>
        <v>0.51083769942807222</v>
      </c>
      <c r="N940" s="25">
        <f t="shared" si="113"/>
        <v>0.51083769942807222</v>
      </c>
      <c r="O940" s="25">
        <f t="shared" si="114"/>
        <v>-0.67170335287202287</v>
      </c>
      <c r="P940" s="25">
        <f t="shared" si="115"/>
        <v>1</v>
      </c>
      <c r="Q940" s="25">
        <f t="shared" si="119"/>
        <v>485.87196447161728</v>
      </c>
      <c r="R940" s="25">
        <f t="shared" si="116"/>
        <v>7</v>
      </c>
      <c r="S940" s="26">
        <f t="shared" si="117"/>
        <v>15</v>
      </c>
    </row>
    <row r="941" spans="2:19" x14ac:dyDescent="0.3">
      <c r="B941" s="24">
        <v>361454</v>
      </c>
      <c r="C941" s="25">
        <v>35</v>
      </c>
      <c r="D941" s="25">
        <v>2</v>
      </c>
      <c r="E941" s="25">
        <v>15</v>
      </c>
      <c r="F941" s="25">
        <v>8</v>
      </c>
      <c r="G941" s="25">
        <v>55</v>
      </c>
      <c r="H941" s="25">
        <v>10.199999999999999</v>
      </c>
      <c r="I941" s="25">
        <v>3.37</v>
      </c>
      <c r="J941" s="25">
        <v>2.2400000000000002</v>
      </c>
      <c r="K941" s="26">
        <v>0</v>
      </c>
      <c r="L941" s="25">
        <f t="shared" si="112"/>
        <v>-2.2374044706851657</v>
      </c>
      <c r="M941" s="25">
        <f t="shared" si="118"/>
        <v>9.6441480702583127E-2</v>
      </c>
      <c r="N941" s="25">
        <f t="shared" si="113"/>
        <v>0.90355851929741693</v>
      </c>
      <c r="O941" s="25">
        <f t="shared" si="114"/>
        <v>-0.10141440148735892</v>
      </c>
      <c r="P941" s="25">
        <f t="shared" si="115"/>
        <v>0</v>
      </c>
      <c r="Q941" s="25">
        <f t="shared" si="119"/>
        <v>551.68084485670272</v>
      </c>
      <c r="R941" s="25">
        <f t="shared" si="116"/>
        <v>6</v>
      </c>
      <c r="S941" s="26">
        <f t="shared" si="117"/>
        <v>11</v>
      </c>
    </row>
    <row r="942" spans="2:19" x14ac:dyDescent="0.3">
      <c r="B942" s="24">
        <v>361487</v>
      </c>
      <c r="C942" s="25">
        <v>26</v>
      </c>
      <c r="D942" s="25">
        <v>2</v>
      </c>
      <c r="E942" s="25">
        <v>5</v>
      </c>
      <c r="F942" s="25">
        <v>1</v>
      </c>
      <c r="G942" s="25">
        <v>47</v>
      </c>
      <c r="H942" s="25">
        <v>6.2</v>
      </c>
      <c r="I942" s="25">
        <v>1.83</v>
      </c>
      <c r="J942" s="25">
        <v>1.0900000000000001</v>
      </c>
      <c r="K942" s="26">
        <v>0</v>
      </c>
      <c r="L942" s="25">
        <f t="shared" si="112"/>
        <v>-0.71125709227651757</v>
      </c>
      <c r="M942" s="25">
        <f t="shared" si="118"/>
        <v>0.32932112827659737</v>
      </c>
      <c r="N942" s="25">
        <f t="shared" si="113"/>
        <v>0.67067887172340268</v>
      </c>
      <c r="O942" s="25">
        <f t="shared" si="114"/>
        <v>-0.39946483820147011</v>
      </c>
      <c r="P942" s="25">
        <f t="shared" si="115"/>
        <v>0</v>
      </c>
      <c r="Q942" s="25">
        <f t="shared" si="119"/>
        <v>507.64554101483742</v>
      </c>
      <c r="R942" s="25">
        <f t="shared" si="116"/>
        <v>7</v>
      </c>
      <c r="S942" s="26">
        <f t="shared" si="117"/>
        <v>14</v>
      </c>
    </row>
    <row r="943" spans="2:19" x14ac:dyDescent="0.3">
      <c r="B943" s="24">
        <v>361612</v>
      </c>
      <c r="C943" s="25">
        <v>75</v>
      </c>
      <c r="D943" s="25">
        <v>4</v>
      </c>
      <c r="E943" s="25">
        <v>50</v>
      </c>
      <c r="F943" s="25">
        <v>18</v>
      </c>
      <c r="G943" s="25">
        <v>460</v>
      </c>
      <c r="H943" s="25">
        <v>19.600000000000001</v>
      </c>
      <c r="I943" s="25">
        <v>26.69</v>
      </c>
      <c r="J943" s="25">
        <v>63.47</v>
      </c>
      <c r="K943" s="26">
        <v>1</v>
      </c>
      <c r="L943" s="25">
        <f t="shared" si="112"/>
        <v>2.1603638898558417</v>
      </c>
      <c r="M943" s="25">
        <f t="shared" si="118"/>
        <v>0.89663327946455484</v>
      </c>
      <c r="N943" s="25">
        <f t="shared" si="113"/>
        <v>0.89663327946455484</v>
      </c>
      <c r="O943" s="25">
        <f t="shared" si="114"/>
        <v>-0.10910833054548848</v>
      </c>
      <c r="P943" s="25">
        <f t="shared" si="115"/>
        <v>1</v>
      </c>
      <c r="Q943" s="25">
        <f t="shared" si="119"/>
        <v>424.78807635848852</v>
      </c>
      <c r="R943" s="25">
        <f t="shared" si="116"/>
        <v>8</v>
      </c>
      <c r="S943" s="26">
        <f t="shared" si="117"/>
        <v>16</v>
      </c>
    </row>
    <row r="944" spans="2:19" x14ac:dyDescent="0.3">
      <c r="B944" s="24">
        <v>361630</v>
      </c>
      <c r="C944" s="25">
        <v>22</v>
      </c>
      <c r="D944" s="25">
        <v>3</v>
      </c>
      <c r="E944" s="25">
        <v>0</v>
      </c>
      <c r="F944" s="25">
        <v>2</v>
      </c>
      <c r="G944" s="25">
        <v>32</v>
      </c>
      <c r="H944" s="25">
        <v>3.7</v>
      </c>
      <c r="I944" s="25">
        <v>0.31</v>
      </c>
      <c r="J944" s="25">
        <v>0.87</v>
      </c>
      <c r="K944" s="26">
        <v>1</v>
      </c>
      <c r="L944" s="25">
        <f t="shared" si="112"/>
        <v>-0.55761762111958668</v>
      </c>
      <c r="M944" s="25">
        <f t="shared" si="118"/>
        <v>0.36409887521582845</v>
      </c>
      <c r="N944" s="25">
        <f t="shared" si="113"/>
        <v>0.36409887521582845</v>
      </c>
      <c r="O944" s="25">
        <f t="shared" si="114"/>
        <v>-1.0103298130232401</v>
      </c>
      <c r="P944" s="25">
        <f t="shared" si="115"/>
        <v>0</v>
      </c>
      <c r="Q944" s="25">
        <f t="shared" si="119"/>
        <v>503.21244307802243</v>
      </c>
      <c r="R944" s="25">
        <f t="shared" si="116"/>
        <v>7</v>
      </c>
      <c r="S944" s="26">
        <f t="shared" si="117"/>
        <v>14</v>
      </c>
    </row>
    <row r="945" spans="2:19" x14ac:dyDescent="0.3">
      <c r="B945" s="24">
        <v>361699</v>
      </c>
      <c r="C945" s="25">
        <v>19</v>
      </c>
      <c r="D945" s="25">
        <v>2</v>
      </c>
      <c r="E945" s="25">
        <v>0</v>
      </c>
      <c r="F945" s="25">
        <v>0</v>
      </c>
      <c r="G945" s="25">
        <v>21</v>
      </c>
      <c r="H945" s="25">
        <v>5.6</v>
      </c>
      <c r="I945" s="25">
        <v>0.14000000000000001</v>
      </c>
      <c r="J945" s="25">
        <v>1.04</v>
      </c>
      <c r="K945" s="26">
        <v>0</v>
      </c>
      <c r="L945" s="25">
        <f t="shared" si="112"/>
        <v>-0.26364703574120935</v>
      </c>
      <c r="M945" s="25">
        <f t="shared" si="118"/>
        <v>0.43446739831211567</v>
      </c>
      <c r="N945" s="25">
        <f t="shared" si="113"/>
        <v>0.56553260168788433</v>
      </c>
      <c r="O945" s="25">
        <f t="shared" si="114"/>
        <v>-0.56998733400392987</v>
      </c>
      <c r="P945" s="25">
        <f t="shared" si="115"/>
        <v>1</v>
      </c>
      <c r="Q945" s="25">
        <f t="shared" si="119"/>
        <v>494.73024520457329</v>
      </c>
      <c r="R945" s="25">
        <f t="shared" si="116"/>
        <v>7</v>
      </c>
      <c r="S945" s="26">
        <f t="shared" si="117"/>
        <v>14</v>
      </c>
    </row>
    <row r="946" spans="2:19" x14ac:dyDescent="0.3">
      <c r="B946" s="24">
        <v>361704</v>
      </c>
      <c r="C946" s="25">
        <v>28</v>
      </c>
      <c r="D946" s="25">
        <v>2</v>
      </c>
      <c r="E946" s="25">
        <v>3</v>
      </c>
      <c r="F946" s="25">
        <v>2</v>
      </c>
      <c r="G946" s="25">
        <v>22</v>
      </c>
      <c r="H946" s="25">
        <v>11.5</v>
      </c>
      <c r="I946" s="25">
        <v>0.87</v>
      </c>
      <c r="J946" s="25">
        <v>1.66</v>
      </c>
      <c r="K946" s="26">
        <v>0</v>
      </c>
      <c r="L946" s="25">
        <f t="shared" si="112"/>
        <v>-0.25251192643454801</v>
      </c>
      <c r="M946" s="25">
        <f t="shared" si="118"/>
        <v>0.43720532527849304</v>
      </c>
      <c r="N946" s="25">
        <f t="shared" si="113"/>
        <v>0.5627946747215069</v>
      </c>
      <c r="O946" s="25">
        <f t="shared" si="114"/>
        <v>-0.57484041590197321</v>
      </c>
      <c r="P946" s="25">
        <f t="shared" si="115"/>
        <v>1</v>
      </c>
      <c r="Q946" s="25">
        <f t="shared" si="119"/>
        <v>494.4089538741498</v>
      </c>
      <c r="R946" s="25">
        <f t="shared" si="116"/>
        <v>7</v>
      </c>
      <c r="S946" s="26">
        <f t="shared" si="117"/>
        <v>14</v>
      </c>
    </row>
    <row r="947" spans="2:19" x14ac:dyDescent="0.3">
      <c r="B947" s="24">
        <v>361727</v>
      </c>
      <c r="C947" s="25">
        <v>22</v>
      </c>
      <c r="D947" s="25">
        <v>3</v>
      </c>
      <c r="E947" s="25">
        <v>0</v>
      </c>
      <c r="F947" s="25">
        <v>1</v>
      </c>
      <c r="G947" s="25">
        <v>45</v>
      </c>
      <c r="H947" s="25">
        <v>13.6</v>
      </c>
      <c r="I947" s="25">
        <v>1.87</v>
      </c>
      <c r="J947" s="25">
        <v>4.25</v>
      </c>
      <c r="K947" s="26">
        <v>0</v>
      </c>
      <c r="L947" s="25">
        <f t="shared" si="112"/>
        <v>1.288112935916315</v>
      </c>
      <c r="M947" s="25">
        <f t="shared" si="118"/>
        <v>0.78382761273993828</v>
      </c>
      <c r="N947" s="25">
        <f t="shared" si="113"/>
        <v>0.21617238726006172</v>
      </c>
      <c r="O947" s="25">
        <f t="shared" si="114"/>
        <v>-1.5316791004348336</v>
      </c>
      <c r="P947" s="25">
        <f t="shared" si="115"/>
        <v>1</v>
      </c>
      <c r="Q947" s="25">
        <f t="shared" si="119"/>
        <v>449.95591815836423</v>
      </c>
      <c r="R947" s="25">
        <f t="shared" si="116"/>
        <v>8</v>
      </c>
      <c r="S947" s="26">
        <f t="shared" si="117"/>
        <v>16</v>
      </c>
    </row>
    <row r="948" spans="2:19" x14ac:dyDescent="0.3">
      <c r="B948" s="24">
        <v>361728</v>
      </c>
      <c r="C948" s="25">
        <v>30</v>
      </c>
      <c r="D948" s="25">
        <v>2</v>
      </c>
      <c r="E948" s="25">
        <v>4</v>
      </c>
      <c r="F948" s="25">
        <v>4</v>
      </c>
      <c r="G948" s="25">
        <v>45</v>
      </c>
      <c r="H948" s="25">
        <v>10</v>
      </c>
      <c r="I948" s="25">
        <v>2.13</v>
      </c>
      <c r="J948" s="25">
        <v>2.37</v>
      </c>
      <c r="K948" s="26">
        <v>0</v>
      </c>
      <c r="L948" s="25">
        <f t="shared" si="112"/>
        <v>-0.11671339273740683</v>
      </c>
      <c r="M948" s="25">
        <f t="shared" si="118"/>
        <v>0.4708547290857279</v>
      </c>
      <c r="N948" s="25">
        <f t="shared" si="113"/>
        <v>0.5291452709142721</v>
      </c>
      <c r="O948" s="25">
        <f t="shared" si="114"/>
        <v>-0.63649227061874347</v>
      </c>
      <c r="P948" s="25">
        <f t="shared" si="115"/>
        <v>1</v>
      </c>
      <c r="Q948" s="25">
        <f t="shared" si="119"/>
        <v>490.49063656270584</v>
      </c>
      <c r="R948" s="25">
        <f t="shared" si="116"/>
        <v>7</v>
      </c>
      <c r="S948" s="26">
        <f t="shared" si="117"/>
        <v>15</v>
      </c>
    </row>
    <row r="949" spans="2:19" x14ac:dyDescent="0.3">
      <c r="B949" s="24">
        <v>361759</v>
      </c>
      <c r="C949" s="25">
        <v>24</v>
      </c>
      <c r="D949" s="25">
        <v>4</v>
      </c>
      <c r="E949" s="25">
        <v>0</v>
      </c>
      <c r="F949" s="25">
        <v>1</v>
      </c>
      <c r="G949" s="25">
        <v>53</v>
      </c>
      <c r="H949" s="25">
        <v>16.100000000000001</v>
      </c>
      <c r="I949" s="25">
        <v>5.09</v>
      </c>
      <c r="J949" s="25">
        <v>3.44</v>
      </c>
      <c r="K949" s="26">
        <v>1</v>
      </c>
      <c r="L949" s="25">
        <f t="shared" si="112"/>
        <v>2.9473646808855438</v>
      </c>
      <c r="M949" s="25">
        <f t="shared" si="118"/>
        <v>0.95013878800911589</v>
      </c>
      <c r="N949" s="25">
        <f t="shared" si="113"/>
        <v>0.95013878800911589</v>
      </c>
      <c r="O949" s="25">
        <f t="shared" si="114"/>
        <v>-5.114721241686658E-2</v>
      </c>
      <c r="P949" s="25">
        <f t="shared" si="115"/>
        <v>1</v>
      </c>
      <c r="Q949" s="25">
        <f t="shared" si="119"/>
        <v>402.08003423419655</v>
      </c>
      <c r="R949" s="25">
        <f t="shared" si="116"/>
        <v>8</v>
      </c>
      <c r="S949" s="26">
        <f t="shared" si="117"/>
        <v>17</v>
      </c>
    </row>
    <row r="950" spans="2:19" x14ac:dyDescent="0.3">
      <c r="B950" s="24">
        <v>361823</v>
      </c>
      <c r="C950" s="25">
        <v>20</v>
      </c>
      <c r="D950" s="25">
        <v>3</v>
      </c>
      <c r="E950" s="25">
        <v>0</v>
      </c>
      <c r="F950" s="25">
        <v>0</v>
      </c>
      <c r="G950" s="25">
        <v>33</v>
      </c>
      <c r="H950" s="25">
        <v>9.4</v>
      </c>
      <c r="I950" s="25">
        <v>0.55000000000000004</v>
      </c>
      <c r="J950" s="25">
        <v>2.5499999999999998</v>
      </c>
      <c r="K950" s="26">
        <v>1</v>
      </c>
      <c r="L950" s="25">
        <f t="shared" si="112"/>
        <v>0.2747507590615999</v>
      </c>
      <c r="M950" s="25">
        <f t="shared" si="118"/>
        <v>0.56825883556475387</v>
      </c>
      <c r="N950" s="25">
        <f t="shared" si="113"/>
        <v>0.56825883556475387</v>
      </c>
      <c r="O950" s="25">
        <f t="shared" si="114"/>
        <v>-0.56517826764224521</v>
      </c>
      <c r="P950" s="25">
        <f t="shared" si="115"/>
        <v>1</v>
      </c>
      <c r="Q950" s="25">
        <f t="shared" si="119"/>
        <v>479.19536907311249</v>
      </c>
      <c r="R950" s="25">
        <f t="shared" si="116"/>
        <v>7</v>
      </c>
      <c r="S950" s="26">
        <f t="shared" si="117"/>
        <v>15</v>
      </c>
    </row>
    <row r="951" spans="2:19" x14ac:dyDescent="0.3">
      <c r="B951" s="24">
        <v>361845</v>
      </c>
      <c r="C951" s="25">
        <v>38</v>
      </c>
      <c r="D951" s="25">
        <v>2</v>
      </c>
      <c r="E951" s="25">
        <v>18</v>
      </c>
      <c r="F951" s="25">
        <v>7</v>
      </c>
      <c r="G951" s="25">
        <v>53</v>
      </c>
      <c r="H951" s="25">
        <v>5.2</v>
      </c>
      <c r="I951" s="25">
        <v>1.2</v>
      </c>
      <c r="J951" s="25">
        <v>1.55</v>
      </c>
      <c r="K951" s="26">
        <v>0</v>
      </c>
      <c r="L951" s="25">
        <f t="shared" si="112"/>
        <v>-4.492257500276672</v>
      </c>
      <c r="M951" s="25">
        <f t="shared" si="118"/>
        <v>1.1071393736715215E-2</v>
      </c>
      <c r="N951" s="25">
        <f t="shared" si="113"/>
        <v>0.98892860626328483</v>
      </c>
      <c r="O951" s="25">
        <f t="shared" si="114"/>
        <v>-1.1133137767632903E-2</v>
      </c>
      <c r="P951" s="25">
        <f t="shared" si="115"/>
        <v>0</v>
      </c>
      <c r="Q951" s="25">
        <f t="shared" si="119"/>
        <v>616.74214868723311</v>
      </c>
      <c r="R951" s="25">
        <f t="shared" si="116"/>
        <v>4</v>
      </c>
      <c r="S951" s="26">
        <f t="shared" si="117"/>
        <v>5</v>
      </c>
    </row>
    <row r="952" spans="2:19" x14ac:dyDescent="0.3">
      <c r="B952" s="24">
        <v>361850</v>
      </c>
      <c r="C952" s="25">
        <v>20</v>
      </c>
      <c r="D952" s="25">
        <v>3</v>
      </c>
      <c r="E952" s="25">
        <v>0</v>
      </c>
      <c r="F952" s="25">
        <v>0</v>
      </c>
      <c r="G952" s="25">
        <v>22</v>
      </c>
      <c r="H952" s="25">
        <v>5.0999999999999996</v>
      </c>
      <c r="I952" s="25">
        <v>0.36</v>
      </c>
      <c r="J952" s="25">
        <v>0.76</v>
      </c>
      <c r="K952" s="26">
        <v>1</v>
      </c>
      <c r="L952" s="25">
        <f t="shared" si="112"/>
        <v>-0.29107748267538247</v>
      </c>
      <c r="M952" s="25">
        <f t="shared" si="118"/>
        <v>0.42774010195682421</v>
      </c>
      <c r="N952" s="25">
        <f t="shared" si="113"/>
        <v>0.42774010195682421</v>
      </c>
      <c r="O952" s="25">
        <f t="shared" si="114"/>
        <v>-0.84923950626289524</v>
      </c>
      <c r="P952" s="25">
        <f t="shared" si="115"/>
        <v>1</v>
      </c>
      <c r="Q952" s="25">
        <f t="shared" si="119"/>
        <v>495.5217205773672</v>
      </c>
      <c r="R952" s="25">
        <f t="shared" si="116"/>
        <v>7</v>
      </c>
      <c r="S952" s="26">
        <f t="shared" si="117"/>
        <v>14</v>
      </c>
    </row>
    <row r="953" spans="2:19" x14ac:dyDescent="0.3">
      <c r="B953" s="24">
        <v>361875</v>
      </c>
      <c r="C953" s="25">
        <v>28</v>
      </c>
      <c r="D953" s="25">
        <v>5</v>
      </c>
      <c r="E953" s="25">
        <v>0</v>
      </c>
      <c r="F953" s="25">
        <v>4</v>
      </c>
      <c r="G953" s="25">
        <v>57</v>
      </c>
      <c r="H953" s="25">
        <v>12.4</v>
      </c>
      <c r="I953" s="25">
        <v>4.5199999999999996</v>
      </c>
      <c r="J953" s="25">
        <v>2.54</v>
      </c>
      <c r="K953" s="26">
        <v>1</v>
      </c>
      <c r="L953" s="25">
        <f t="shared" si="112"/>
        <v>2.0494324945102731</v>
      </c>
      <c r="M953" s="25">
        <f t="shared" si="118"/>
        <v>0.8858902628873383</v>
      </c>
      <c r="N953" s="25">
        <f t="shared" si="113"/>
        <v>0.8858902628873383</v>
      </c>
      <c r="O953" s="25">
        <f t="shared" si="114"/>
        <v>-0.12116219283424115</v>
      </c>
      <c r="P953" s="25">
        <f t="shared" si="115"/>
        <v>1</v>
      </c>
      <c r="Q953" s="25">
        <f t="shared" si="119"/>
        <v>427.98887974665001</v>
      </c>
      <c r="R953" s="25">
        <f t="shared" si="116"/>
        <v>8</v>
      </c>
      <c r="S953" s="26">
        <f t="shared" si="117"/>
        <v>16</v>
      </c>
    </row>
    <row r="954" spans="2:19" x14ac:dyDescent="0.3">
      <c r="B954" s="24">
        <v>361900</v>
      </c>
      <c r="C954" s="25">
        <v>23</v>
      </c>
      <c r="D954" s="25">
        <v>3</v>
      </c>
      <c r="E954" s="25">
        <v>0</v>
      </c>
      <c r="F954" s="25">
        <v>2</v>
      </c>
      <c r="G954" s="25">
        <v>25</v>
      </c>
      <c r="H954" s="25">
        <v>4.2</v>
      </c>
      <c r="I954" s="25">
        <v>0.16</v>
      </c>
      <c r="J954" s="25">
        <v>0.89</v>
      </c>
      <c r="K954" s="26">
        <v>0</v>
      </c>
      <c r="L954" s="25">
        <f t="shared" si="112"/>
        <v>-0.60150762411600855</v>
      </c>
      <c r="M954" s="25">
        <f t="shared" si="118"/>
        <v>0.35399884892743705</v>
      </c>
      <c r="N954" s="25">
        <f t="shared" si="113"/>
        <v>0.64600115107256295</v>
      </c>
      <c r="O954" s="25">
        <f t="shared" si="114"/>
        <v>-0.43695399335505003</v>
      </c>
      <c r="P954" s="25">
        <f t="shared" si="115"/>
        <v>0</v>
      </c>
      <c r="Q954" s="25">
        <f t="shared" si="119"/>
        <v>504.47884083548087</v>
      </c>
      <c r="R954" s="25">
        <f t="shared" si="116"/>
        <v>7</v>
      </c>
      <c r="S954" s="26">
        <f t="shared" si="117"/>
        <v>14</v>
      </c>
    </row>
    <row r="955" spans="2:19" x14ac:dyDescent="0.3">
      <c r="B955" s="24">
        <v>361907</v>
      </c>
      <c r="C955" s="25">
        <v>21</v>
      </c>
      <c r="D955" s="25">
        <v>3</v>
      </c>
      <c r="E955" s="25">
        <v>0</v>
      </c>
      <c r="F955" s="25">
        <v>1</v>
      </c>
      <c r="G955" s="25">
        <v>22</v>
      </c>
      <c r="H955" s="25">
        <v>8.5</v>
      </c>
      <c r="I955" s="25">
        <v>0.08</v>
      </c>
      <c r="J955" s="25">
        <v>1.79</v>
      </c>
      <c r="K955" s="26">
        <v>0</v>
      </c>
      <c r="L955" s="25">
        <f t="shared" si="112"/>
        <v>-0.11328002784447255</v>
      </c>
      <c r="M955" s="25">
        <f t="shared" si="118"/>
        <v>0.47171023861540373</v>
      </c>
      <c r="N955" s="25">
        <f t="shared" si="113"/>
        <v>0.52828976138459627</v>
      </c>
      <c r="O955" s="25">
        <f t="shared" si="114"/>
        <v>-0.63811035530518279</v>
      </c>
      <c r="P955" s="25">
        <f t="shared" si="115"/>
        <v>1</v>
      </c>
      <c r="Q955" s="25">
        <f t="shared" si="119"/>
        <v>490.39157059542163</v>
      </c>
      <c r="R955" s="25">
        <f t="shared" si="116"/>
        <v>7</v>
      </c>
      <c r="S955" s="26">
        <f t="shared" si="117"/>
        <v>15</v>
      </c>
    </row>
    <row r="956" spans="2:19" x14ac:dyDescent="0.3">
      <c r="B956" s="24">
        <v>362006</v>
      </c>
      <c r="C956" s="25">
        <v>23</v>
      </c>
      <c r="D956" s="25">
        <v>4</v>
      </c>
      <c r="E956" s="25">
        <v>0</v>
      </c>
      <c r="F956" s="25">
        <v>1</v>
      </c>
      <c r="G956" s="25">
        <v>28</v>
      </c>
      <c r="H956" s="25">
        <v>3.1</v>
      </c>
      <c r="I956" s="25">
        <v>0.34</v>
      </c>
      <c r="J956" s="25">
        <v>0.53</v>
      </c>
      <c r="K956" s="26">
        <v>0</v>
      </c>
      <c r="L956" s="25">
        <f t="shared" si="112"/>
        <v>-0.65505401282513986</v>
      </c>
      <c r="M956" s="25">
        <f t="shared" si="118"/>
        <v>0.34185153255330109</v>
      </c>
      <c r="N956" s="25">
        <f t="shared" si="113"/>
        <v>0.65814846744669886</v>
      </c>
      <c r="O956" s="25">
        <f t="shared" si="114"/>
        <v>-0.4183247386909611</v>
      </c>
      <c r="P956" s="25">
        <f t="shared" si="115"/>
        <v>0</v>
      </c>
      <c r="Q956" s="25">
        <f t="shared" si="119"/>
        <v>506.02386298065528</v>
      </c>
      <c r="R956" s="25">
        <f t="shared" si="116"/>
        <v>7</v>
      </c>
      <c r="S956" s="26">
        <f t="shared" si="117"/>
        <v>14</v>
      </c>
    </row>
    <row r="957" spans="2:19" x14ac:dyDescent="0.3">
      <c r="B957" s="24">
        <v>362180</v>
      </c>
      <c r="C957" s="25">
        <v>19</v>
      </c>
      <c r="D957" s="25">
        <v>2</v>
      </c>
      <c r="E957" s="25">
        <v>0</v>
      </c>
      <c r="F957" s="25">
        <v>0</v>
      </c>
      <c r="G957" s="25">
        <v>22</v>
      </c>
      <c r="H957" s="25">
        <v>8.1999999999999993</v>
      </c>
      <c r="I957" s="25">
        <v>0.5</v>
      </c>
      <c r="J957" s="25">
        <v>1.3</v>
      </c>
      <c r="K957" s="26">
        <v>0</v>
      </c>
      <c r="L957" s="25">
        <f t="shared" si="112"/>
        <v>0.17267599099491177</v>
      </c>
      <c r="M957" s="25">
        <f t="shared" si="118"/>
        <v>0.54306205245668748</v>
      </c>
      <c r="N957" s="25">
        <f t="shared" si="113"/>
        <v>0.45693794754331252</v>
      </c>
      <c r="O957" s="25">
        <f t="shared" si="114"/>
        <v>-0.78320767948810266</v>
      </c>
      <c r="P957" s="25">
        <f t="shared" si="115"/>
        <v>1</v>
      </c>
      <c r="Q957" s="25">
        <f t="shared" si="119"/>
        <v>482.14062422343193</v>
      </c>
      <c r="R957" s="25">
        <f t="shared" si="116"/>
        <v>7</v>
      </c>
      <c r="S957" s="26">
        <f t="shared" si="117"/>
        <v>15</v>
      </c>
    </row>
    <row r="958" spans="2:19" x14ac:dyDescent="0.3">
      <c r="B958" s="24">
        <v>362320</v>
      </c>
      <c r="C958" s="25">
        <v>26</v>
      </c>
      <c r="D958" s="25">
        <v>2</v>
      </c>
      <c r="E958" s="25">
        <v>3</v>
      </c>
      <c r="F958" s="25">
        <v>4</v>
      </c>
      <c r="G958" s="25">
        <v>33</v>
      </c>
      <c r="H958" s="25">
        <v>2.7</v>
      </c>
      <c r="I958" s="25">
        <v>0.53</v>
      </c>
      <c r="J958" s="25">
        <v>0.36</v>
      </c>
      <c r="K958" s="26">
        <v>0</v>
      </c>
      <c r="L958" s="25">
        <f t="shared" si="112"/>
        <v>-1.3424850193814553</v>
      </c>
      <c r="M958" s="25">
        <f t="shared" si="118"/>
        <v>0.20710169505785567</v>
      </c>
      <c r="N958" s="25">
        <f t="shared" si="113"/>
        <v>0.79289830494214431</v>
      </c>
      <c r="O958" s="25">
        <f t="shared" si="114"/>
        <v>-0.23206030650132142</v>
      </c>
      <c r="P958" s="25">
        <f t="shared" si="115"/>
        <v>0</v>
      </c>
      <c r="Q958" s="25">
        <f t="shared" si="119"/>
        <v>525.8589285007306</v>
      </c>
      <c r="R958" s="25">
        <f t="shared" si="116"/>
        <v>6</v>
      </c>
      <c r="S958" s="26">
        <f t="shared" si="117"/>
        <v>13</v>
      </c>
    </row>
    <row r="959" spans="2:19" x14ac:dyDescent="0.3">
      <c r="B959" s="24">
        <v>362379</v>
      </c>
      <c r="C959" s="25">
        <v>19</v>
      </c>
      <c r="D959" s="25">
        <v>2</v>
      </c>
      <c r="E959" s="25">
        <v>0</v>
      </c>
      <c r="F959" s="25">
        <v>0</v>
      </c>
      <c r="G959" s="25">
        <v>23</v>
      </c>
      <c r="H959" s="25">
        <v>18.399999999999999</v>
      </c>
      <c r="I959" s="25">
        <v>0.98</v>
      </c>
      <c r="J959" s="25">
        <v>3.25</v>
      </c>
      <c r="K959" s="26">
        <v>1</v>
      </c>
      <c r="L959" s="25">
        <f t="shared" si="112"/>
        <v>1.4654808839959956</v>
      </c>
      <c r="M959" s="25">
        <f t="shared" si="118"/>
        <v>0.81236953069716333</v>
      </c>
      <c r="N959" s="25">
        <f t="shared" si="113"/>
        <v>0.81236953069716333</v>
      </c>
      <c r="O959" s="25">
        <f t="shared" si="114"/>
        <v>-0.2077999552756995</v>
      </c>
      <c r="P959" s="25">
        <f t="shared" si="115"/>
        <v>1</v>
      </c>
      <c r="Q959" s="25">
        <f t="shared" si="119"/>
        <v>444.83816112126794</v>
      </c>
      <c r="R959" s="25">
        <f t="shared" si="116"/>
        <v>8</v>
      </c>
      <c r="S959" s="26">
        <f t="shared" si="117"/>
        <v>16</v>
      </c>
    </row>
    <row r="960" spans="2:19" x14ac:dyDescent="0.3">
      <c r="B960" s="24">
        <v>362479</v>
      </c>
      <c r="C960" s="25">
        <v>24</v>
      </c>
      <c r="D960" s="25">
        <v>2</v>
      </c>
      <c r="E960" s="25">
        <v>5</v>
      </c>
      <c r="F960" s="25">
        <v>2</v>
      </c>
      <c r="G960" s="25">
        <v>37</v>
      </c>
      <c r="H960" s="25">
        <v>5.7</v>
      </c>
      <c r="I960" s="25">
        <v>0.48</v>
      </c>
      <c r="J960" s="25">
        <v>1.63</v>
      </c>
      <c r="K960" s="26">
        <v>0</v>
      </c>
      <c r="L960" s="25">
        <f t="shared" si="112"/>
        <v>-1.3786149958562224</v>
      </c>
      <c r="M960" s="25">
        <f t="shared" si="118"/>
        <v>0.20123152959966775</v>
      </c>
      <c r="N960" s="25">
        <f t="shared" si="113"/>
        <v>0.79876847040033228</v>
      </c>
      <c r="O960" s="25">
        <f t="shared" si="114"/>
        <v>-0.22468414942587972</v>
      </c>
      <c r="P960" s="25">
        <f t="shared" si="115"/>
        <v>0</v>
      </c>
      <c r="Q960" s="25">
        <f t="shared" si="119"/>
        <v>526.90141922893588</v>
      </c>
      <c r="R960" s="25">
        <f t="shared" si="116"/>
        <v>6</v>
      </c>
      <c r="S960" s="26">
        <f t="shared" si="117"/>
        <v>12</v>
      </c>
    </row>
    <row r="961" spans="2:19" x14ac:dyDescent="0.3">
      <c r="B961" s="24">
        <v>362480</v>
      </c>
      <c r="C961" s="25">
        <v>19</v>
      </c>
      <c r="D961" s="25">
        <v>2</v>
      </c>
      <c r="E961" s="25">
        <v>0</v>
      </c>
      <c r="F961" s="25">
        <v>0</v>
      </c>
      <c r="G961" s="25">
        <v>33</v>
      </c>
      <c r="H961" s="25">
        <v>7.5</v>
      </c>
      <c r="I961" s="25">
        <v>0.36</v>
      </c>
      <c r="J961" s="25">
        <v>2.11</v>
      </c>
      <c r="K961" s="26">
        <v>0</v>
      </c>
      <c r="L961" s="25">
        <f t="shared" si="112"/>
        <v>5.9413162547176046E-2</v>
      </c>
      <c r="M961" s="25">
        <f t="shared" si="118"/>
        <v>0.5148489229297738</v>
      </c>
      <c r="N961" s="25">
        <f t="shared" si="113"/>
        <v>0.4851510770702262</v>
      </c>
      <c r="O961" s="25">
        <f t="shared" si="114"/>
        <v>-0.72329493743656159</v>
      </c>
      <c r="P961" s="25">
        <f t="shared" si="115"/>
        <v>1</v>
      </c>
      <c r="Q961" s="25">
        <f t="shared" si="119"/>
        <v>485.40869854918003</v>
      </c>
      <c r="R961" s="25">
        <f t="shared" si="116"/>
        <v>7</v>
      </c>
      <c r="S961" s="26">
        <f t="shared" si="117"/>
        <v>15</v>
      </c>
    </row>
    <row r="962" spans="2:19" x14ac:dyDescent="0.3">
      <c r="B962" s="24">
        <v>362493</v>
      </c>
      <c r="C962" s="25">
        <v>34</v>
      </c>
      <c r="D962" s="25">
        <v>4</v>
      </c>
      <c r="E962" s="25">
        <v>9</v>
      </c>
      <c r="F962" s="25">
        <v>9</v>
      </c>
      <c r="G962" s="25">
        <v>34</v>
      </c>
      <c r="H962" s="25">
        <v>32.1</v>
      </c>
      <c r="I962" s="25">
        <v>2.39</v>
      </c>
      <c r="J962" s="25">
        <v>8.52</v>
      </c>
      <c r="K962" s="26">
        <v>1</v>
      </c>
      <c r="L962" s="25">
        <f t="shared" si="112"/>
        <v>0.87300556985118338</v>
      </c>
      <c r="M962" s="25">
        <f t="shared" si="118"/>
        <v>0.70537070947721803</v>
      </c>
      <c r="N962" s="25">
        <f t="shared" si="113"/>
        <v>0.70537070947721803</v>
      </c>
      <c r="O962" s="25">
        <f t="shared" si="114"/>
        <v>-0.34903178532381757</v>
      </c>
      <c r="P962" s="25">
        <f t="shared" si="115"/>
        <v>1</v>
      </c>
      <c r="Q962" s="25">
        <f t="shared" si="119"/>
        <v>461.93338458807091</v>
      </c>
      <c r="R962" s="25">
        <f t="shared" si="116"/>
        <v>8</v>
      </c>
      <c r="S962" s="26">
        <f t="shared" si="117"/>
        <v>16</v>
      </c>
    </row>
    <row r="963" spans="2:19" x14ac:dyDescent="0.3">
      <c r="B963" s="24">
        <v>362513</v>
      </c>
      <c r="C963" s="25">
        <v>26</v>
      </c>
      <c r="D963" s="25">
        <v>4</v>
      </c>
      <c r="E963" s="25">
        <v>1</v>
      </c>
      <c r="F963" s="25">
        <v>1</v>
      </c>
      <c r="G963" s="25">
        <v>31</v>
      </c>
      <c r="H963" s="25">
        <v>12.3</v>
      </c>
      <c r="I963" s="25">
        <v>1.1499999999999999</v>
      </c>
      <c r="J963" s="25">
        <v>2.67</v>
      </c>
      <c r="K963" s="26">
        <v>1</v>
      </c>
      <c r="L963" s="25">
        <f t="shared" si="112"/>
        <v>0.40863632766981645</v>
      </c>
      <c r="M963" s="25">
        <f t="shared" si="118"/>
        <v>0.60076085077467745</v>
      </c>
      <c r="N963" s="25">
        <f t="shared" si="113"/>
        <v>0.60076085077467745</v>
      </c>
      <c r="O963" s="25">
        <f t="shared" si="114"/>
        <v>-0.50955834248177179</v>
      </c>
      <c r="P963" s="25">
        <f t="shared" si="115"/>
        <v>1</v>
      </c>
      <c r="Q963" s="25">
        <f t="shared" si="119"/>
        <v>475.33224826504789</v>
      </c>
      <c r="R963" s="25">
        <f t="shared" si="116"/>
        <v>7</v>
      </c>
      <c r="S963" s="26">
        <f t="shared" si="117"/>
        <v>15</v>
      </c>
    </row>
    <row r="964" spans="2:19" x14ac:dyDescent="0.3">
      <c r="B964" s="24">
        <v>362711</v>
      </c>
      <c r="C964" s="25">
        <v>63</v>
      </c>
      <c r="D964" s="25">
        <v>1</v>
      </c>
      <c r="E964" s="25">
        <v>17</v>
      </c>
      <c r="F964" s="25">
        <v>26</v>
      </c>
      <c r="G964" s="25">
        <v>103</v>
      </c>
      <c r="H964" s="25">
        <v>12.3</v>
      </c>
      <c r="I964" s="25">
        <v>3.47</v>
      </c>
      <c r="J964" s="25">
        <v>9.1999999999999993</v>
      </c>
      <c r="K964" s="26">
        <v>0</v>
      </c>
      <c r="L964" s="25">
        <f t="shared" si="112"/>
        <v>-3.38546871926608</v>
      </c>
      <c r="M964" s="25">
        <f t="shared" si="118"/>
        <v>3.2752702580666773E-2</v>
      </c>
      <c r="N964" s="25">
        <f t="shared" si="113"/>
        <v>0.96724729741933324</v>
      </c>
      <c r="O964" s="25">
        <f t="shared" si="114"/>
        <v>-3.3301079492434729E-2</v>
      </c>
      <c r="P964" s="25">
        <f t="shared" si="115"/>
        <v>0</v>
      </c>
      <c r="Q964" s="25">
        <f t="shared" si="119"/>
        <v>584.80697587883151</v>
      </c>
      <c r="R964" s="25">
        <f t="shared" si="116"/>
        <v>5</v>
      </c>
      <c r="S964" s="26">
        <f t="shared" si="117"/>
        <v>8</v>
      </c>
    </row>
    <row r="965" spans="2:19" x14ac:dyDescent="0.3">
      <c r="B965" s="24">
        <v>362745</v>
      </c>
      <c r="C965" s="25">
        <v>31</v>
      </c>
      <c r="D965" s="25">
        <v>3</v>
      </c>
      <c r="E965" s="25">
        <v>7</v>
      </c>
      <c r="F965" s="25">
        <v>4</v>
      </c>
      <c r="G965" s="25">
        <v>30</v>
      </c>
      <c r="H965" s="25">
        <v>1.9</v>
      </c>
      <c r="I965" s="25">
        <v>0.17</v>
      </c>
      <c r="J965" s="25">
        <v>0.4</v>
      </c>
      <c r="K965" s="26">
        <v>0</v>
      </c>
      <c r="L965" s="25">
        <f t="shared" ref="L965:L1028" si="120">$Y$4+SUMPRODUCT($Z$4:$AG$4,C965:J965)</f>
        <v>-2.65877228762634</v>
      </c>
      <c r="M965" s="25">
        <f t="shared" si="118"/>
        <v>6.5450388408892099E-2</v>
      </c>
      <c r="N965" s="25">
        <f t="shared" ref="N965:N1028" si="121">IF(K965=1,M965,(1-M965))</f>
        <v>0.93454961159110794</v>
      </c>
      <c r="O965" s="25">
        <f t="shared" ref="O965:O1028" si="122">LN(N965)</f>
        <v>-6.769056458064282E-2</v>
      </c>
      <c r="P965" s="25">
        <f t="shared" ref="P965:P1028" si="123">IF(M965&gt;0.4,1,0)</f>
        <v>0</v>
      </c>
      <c r="Q965" s="25">
        <f t="shared" si="119"/>
        <v>563.83894970994163</v>
      </c>
      <c r="R965" s="25">
        <f t="shared" ref="R965:R1028" si="124">VLOOKUP(M965,$U$9:$W$16,3,TRUE)</f>
        <v>5</v>
      </c>
      <c r="S965" s="26">
        <f t="shared" ref="S965:S1028" si="125">VLOOKUP(M965,$U$21:$W$37,3,TRUE)</f>
        <v>10</v>
      </c>
    </row>
    <row r="966" spans="2:19" x14ac:dyDescent="0.3">
      <c r="B966" s="24">
        <v>362747</v>
      </c>
      <c r="C966" s="25">
        <v>22</v>
      </c>
      <c r="D966" s="25">
        <v>4</v>
      </c>
      <c r="E966" s="25">
        <v>0</v>
      </c>
      <c r="F966" s="25">
        <v>1</v>
      </c>
      <c r="G966" s="25">
        <v>28</v>
      </c>
      <c r="H966" s="25">
        <v>8.1</v>
      </c>
      <c r="I966" s="25">
        <v>0.61</v>
      </c>
      <c r="J966" s="25">
        <v>1.66</v>
      </c>
      <c r="K966" s="26">
        <v>1</v>
      </c>
      <c r="L966" s="25">
        <f t="shared" si="120"/>
        <v>2.0984123871028271E-2</v>
      </c>
      <c r="M966" s="25">
        <f t="shared" ref="M966:M1029" si="126">EXP(L966)/(1+EXP(L966))</f>
        <v>0.50524583847598814</v>
      </c>
      <c r="N966" s="25">
        <f t="shared" si="121"/>
        <v>0.50524583847598814</v>
      </c>
      <c r="O966" s="25">
        <f t="shared" si="122"/>
        <v>-0.68271015929642798</v>
      </c>
      <c r="P966" s="25">
        <f t="shared" si="123"/>
        <v>1</v>
      </c>
      <c r="Q966" s="25">
        <f t="shared" si="119"/>
        <v>486.51752618823775</v>
      </c>
      <c r="R966" s="25">
        <f t="shared" si="124"/>
        <v>7</v>
      </c>
      <c r="S966" s="26">
        <f t="shared" si="125"/>
        <v>15</v>
      </c>
    </row>
    <row r="967" spans="2:19" x14ac:dyDescent="0.3">
      <c r="B967" s="24">
        <v>362797</v>
      </c>
      <c r="C967" s="25">
        <v>34</v>
      </c>
      <c r="D967" s="25">
        <v>2</v>
      </c>
      <c r="E967" s="25">
        <v>6</v>
      </c>
      <c r="F967" s="25">
        <v>4</v>
      </c>
      <c r="G967" s="25">
        <v>41</v>
      </c>
      <c r="H967" s="25">
        <v>7.5</v>
      </c>
      <c r="I967" s="25">
        <v>1.0900000000000001</v>
      </c>
      <c r="J967" s="25">
        <v>1.98</v>
      </c>
      <c r="K967" s="26">
        <v>1</v>
      </c>
      <c r="L967" s="25">
        <f t="shared" si="120"/>
        <v>-1.4080247947683868</v>
      </c>
      <c r="M967" s="25">
        <f t="shared" si="126"/>
        <v>0.19654578501874895</v>
      </c>
      <c r="N967" s="25">
        <f t="shared" si="121"/>
        <v>0.19654578501874895</v>
      </c>
      <c r="O967" s="25">
        <f t="shared" si="122"/>
        <v>-1.6268598721737766</v>
      </c>
      <c r="P967" s="25">
        <f t="shared" si="123"/>
        <v>0</v>
      </c>
      <c r="Q967" s="25">
        <f t="shared" si="119"/>
        <v>527.75000662576758</v>
      </c>
      <c r="R967" s="25">
        <f t="shared" si="124"/>
        <v>6</v>
      </c>
      <c r="S967" s="26">
        <f t="shared" si="125"/>
        <v>12</v>
      </c>
    </row>
    <row r="968" spans="2:19" x14ac:dyDescent="0.3">
      <c r="B968" s="24">
        <v>362909</v>
      </c>
      <c r="C968" s="25">
        <v>45</v>
      </c>
      <c r="D968" s="25">
        <v>2</v>
      </c>
      <c r="E968" s="25">
        <v>24</v>
      </c>
      <c r="F968" s="25">
        <v>10</v>
      </c>
      <c r="G968" s="25">
        <v>86</v>
      </c>
      <c r="H968" s="25">
        <v>9.6999999999999993</v>
      </c>
      <c r="I968" s="25">
        <v>1.74</v>
      </c>
      <c r="J968" s="25">
        <v>6.6</v>
      </c>
      <c r="K968" s="26">
        <v>0</v>
      </c>
      <c r="L968" s="25">
        <f t="shared" si="120"/>
        <v>-5.2602574963561404</v>
      </c>
      <c r="M968" s="25">
        <f t="shared" si="126"/>
        <v>5.167129219626249E-3</v>
      </c>
      <c r="N968" s="25">
        <f t="shared" si="121"/>
        <v>0.99483287078037375</v>
      </c>
      <c r="O968" s="25">
        <f t="shared" si="122"/>
        <v>-5.1805249968785516E-3</v>
      </c>
      <c r="P968" s="25">
        <f t="shared" si="123"/>
        <v>0</v>
      </c>
      <c r="Q968" s="25">
        <f t="shared" si="119"/>
        <v>638.90194377411046</v>
      </c>
      <c r="R968" s="25">
        <f t="shared" si="124"/>
        <v>3</v>
      </c>
      <c r="S968" s="26">
        <f t="shared" si="125"/>
        <v>3</v>
      </c>
    </row>
    <row r="969" spans="2:19" x14ac:dyDescent="0.3">
      <c r="B969" s="24">
        <v>362911</v>
      </c>
      <c r="C969" s="25">
        <v>22</v>
      </c>
      <c r="D969" s="25">
        <v>3</v>
      </c>
      <c r="E969" s="25">
        <v>0</v>
      </c>
      <c r="F969" s="25">
        <v>1</v>
      </c>
      <c r="G969" s="25">
        <v>31</v>
      </c>
      <c r="H969" s="25">
        <v>10.1</v>
      </c>
      <c r="I969" s="25">
        <v>0.7</v>
      </c>
      <c r="J969" s="25">
        <v>2.44</v>
      </c>
      <c r="K969" s="26">
        <v>1</v>
      </c>
      <c r="L969" s="25">
        <f t="shared" si="120"/>
        <v>0.33656276108260613</v>
      </c>
      <c r="M969" s="25">
        <f t="shared" si="126"/>
        <v>0.58335533564059472</v>
      </c>
      <c r="N969" s="25">
        <f t="shared" si="121"/>
        <v>0.58335533564059472</v>
      </c>
      <c r="O969" s="25">
        <f t="shared" si="122"/>
        <v>-0.53895878320298241</v>
      </c>
      <c r="P969" s="25">
        <f t="shared" si="123"/>
        <v>1</v>
      </c>
      <c r="Q969" s="25">
        <f t="shared" ref="Q969:Q1032" si="127">28.8539*LN((1-M969)/(M969))+487.123</f>
        <v>477.41185174799858</v>
      </c>
      <c r="R969" s="25">
        <f t="shared" si="124"/>
        <v>7</v>
      </c>
      <c r="S969" s="26">
        <f t="shared" si="125"/>
        <v>15</v>
      </c>
    </row>
    <row r="970" spans="2:19" x14ac:dyDescent="0.3">
      <c r="B970" s="24">
        <v>363011</v>
      </c>
      <c r="C970" s="25">
        <v>21</v>
      </c>
      <c r="D970" s="25">
        <v>3</v>
      </c>
      <c r="E970" s="25">
        <v>0</v>
      </c>
      <c r="F970" s="25">
        <v>1</v>
      </c>
      <c r="G970" s="25">
        <v>44</v>
      </c>
      <c r="H970" s="25">
        <v>6.3</v>
      </c>
      <c r="I970" s="25">
        <v>1.29</v>
      </c>
      <c r="J970" s="25">
        <v>1.48</v>
      </c>
      <c r="K970" s="26">
        <v>0</v>
      </c>
      <c r="L970" s="25">
        <f t="shared" si="120"/>
        <v>0.23782525115488412</v>
      </c>
      <c r="M970" s="25">
        <f t="shared" si="126"/>
        <v>0.55917764720601948</v>
      </c>
      <c r="N970" s="25">
        <f t="shared" si="121"/>
        <v>0.44082235279398052</v>
      </c>
      <c r="O970" s="25">
        <f t="shared" si="122"/>
        <v>-0.81911331282390187</v>
      </c>
      <c r="P970" s="25">
        <f t="shared" si="123"/>
        <v>1</v>
      </c>
      <c r="Q970" s="25">
        <f t="shared" si="127"/>
        <v>480.2608139857021</v>
      </c>
      <c r="R970" s="25">
        <f t="shared" si="124"/>
        <v>7</v>
      </c>
      <c r="S970" s="26">
        <f t="shared" si="125"/>
        <v>15</v>
      </c>
    </row>
    <row r="971" spans="2:19" x14ac:dyDescent="0.3">
      <c r="B971" s="24">
        <v>363019</v>
      </c>
      <c r="C971" s="25">
        <v>65</v>
      </c>
      <c r="D971" s="25">
        <v>1</v>
      </c>
      <c r="E971" s="25">
        <v>21</v>
      </c>
      <c r="F971" s="25">
        <v>23</v>
      </c>
      <c r="G971" s="25">
        <v>42</v>
      </c>
      <c r="H971" s="25">
        <v>1.6</v>
      </c>
      <c r="I971" s="25">
        <v>0.28999999999999998</v>
      </c>
      <c r="J971" s="25">
        <v>0.38</v>
      </c>
      <c r="K971" s="26">
        <v>0</v>
      </c>
      <c r="L971" s="25">
        <f t="shared" si="120"/>
        <v>-7.0435835506267077</v>
      </c>
      <c r="M971" s="25">
        <f t="shared" si="126"/>
        <v>8.7223108596087221E-4</v>
      </c>
      <c r="N971" s="25">
        <f t="shared" si="121"/>
        <v>0.99912776891403909</v>
      </c>
      <c r="O971" s="25">
        <f t="shared" si="122"/>
        <v>-8.7261170083340804E-4</v>
      </c>
      <c r="P971" s="25">
        <f t="shared" si="123"/>
        <v>0</v>
      </c>
      <c r="Q971" s="25">
        <f t="shared" si="127"/>
        <v>690.35785541142798</v>
      </c>
      <c r="R971" s="25">
        <f t="shared" si="124"/>
        <v>1</v>
      </c>
      <c r="S971" s="26">
        <f t="shared" si="125"/>
        <v>1</v>
      </c>
    </row>
    <row r="972" spans="2:19" x14ac:dyDescent="0.3">
      <c r="B972" s="24">
        <v>363142</v>
      </c>
      <c r="C972" s="25">
        <v>24</v>
      </c>
      <c r="D972" s="25">
        <v>3</v>
      </c>
      <c r="E972" s="25">
        <v>0</v>
      </c>
      <c r="F972" s="25">
        <v>2</v>
      </c>
      <c r="G972" s="25">
        <v>17</v>
      </c>
      <c r="H972" s="25">
        <v>9.1999999999999993</v>
      </c>
      <c r="I972" s="25">
        <v>0.31</v>
      </c>
      <c r="J972" s="25">
        <v>1.25</v>
      </c>
      <c r="K972" s="26">
        <v>0</v>
      </c>
      <c r="L972" s="25">
        <f t="shared" si="120"/>
        <v>-4.6643376271365777E-2</v>
      </c>
      <c r="M972" s="25">
        <f t="shared" si="126"/>
        <v>0.48834126958776281</v>
      </c>
      <c r="N972" s="25">
        <f t="shared" si="121"/>
        <v>0.51165873041223719</v>
      </c>
      <c r="O972" s="25">
        <f t="shared" si="122"/>
        <v>-0.67009741834421588</v>
      </c>
      <c r="P972" s="25">
        <f t="shared" si="123"/>
        <v>1</v>
      </c>
      <c r="Q972" s="25">
        <f t="shared" si="127"/>
        <v>488.46884331459637</v>
      </c>
      <c r="R972" s="25">
        <f t="shared" si="124"/>
        <v>7</v>
      </c>
      <c r="S972" s="26">
        <f t="shared" si="125"/>
        <v>15</v>
      </c>
    </row>
    <row r="973" spans="2:19" x14ac:dyDescent="0.3">
      <c r="B973" s="24">
        <v>363175</v>
      </c>
      <c r="C973" s="25">
        <v>25</v>
      </c>
      <c r="D973" s="25">
        <v>4</v>
      </c>
      <c r="E973" s="25">
        <v>1</v>
      </c>
      <c r="F973" s="25">
        <v>2</v>
      </c>
      <c r="G973" s="25">
        <v>35</v>
      </c>
      <c r="H973" s="25">
        <v>1.4</v>
      </c>
      <c r="I973" s="25">
        <v>0.06</v>
      </c>
      <c r="J973" s="25">
        <v>0.43</v>
      </c>
      <c r="K973" s="26">
        <v>1</v>
      </c>
      <c r="L973" s="25">
        <f t="shared" si="120"/>
        <v>-1.2600468908969376</v>
      </c>
      <c r="M973" s="25">
        <f t="shared" si="126"/>
        <v>0.22096582031901957</v>
      </c>
      <c r="N973" s="25">
        <f t="shared" si="121"/>
        <v>0.22096582031901957</v>
      </c>
      <c r="O973" s="25">
        <f t="shared" si="122"/>
        <v>-1.5097472486153067</v>
      </c>
      <c r="P973" s="25">
        <f t="shared" si="123"/>
        <v>0</v>
      </c>
      <c r="Q973" s="25">
        <f t="shared" si="127"/>
        <v>523.48026698525109</v>
      </c>
      <c r="R973" s="25">
        <f t="shared" si="124"/>
        <v>6</v>
      </c>
      <c r="S973" s="26">
        <f t="shared" si="125"/>
        <v>13</v>
      </c>
    </row>
    <row r="974" spans="2:19" x14ac:dyDescent="0.3">
      <c r="B974" s="24">
        <v>363198</v>
      </c>
      <c r="C974" s="25">
        <v>32</v>
      </c>
      <c r="D974" s="25">
        <v>4</v>
      </c>
      <c r="E974" s="25">
        <v>3</v>
      </c>
      <c r="F974" s="25">
        <v>6</v>
      </c>
      <c r="G974" s="25">
        <v>56</v>
      </c>
      <c r="H974" s="25">
        <v>13.2</v>
      </c>
      <c r="I974" s="25">
        <v>1.53</v>
      </c>
      <c r="J974" s="25">
        <v>5.86</v>
      </c>
      <c r="K974" s="26">
        <v>1</v>
      </c>
      <c r="L974" s="25">
        <f t="shared" si="120"/>
        <v>1.907402358235194E-2</v>
      </c>
      <c r="M974" s="25">
        <f t="shared" si="126"/>
        <v>0.5047683613283418</v>
      </c>
      <c r="N974" s="25">
        <f t="shared" si="121"/>
        <v>0.5047683613283418</v>
      </c>
      <c r="O974" s="25">
        <f t="shared" si="122"/>
        <v>-0.68365564537634382</v>
      </c>
      <c r="P974" s="25">
        <f t="shared" si="123"/>
        <v>1</v>
      </c>
      <c r="Q974" s="25">
        <f t="shared" si="127"/>
        <v>486.57264003095719</v>
      </c>
      <c r="R974" s="25">
        <f t="shared" si="124"/>
        <v>7</v>
      </c>
      <c r="S974" s="26">
        <f t="shared" si="125"/>
        <v>15</v>
      </c>
    </row>
    <row r="975" spans="2:19" x14ac:dyDescent="0.3">
      <c r="B975" s="24">
        <v>363246</v>
      </c>
      <c r="C975" s="25">
        <v>21</v>
      </c>
      <c r="D975" s="25">
        <v>3</v>
      </c>
      <c r="E975" s="25">
        <v>0</v>
      </c>
      <c r="F975" s="25">
        <v>0</v>
      </c>
      <c r="G975" s="25">
        <v>36</v>
      </c>
      <c r="H975" s="25">
        <v>14.1</v>
      </c>
      <c r="I975" s="25">
        <v>1.6</v>
      </c>
      <c r="J975" s="25">
        <v>3.48</v>
      </c>
      <c r="K975" s="26">
        <v>1</v>
      </c>
      <c r="L975" s="25">
        <f t="shared" si="120"/>
        <v>1.2428464749443122</v>
      </c>
      <c r="M975" s="25">
        <f t="shared" si="126"/>
        <v>0.77605909576381904</v>
      </c>
      <c r="N975" s="25">
        <f t="shared" si="121"/>
        <v>0.77605909576381904</v>
      </c>
      <c r="O975" s="25">
        <f t="shared" si="122"/>
        <v>-0.25352660736369409</v>
      </c>
      <c r="P975" s="25">
        <f t="shared" si="123"/>
        <v>1</v>
      </c>
      <c r="Q975" s="25">
        <f t="shared" si="127"/>
        <v>451.26203209660429</v>
      </c>
      <c r="R975" s="25">
        <f t="shared" si="124"/>
        <v>8</v>
      </c>
      <c r="S975" s="26">
        <f t="shared" si="125"/>
        <v>16</v>
      </c>
    </row>
    <row r="976" spans="2:19" x14ac:dyDescent="0.3">
      <c r="B976" s="24">
        <v>363280</v>
      </c>
      <c r="C976" s="25">
        <v>23</v>
      </c>
      <c r="D976" s="25">
        <v>4</v>
      </c>
      <c r="E976" s="25">
        <v>0</v>
      </c>
      <c r="F976" s="25">
        <v>2</v>
      </c>
      <c r="G976" s="25">
        <v>34</v>
      </c>
      <c r="H976" s="25">
        <v>17</v>
      </c>
      <c r="I976" s="25">
        <v>2.16</v>
      </c>
      <c r="J976" s="25">
        <v>3.62</v>
      </c>
      <c r="K976" s="26">
        <v>1</v>
      </c>
      <c r="L976" s="25">
        <f t="shared" si="120"/>
        <v>1.6383476791502718</v>
      </c>
      <c r="M976" s="25">
        <f t="shared" si="126"/>
        <v>0.83730998043602944</v>
      </c>
      <c r="N976" s="25">
        <f t="shared" si="121"/>
        <v>0.83730998043602944</v>
      </c>
      <c r="O976" s="25">
        <f t="shared" si="122"/>
        <v>-0.17756093005773249</v>
      </c>
      <c r="P976" s="25">
        <f t="shared" si="123"/>
        <v>1</v>
      </c>
      <c r="Q976" s="25">
        <f t="shared" si="127"/>
        <v>439.85027990056597</v>
      </c>
      <c r="R976" s="25">
        <f t="shared" si="124"/>
        <v>8</v>
      </c>
      <c r="S976" s="26">
        <f t="shared" si="125"/>
        <v>16</v>
      </c>
    </row>
    <row r="977" spans="2:19" x14ac:dyDescent="0.3">
      <c r="B977" s="24">
        <v>363302</v>
      </c>
      <c r="C977" s="25">
        <v>40</v>
      </c>
      <c r="D977" s="25">
        <v>3</v>
      </c>
      <c r="E977" s="25">
        <v>17</v>
      </c>
      <c r="F977" s="25">
        <v>6</v>
      </c>
      <c r="G977" s="25">
        <v>120</v>
      </c>
      <c r="H977" s="25">
        <v>10.199999999999999</v>
      </c>
      <c r="I977" s="25">
        <v>4.32</v>
      </c>
      <c r="J977" s="25">
        <v>7.92</v>
      </c>
      <c r="K977" s="26">
        <v>0</v>
      </c>
      <c r="L977" s="25">
        <f t="shared" si="120"/>
        <v>-2.1789338521960993</v>
      </c>
      <c r="M977" s="25">
        <f t="shared" si="126"/>
        <v>0.10165825127946462</v>
      </c>
      <c r="N977" s="25">
        <f t="shared" si="121"/>
        <v>0.8983417487205354</v>
      </c>
      <c r="O977" s="25">
        <f t="shared" si="122"/>
        <v>-0.10720471657306509</v>
      </c>
      <c r="P977" s="25">
        <f t="shared" si="123"/>
        <v>0</v>
      </c>
      <c r="Q977" s="25">
        <f t="shared" si="127"/>
        <v>549.99373947788104</v>
      </c>
      <c r="R977" s="25">
        <f t="shared" si="124"/>
        <v>6</v>
      </c>
      <c r="S977" s="26">
        <f t="shared" si="125"/>
        <v>11</v>
      </c>
    </row>
    <row r="978" spans="2:19" x14ac:dyDescent="0.3">
      <c r="B978" s="24">
        <v>363329</v>
      </c>
      <c r="C978" s="25">
        <v>44</v>
      </c>
      <c r="D978" s="25">
        <v>2</v>
      </c>
      <c r="E978" s="25">
        <v>2</v>
      </c>
      <c r="F978" s="25">
        <v>17</v>
      </c>
      <c r="G978" s="25">
        <v>50</v>
      </c>
      <c r="H978" s="25">
        <v>2.8</v>
      </c>
      <c r="I978" s="25">
        <v>0.52</v>
      </c>
      <c r="J978" s="25">
        <v>0.88</v>
      </c>
      <c r="K978" s="26">
        <v>0</v>
      </c>
      <c r="L978" s="25">
        <f t="shared" si="120"/>
        <v>-1.906489536006936</v>
      </c>
      <c r="M978" s="25">
        <f t="shared" si="126"/>
        <v>0.12937574841996116</v>
      </c>
      <c r="N978" s="25">
        <f t="shared" si="121"/>
        <v>0.87062425158003887</v>
      </c>
      <c r="O978" s="25">
        <f t="shared" si="122"/>
        <v>-0.1385447940837112</v>
      </c>
      <c r="P978" s="25">
        <f t="shared" si="123"/>
        <v>0</v>
      </c>
      <c r="Q978" s="25">
        <f t="shared" si="127"/>
        <v>542.13265842299052</v>
      </c>
      <c r="R978" s="25">
        <f t="shared" si="124"/>
        <v>6</v>
      </c>
      <c r="S978" s="26">
        <f t="shared" si="125"/>
        <v>11</v>
      </c>
    </row>
    <row r="979" spans="2:19" x14ac:dyDescent="0.3">
      <c r="B979" s="24">
        <v>363388</v>
      </c>
      <c r="C979" s="25">
        <v>39</v>
      </c>
      <c r="D979" s="25">
        <v>4</v>
      </c>
      <c r="E979" s="25">
        <v>4</v>
      </c>
      <c r="F979" s="25">
        <v>6</v>
      </c>
      <c r="G979" s="25">
        <v>75</v>
      </c>
      <c r="H979" s="25">
        <v>5.6</v>
      </c>
      <c r="I979" s="25">
        <v>2.62</v>
      </c>
      <c r="J979" s="25">
        <v>1.58</v>
      </c>
      <c r="K979" s="26">
        <v>0</v>
      </c>
      <c r="L979" s="25">
        <f t="shared" si="120"/>
        <v>-0.70255894573479827</v>
      </c>
      <c r="M979" s="25">
        <f t="shared" si="126"/>
        <v>0.33124512100318648</v>
      </c>
      <c r="N979" s="25">
        <f t="shared" si="121"/>
        <v>0.66875487899681352</v>
      </c>
      <c r="O979" s="25">
        <f t="shared" si="122"/>
        <v>-0.40233768510236445</v>
      </c>
      <c r="P979" s="25">
        <f t="shared" si="123"/>
        <v>0</v>
      </c>
      <c r="Q979" s="25">
        <f t="shared" si="127"/>
        <v>507.39456556433731</v>
      </c>
      <c r="R979" s="25">
        <f t="shared" si="124"/>
        <v>7</v>
      </c>
      <c r="S979" s="26">
        <f t="shared" si="125"/>
        <v>14</v>
      </c>
    </row>
    <row r="980" spans="2:19" x14ac:dyDescent="0.3">
      <c r="B980" s="24">
        <v>363447</v>
      </c>
      <c r="C980" s="25">
        <v>26</v>
      </c>
      <c r="D980" s="25">
        <v>3</v>
      </c>
      <c r="E980" s="25">
        <v>3</v>
      </c>
      <c r="F980" s="25">
        <v>4</v>
      </c>
      <c r="G980" s="25">
        <v>18</v>
      </c>
      <c r="H980" s="25">
        <v>12.9</v>
      </c>
      <c r="I980" s="25">
        <v>0.4</v>
      </c>
      <c r="J980" s="25">
        <v>1.92</v>
      </c>
      <c r="K980" s="26">
        <v>1</v>
      </c>
      <c r="L980" s="25">
        <f t="shared" si="120"/>
        <v>-0.40541579218895768</v>
      </c>
      <c r="M980" s="25">
        <f t="shared" si="126"/>
        <v>0.40001183587897693</v>
      </c>
      <c r="N980" s="25">
        <f t="shared" si="121"/>
        <v>0.40001183587897693</v>
      </c>
      <c r="O980" s="25">
        <f t="shared" si="122"/>
        <v>-0.91626114261447922</v>
      </c>
      <c r="P980" s="25">
        <f t="shared" si="123"/>
        <v>1</v>
      </c>
      <c r="Q980" s="25">
        <f t="shared" si="127"/>
        <v>498.82082672624097</v>
      </c>
      <c r="R980" s="25">
        <f t="shared" si="124"/>
        <v>7</v>
      </c>
      <c r="S980" s="26">
        <f t="shared" si="125"/>
        <v>14</v>
      </c>
    </row>
    <row r="981" spans="2:19" x14ac:dyDescent="0.3">
      <c r="B981" s="24">
        <v>363476</v>
      </c>
      <c r="C981" s="25">
        <v>25</v>
      </c>
      <c r="D981" s="25">
        <v>2</v>
      </c>
      <c r="E981" s="25">
        <v>1</v>
      </c>
      <c r="F981" s="25">
        <v>3</v>
      </c>
      <c r="G981" s="25">
        <v>20</v>
      </c>
      <c r="H981" s="25">
        <v>2.5</v>
      </c>
      <c r="I981" s="25">
        <v>0.17</v>
      </c>
      <c r="J981" s="25">
        <v>0.33</v>
      </c>
      <c r="K981" s="26">
        <v>0</v>
      </c>
      <c r="L981" s="25">
        <f t="shared" si="120"/>
        <v>-1.0299148355221126</v>
      </c>
      <c r="M981" s="25">
        <f t="shared" si="126"/>
        <v>0.26310061541013896</v>
      </c>
      <c r="N981" s="25">
        <f t="shared" si="121"/>
        <v>0.73689938458986104</v>
      </c>
      <c r="O981" s="25">
        <f t="shared" si="122"/>
        <v>-0.30530391634338883</v>
      </c>
      <c r="P981" s="25">
        <f t="shared" si="123"/>
        <v>0</v>
      </c>
      <c r="Q981" s="25">
        <f t="shared" si="127"/>
        <v>516.84005967267149</v>
      </c>
      <c r="R981" s="25">
        <f t="shared" si="124"/>
        <v>7</v>
      </c>
      <c r="S981" s="26">
        <f t="shared" si="125"/>
        <v>13</v>
      </c>
    </row>
    <row r="982" spans="2:19" x14ac:dyDescent="0.3">
      <c r="B982" s="24">
        <v>363504</v>
      </c>
      <c r="C982" s="25">
        <v>28</v>
      </c>
      <c r="D982" s="25">
        <v>2</v>
      </c>
      <c r="E982" s="25">
        <v>8</v>
      </c>
      <c r="F982" s="25">
        <v>4</v>
      </c>
      <c r="G982" s="25">
        <v>40</v>
      </c>
      <c r="H982" s="25">
        <v>9.8000000000000007</v>
      </c>
      <c r="I982" s="25">
        <v>1.36</v>
      </c>
      <c r="J982" s="25">
        <v>2.56</v>
      </c>
      <c r="K982" s="26">
        <v>1</v>
      </c>
      <c r="L982" s="25">
        <f t="shared" si="120"/>
        <v>-1.3595104865249965</v>
      </c>
      <c r="M982" s="25">
        <f t="shared" si="126"/>
        <v>0.20431987256808987</v>
      </c>
      <c r="N982" s="25">
        <f t="shared" si="121"/>
        <v>0.20431987256808987</v>
      </c>
      <c r="O982" s="25">
        <f t="shared" si="122"/>
        <v>-1.5880685103859946</v>
      </c>
      <c r="P982" s="25">
        <f t="shared" si="123"/>
        <v>0</v>
      </c>
      <c r="Q982" s="25">
        <f t="shared" si="127"/>
        <v>526.35017962714358</v>
      </c>
      <c r="R982" s="25">
        <f t="shared" si="124"/>
        <v>6</v>
      </c>
      <c r="S982" s="26">
        <f t="shared" si="125"/>
        <v>12</v>
      </c>
    </row>
    <row r="983" spans="2:19" x14ac:dyDescent="0.3">
      <c r="B983" s="24">
        <v>363544</v>
      </c>
      <c r="C983" s="25">
        <v>43</v>
      </c>
      <c r="D983" s="25">
        <v>4</v>
      </c>
      <c r="E983" s="25">
        <v>13</v>
      </c>
      <c r="F983" s="25">
        <v>12</v>
      </c>
      <c r="G983" s="25">
        <v>127</v>
      </c>
      <c r="H983" s="25">
        <v>3</v>
      </c>
      <c r="I983" s="25">
        <v>0.42</v>
      </c>
      <c r="J983" s="25">
        <v>3.39</v>
      </c>
      <c r="K983" s="26">
        <v>0</v>
      </c>
      <c r="L983" s="25">
        <f t="shared" si="120"/>
        <v>-4.2648440217361445</v>
      </c>
      <c r="M983" s="25">
        <f t="shared" si="126"/>
        <v>1.3859279950463431E-2</v>
      </c>
      <c r="N983" s="25">
        <f t="shared" si="121"/>
        <v>0.98614072004953657</v>
      </c>
      <c r="O983" s="25">
        <f t="shared" si="122"/>
        <v>-1.3956216459782952E-2</v>
      </c>
      <c r="P983" s="25">
        <f t="shared" si="123"/>
        <v>0</v>
      </c>
      <c r="Q983" s="25">
        <f t="shared" si="127"/>
        <v>610.18038291877247</v>
      </c>
      <c r="R983" s="25">
        <f t="shared" si="124"/>
        <v>4</v>
      </c>
      <c r="S983" s="26">
        <f t="shared" si="125"/>
        <v>6</v>
      </c>
    </row>
    <row r="984" spans="2:19" x14ac:dyDescent="0.3">
      <c r="B984" s="24">
        <v>363681</v>
      </c>
      <c r="C984" s="25">
        <v>28</v>
      </c>
      <c r="D984" s="25">
        <v>2</v>
      </c>
      <c r="E984" s="25">
        <v>6</v>
      </c>
      <c r="F984" s="25">
        <v>2</v>
      </c>
      <c r="G984" s="25">
        <v>112</v>
      </c>
      <c r="H984" s="25">
        <v>3.4</v>
      </c>
      <c r="I984" s="25">
        <v>0.38</v>
      </c>
      <c r="J984" s="25">
        <v>3.43</v>
      </c>
      <c r="K984" s="26">
        <v>0</v>
      </c>
      <c r="L984" s="25">
        <f t="shared" si="120"/>
        <v>-1.9059394195407762</v>
      </c>
      <c r="M984" s="25">
        <f t="shared" si="126"/>
        <v>0.1294377248883172</v>
      </c>
      <c r="N984" s="25">
        <f t="shared" si="121"/>
        <v>0.87056227511168283</v>
      </c>
      <c r="O984" s="25">
        <f t="shared" si="122"/>
        <v>-0.13861598285921817</v>
      </c>
      <c r="P984" s="25">
        <f t="shared" si="123"/>
        <v>0</v>
      </c>
      <c r="Q984" s="25">
        <f t="shared" si="127"/>
        <v>542.11678541748756</v>
      </c>
      <c r="R984" s="25">
        <f t="shared" si="124"/>
        <v>6</v>
      </c>
      <c r="S984" s="26">
        <f t="shared" si="125"/>
        <v>11</v>
      </c>
    </row>
    <row r="985" spans="2:19" x14ac:dyDescent="0.3">
      <c r="B985" s="24">
        <v>363785</v>
      </c>
      <c r="C985" s="25">
        <v>40</v>
      </c>
      <c r="D985" s="25">
        <v>1</v>
      </c>
      <c r="E985" s="25">
        <v>16</v>
      </c>
      <c r="F985" s="25">
        <v>7</v>
      </c>
      <c r="G985" s="25">
        <v>33</v>
      </c>
      <c r="H985" s="25">
        <v>23.3</v>
      </c>
      <c r="I985" s="25">
        <v>2.02</v>
      </c>
      <c r="J985" s="25">
        <v>5.67</v>
      </c>
      <c r="K985" s="26">
        <v>1</v>
      </c>
      <c r="L985" s="25">
        <f t="shared" si="120"/>
        <v>-1.7387240530370429</v>
      </c>
      <c r="M985" s="25">
        <f t="shared" si="126"/>
        <v>0.14947507603446025</v>
      </c>
      <c r="N985" s="25">
        <f t="shared" si="121"/>
        <v>0.14947507603446025</v>
      </c>
      <c r="O985" s="25">
        <f t="shared" si="122"/>
        <v>-1.9006256155385279</v>
      </c>
      <c r="P985" s="25">
        <f t="shared" si="123"/>
        <v>0</v>
      </c>
      <c r="Q985" s="25">
        <f t="shared" si="127"/>
        <v>537.29196995392556</v>
      </c>
      <c r="R985" s="25">
        <f t="shared" si="124"/>
        <v>6</v>
      </c>
      <c r="S985" s="26">
        <f t="shared" si="125"/>
        <v>12</v>
      </c>
    </row>
    <row r="986" spans="2:19" x14ac:dyDescent="0.3">
      <c r="B986" s="24">
        <v>363807</v>
      </c>
      <c r="C986" s="25">
        <v>31</v>
      </c>
      <c r="D986" s="25">
        <v>1</v>
      </c>
      <c r="E986" s="25">
        <v>0</v>
      </c>
      <c r="F986" s="25">
        <v>6</v>
      </c>
      <c r="G986" s="25">
        <v>26</v>
      </c>
      <c r="H986" s="25">
        <v>3.2</v>
      </c>
      <c r="I986" s="25">
        <v>0.34</v>
      </c>
      <c r="J986" s="25">
        <v>0.49</v>
      </c>
      <c r="K986" s="26">
        <v>0</v>
      </c>
      <c r="L986" s="25">
        <f t="shared" si="120"/>
        <v>-0.82196238396332344</v>
      </c>
      <c r="M986" s="25">
        <f t="shared" si="126"/>
        <v>0.30534725909569943</v>
      </c>
      <c r="N986" s="25">
        <f t="shared" si="121"/>
        <v>0.69465274090430063</v>
      </c>
      <c r="O986" s="25">
        <f t="shared" si="122"/>
        <v>-0.3643432116607952</v>
      </c>
      <c r="P986" s="25">
        <f t="shared" si="123"/>
        <v>0</v>
      </c>
      <c r="Q986" s="25">
        <f t="shared" si="127"/>
        <v>510.83982043063935</v>
      </c>
      <c r="R986" s="25">
        <f t="shared" si="124"/>
        <v>7</v>
      </c>
      <c r="S986" s="26">
        <f t="shared" si="125"/>
        <v>13</v>
      </c>
    </row>
    <row r="987" spans="2:19" x14ac:dyDescent="0.3">
      <c r="B987" s="24">
        <v>363822</v>
      </c>
      <c r="C987" s="25">
        <v>29</v>
      </c>
      <c r="D987" s="25">
        <v>3</v>
      </c>
      <c r="E987" s="25">
        <v>0</v>
      </c>
      <c r="F987" s="25">
        <v>5</v>
      </c>
      <c r="G987" s="25">
        <v>37</v>
      </c>
      <c r="H987" s="25">
        <v>6.7</v>
      </c>
      <c r="I987" s="25">
        <v>0.7</v>
      </c>
      <c r="J987" s="25">
        <v>1.77</v>
      </c>
      <c r="K987" s="26">
        <v>0</v>
      </c>
      <c r="L987" s="25">
        <f t="shared" si="120"/>
        <v>-0.29918674555194963</v>
      </c>
      <c r="M987" s="25">
        <f t="shared" si="126"/>
        <v>0.42575630202336145</v>
      </c>
      <c r="N987" s="25">
        <f t="shared" si="121"/>
        <v>0.57424369797663855</v>
      </c>
      <c r="O987" s="25">
        <f t="shared" si="122"/>
        <v>-0.5547014118281528</v>
      </c>
      <c r="P987" s="25">
        <f t="shared" si="123"/>
        <v>1</v>
      </c>
      <c r="Q987" s="25">
        <f t="shared" si="127"/>
        <v>495.75570443748137</v>
      </c>
      <c r="R987" s="25">
        <f t="shared" si="124"/>
        <v>7</v>
      </c>
      <c r="S987" s="26">
        <f t="shared" si="125"/>
        <v>14</v>
      </c>
    </row>
    <row r="988" spans="2:19" x14ac:dyDescent="0.3">
      <c r="B988" s="24">
        <v>363832</v>
      </c>
      <c r="C988" s="25">
        <v>54</v>
      </c>
      <c r="D988" s="25">
        <v>1</v>
      </c>
      <c r="E988" s="25">
        <v>13</v>
      </c>
      <c r="F988" s="25">
        <v>18</v>
      </c>
      <c r="G988" s="25">
        <v>105</v>
      </c>
      <c r="H988" s="25">
        <v>13.6</v>
      </c>
      <c r="I988" s="25">
        <v>1.63</v>
      </c>
      <c r="J988" s="25">
        <v>12.65</v>
      </c>
      <c r="K988" s="26">
        <v>0</v>
      </c>
      <c r="L988" s="25">
        <f t="shared" si="120"/>
        <v>-2.6804428488379104</v>
      </c>
      <c r="M988" s="25">
        <f t="shared" si="126"/>
        <v>6.4137289848974932E-2</v>
      </c>
      <c r="N988" s="25">
        <f t="shared" si="121"/>
        <v>0.93586271015102507</v>
      </c>
      <c r="O988" s="25">
        <f t="shared" si="122"/>
        <v>-6.6286490451771679E-2</v>
      </c>
      <c r="P988" s="25">
        <f t="shared" si="123"/>
        <v>0</v>
      </c>
      <c r="Q988" s="25">
        <f t="shared" si="127"/>
        <v>564.46422991608415</v>
      </c>
      <c r="R988" s="25">
        <f t="shared" si="124"/>
        <v>5</v>
      </c>
      <c r="S988" s="26">
        <f t="shared" si="125"/>
        <v>10</v>
      </c>
    </row>
    <row r="989" spans="2:19" x14ac:dyDescent="0.3">
      <c r="B989" s="24">
        <v>363882</v>
      </c>
      <c r="C989" s="25">
        <v>42</v>
      </c>
      <c r="D989" s="25">
        <v>4</v>
      </c>
      <c r="E989" s="25">
        <v>9</v>
      </c>
      <c r="F989" s="25">
        <v>9</v>
      </c>
      <c r="G989" s="25">
        <v>49</v>
      </c>
      <c r="H989" s="25">
        <v>7.3</v>
      </c>
      <c r="I989" s="25">
        <v>1.1499999999999999</v>
      </c>
      <c r="J989" s="25">
        <v>2.4300000000000002</v>
      </c>
      <c r="K989" s="26">
        <v>1</v>
      </c>
      <c r="L989" s="25">
        <f t="shared" si="120"/>
        <v>-2.5076983867478257</v>
      </c>
      <c r="M989" s="25">
        <f t="shared" si="126"/>
        <v>7.5320253597045847E-2</v>
      </c>
      <c r="N989" s="25">
        <f t="shared" si="121"/>
        <v>7.5320253597045847E-2</v>
      </c>
      <c r="O989" s="25">
        <f t="shared" si="122"/>
        <v>-2.58600620827047</v>
      </c>
      <c r="P989" s="25">
        <f t="shared" si="123"/>
        <v>0</v>
      </c>
      <c r="Q989" s="25">
        <f t="shared" si="127"/>
        <v>559.47987848138314</v>
      </c>
      <c r="R989" s="25">
        <f t="shared" si="124"/>
        <v>5</v>
      </c>
      <c r="S989" s="26">
        <f t="shared" si="125"/>
        <v>10</v>
      </c>
    </row>
    <row r="990" spans="2:19" x14ac:dyDescent="0.3">
      <c r="B990" s="24">
        <v>363946</v>
      </c>
      <c r="C990" s="25">
        <v>39</v>
      </c>
      <c r="D990" s="25">
        <v>2</v>
      </c>
      <c r="E990" s="25">
        <v>14</v>
      </c>
      <c r="F990" s="25">
        <v>7</v>
      </c>
      <c r="G990" s="25">
        <v>94</v>
      </c>
      <c r="H990" s="25">
        <v>30.2</v>
      </c>
      <c r="I990" s="25">
        <v>10.5</v>
      </c>
      <c r="J990" s="25">
        <v>17.88</v>
      </c>
      <c r="K990" s="26">
        <v>1</v>
      </c>
      <c r="L990" s="25">
        <f t="shared" si="120"/>
        <v>3.7070568177804644</v>
      </c>
      <c r="M990" s="25">
        <f t="shared" si="126"/>
        <v>0.97603857392851445</v>
      </c>
      <c r="N990" s="25">
        <f t="shared" si="121"/>
        <v>0.97603857392851445</v>
      </c>
      <c r="O990" s="25">
        <f t="shared" si="122"/>
        <v>-2.4253170882296497E-2</v>
      </c>
      <c r="P990" s="25">
        <f t="shared" si="123"/>
        <v>1</v>
      </c>
      <c r="Q990" s="25">
        <f t="shared" si="127"/>
        <v>380.15995328544426</v>
      </c>
      <c r="R990" s="25">
        <f t="shared" si="124"/>
        <v>8</v>
      </c>
      <c r="S990" s="26">
        <f t="shared" si="125"/>
        <v>17</v>
      </c>
    </row>
    <row r="991" spans="2:19" x14ac:dyDescent="0.3">
      <c r="B991" s="24">
        <v>363975</v>
      </c>
      <c r="C991" s="25">
        <v>36</v>
      </c>
      <c r="D991" s="25">
        <v>3</v>
      </c>
      <c r="E991" s="25">
        <v>10</v>
      </c>
      <c r="F991" s="25">
        <v>7</v>
      </c>
      <c r="G991" s="25">
        <v>101</v>
      </c>
      <c r="H991" s="25">
        <v>13.1</v>
      </c>
      <c r="I991" s="25">
        <v>7.24</v>
      </c>
      <c r="J991" s="25">
        <v>5.99</v>
      </c>
      <c r="K991" s="26">
        <v>1</v>
      </c>
      <c r="L991" s="25">
        <f t="shared" si="120"/>
        <v>1.0780625848737109</v>
      </c>
      <c r="M991" s="25">
        <f t="shared" si="126"/>
        <v>0.7461271704507747</v>
      </c>
      <c r="N991" s="25">
        <f t="shared" si="121"/>
        <v>0.7461271704507747</v>
      </c>
      <c r="O991" s="25">
        <f t="shared" si="122"/>
        <v>-0.29285922353354049</v>
      </c>
      <c r="P991" s="25">
        <f t="shared" si="123"/>
        <v>1</v>
      </c>
      <c r="Q991" s="25">
        <f t="shared" si="127"/>
        <v>456.01668998231241</v>
      </c>
      <c r="R991" s="25">
        <f t="shared" si="124"/>
        <v>8</v>
      </c>
      <c r="S991" s="26">
        <f t="shared" si="125"/>
        <v>16</v>
      </c>
    </row>
    <row r="992" spans="2:19" x14ac:dyDescent="0.3">
      <c r="B992" s="24">
        <v>364013</v>
      </c>
      <c r="C992" s="25">
        <v>55</v>
      </c>
      <c r="D992" s="25">
        <v>5</v>
      </c>
      <c r="E992" s="25">
        <v>21</v>
      </c>
      <c r="F992" s="25">
        <v>14</v>
      </c>
      <c r="G992" s="25">
        <v>91</v>
      </c>
      <c r="H992" s="25">
        <v>6.6</v>
      </c>
      <c r="I992" s="25">
        <v>2.0099999999999998</v>
      </c>
      <c r="J992" s="25">
        <v>3.99</v>
      </c>
      <c r="K992" s="26">
        <v>0</v>
      </c>
      <c r="L992" s="25">
        <f t="shared" si="120"/>
        <v>-5.3335432493250226</v>
      </c>
      <c r="M992" s="25">
        <f t="shared" si="126"/>
        <v>4.8037492430714522E-3</v>
      </c>
      <c r="N992" s="25">
        <f t="shared" si="121"/>
        <v>0.99519625075692852</v>
      </c>
      <c r="O992" s="25">
        <f t="shared" si="122"/>
        <v>-4.8153243305558615E-3</v>
      </c>
      <c r="P992" s="25">
        <f t="shared" si="123"/>
        <v>0</v>
      </c>
      <c r="Q992" s="25">
        <f t="shared" si="127"/>
        <v>641.01652356169927</v>
      </c>
      <c r="R992" s="25">
        <f t="shared" si="124"/>
        <v>3</v>
      </c>
      <c r="S992" s="26">
        <f t="shared" si="125"/>
        <v>3</v>
      </c>
    </row>
    <row r="993" spans="2:19" x14ac:dyDescent="0.3">
      <c r="B993" s="24">
        <v>364037</v>
      </c>
      <c r="C993" s="25">
        <v>21</v>
      </c>
      <c r="D993" s="25">
        <v>2</v>
      </c>
      <c r="E993" s="25">
        <v>0</v>
      </c>
      <c r="F993" s="25">
        <v>1</v>
      </c>
      <c r="G993" s="25">
        <v>15</v>
      </c>
      <c r="H993" s="25">
        <v>4.0999999999999996</v>
      </c>
      <c r="I993" s="25">
        <v>0.25</v>
      </c>
      <c r="J993" s="25">
        <v>0.37</v>
      </c>
      <c r="K993" s="26">
        <v>0</v>
      </c>
      <c r="L993" s="25">
        <f t="shared" si="120"/>
        <v>-0.45492066459809155</v>
      </c>
      <c r="M993" s="25">
        <f t="shared" si="126"/>
        <v>0.38819147289809508</v>
      </c>
      <c r="N993" s="25">
        <f t="shared" si="121"/>
        <v>0.61180852710190492</v>
      </c>
      <c r="O993" s="25">
        <f t="shared" si="122"/>
        <v>-0.49133590963460294</v>
      </c>
      <c r="P993" s="25">
        <f t="shared" si="123"/>
        <v>0</v>
      </c>
      <c r="Q993" s="25">
        <f t="shared" si="127"/>
        <v>500.24923536424689</v>
      </c>
      <c r="R993" s="25">
        <f t="shared" si="124"/>
        <v>7</v>
      </c>
      <c r="S993" s="26">
        <f t="shared" si="125"/>
        <v>14</v>
      </c>
    </row>
    <row r="994" spans="2:19" x14ac:dyDescent="0.3">
      <c r="B994" s="24">
        <v>364057</v>
      </c>
      <c r="C994" s="25">
        <v>49</v>
      </c>
      <c r="D994" s="25">
        <v>3</v>
      </c>
      <c r="E994" s="25">
        <v>3</v>
      </c>
      <c r="F994" s="25">
        <v>7</v>
      </c>
      <c r="G994" s="25">
        <v>28</v>
      </c>
      <c r="H994" s="25">
        <v>6.9</v>
      </c>
      <c r="I994" s="25">
        <v>0.85</v>
      </c>
      <c r="J994" s="25">
        <v>1.0900000000000001</v>
      </c>
      <c r="K994" s="26">
        <v>0</v>
      </c>
      <c r="L994" s="25">
        <f t="shared" si="120"/>
        <v>-1.4031585568899012</v>
      </c>
      <c r="M994" s="25">
        <f t="shared" si="126"/>
        <v>0.19731537451727946</v>
      </c>
      <c r="N994" s="25">
        <f t="shared" si="121"/>
        <v>0.80268462548272057</v>
      </c>
      <c r="O994" s="25">
        <f t="shared" si="122"/>
        <v>-0.21979338753156147</v>
      </c>
      <c r="P994" s="25">
        <f t="shared" si="123"/>
        <v>0</v>
      </c>
      <c r="Q994" s="25">
        <f t="shared" si="127"/>
        <v>527.60959668464557</v>
      </c>
      <c r="R994" s="25">
        <f t="shared" si="124"/>
        <v>6</v>
      </c>
      <c r="S994" s="26">
        <f t="shared" si="125"/>
        <v>12</v>
      </c>
    </row>
    <row r="995" spans="2:19" x14ac:dyDescent="0.3">
      <c r="B995" s="24">
        <v>364071</v>
      </c>
      <c r="C995" s="25">
        <v>50</v>
      </c>
      <c r="D995" s="25">
        <v>4</v>
      </c>
      <c r="E995" s="25">
        <v>27</v>
      </c>
      <c r="F995" s="25">
        <v>12</v>
      </c>
      <c r="G995" s="25">
        <v>181</v>
      </c>
      <c r="H995" s="25">
        <v>2.2999999999999998</v>
      </c>
      <c r="I995" s="25">
        <v>1.79</v>
      </c>
      <c r="J995" s="25">
        <v>2.37</v>
      </c>
      <c r="K995" s="26">
        <v>0</v>
      </c>
      <c r="L995" s="25">
        <f t="shared" si="120"/>
        <v>-7.017887171159984</v>
      </c>
      <c r="M995" s="25">
        <f t="shared" si="126"/>
        <v>8.9491440043508539E-4</v>
      </c>
      <c r="N995" s="25">
        <f t="shared" si="121"/>
        <v>0.9991050855995649</v>
      </c>
      <c r="O995" s="25">
        <f t="shared" si="122"/>
        <v>-8.9531507539151274E-4</v>
      </c>
      <c r="P995" s="25">
        <f t="shared" si="123"/>
        <v>0</v>
      </c>
      <c r="Q995" s="25">
        <f t="shared" si="127"/>
        <v>689.61641464793308</v>
      </c>
      <c r="R995" s="25">
        <f t="shared" si="124"/>
        <v>1</v>
      </c>
      <c r="S995" s="26">
        <f t="shared" si="125"/>
        <v>1</v>
      </c>
    </row>
    <row r="996" spans="2:19" x14ac:dyDescent="0.3">
      <c r="B996" s="24">
        <v>364125</v>
      </c>
      <c r="C996" s="25">
        <v>22</v>
      </c>
      <c r="D996" s="25">
        <v>4</v>
      </c>
      <c r="E996" s="25">
        <v>0</v>
      </c>
      <c r="F996" s="25">
        <v>1</v>
      </c>
      <c r="G996" s="25">
        <v>55</v>
      </c>
      <c r="H996" s="25">
        <v>27.4</v>
      </c>
      <c r="I996" s="25">
        <v>6.22</v>
      </c>
      <c r="J996" s="25">
        <v>8.85</v>
      </c>
      <c r="K996" s="26">
        <v>1</v>
      </c>
      <c r="L996" s="25">
        <f t="shared" si="120"/>
        <v>4.7880979791520364</v>
      </c>
      <c r="M996" s="25">
        <f t="shared" si="126"/>
        <v>0.99174050452030382</v>
      </c>
      <c r="N996" s="25">
        <f t="shared" si="121"/>
        <v>0.99174050452030382</v>
      </c>
      <c r="O996" s="25">
        <f t="shared" si="122"/>
        <v>-8.2937941025990249E-3</v>
      </c>
      <c r="P996" s="25">
        <f t="shared" si="123"/>
        <v>1</v>
      </c>
      <c r="Q996" s="25">
        <f t="shared" si="127"/>
        <v>348.96769971934503</v>
      </c>
      <c r="R996" s="25">
        <f t="shared" si="124"/>
        <v>8</v>
      </c>
      <c r="S996" s="26">
        <f t="shared" si="125"/>
        <v>17</v>
      </c>
    </row>
    <row r="997" spans="2:19" x14ac:dyDescent="0.3">
      <c r="B997" s="24">
        <v>364211</v>
      </c>
      <c r="C997" s="25">
        <v>33</v>
      </c>
      <c r="D997" s="25">
        <v>2</v>
      </c>
      <c r="E997" s="25">
        <v>3</v>
      </c>
      <c r="F997" s="25">
        <v>6</v>
      </c>
      <c r="G997" s="25">
        <v>33</v>
      </c>
      <c r="H997" s="25">
        <v>5.0999999999999996</v>
      </c>
      <c r="I997" s="25">
        <v>0.9</v>
      </c>
      <c r="J997" s="25">
        <v>0.79</v>
      </c>
      <c r="K997" s="26">
        <v>0</v>
      </c>
      <c r="L997" s="25">
        <f t="shared" si="120"/>
        <v>-1.1336469066316601</v>
      </c>
      <c r="M997" s="25">
        <f t="shared" si="126"/>
        <v>0.24348870530889311</v>
      </c>
      <c r="N997" s="25">
        <f t="shared" si="121"/>
        <v>0.75651129469110689</v>
      </c>
      <c r="O997" s="25">
        <f t="shared" si="122"/>
        <v>-0.27903781567204533</v>
      </c>
      <c r="P997" s="25">
        <f t="shared" si="123"/>
        <v>0</v>
      </c>
      <c r="Q997" s="25">
        <f t="shared" si="127"/>
        <v>519.83313447925923</v>
      </c>
      <c r="R997" s="25">
        <f t="shared" si="124"/>
        <v>6</v>
      </c>
      <c r="S997" s="26">
        <f t="shared" si="125"/>
        <v>13</v>
      </c>
    </row>
    <row r="998" spans="2:19" x14ac:dyDescent="0.3">
      <c r="B998" s="24">
        <v>364304</v>
      </c>
      <c r="C998" s="25">
        <v>39</v>
      </c>
      <c r="D998" s="25">
        <v>4</v>
      </c>
      <c r="E998" s="25">
        <v>9</v>
      </c>
      <c r="F998" s="25">
        <v>12</v>
      </c>
      <c r="G998" s="25">
        <v>78</v>
      </c>
      <c r="H998" s="25">
        <v>4.0999999999999996</v>
      </c>
      <c r="I998" s="25">
        <v>0.35</v>
      </c>
      <c r="J998" s="25">
        <v>2.85</v>
      </c>
      <c r="K998" s="26">
        <v>0</v>
      </c>
      <c r="L998" s="25">
        <f t="shared" si="120"/>
        <v>-3.221449774169197</v>
      </c>
      <c r="M998" s="25">
        <f t="shared" si="126"/>
        <v>3.8366461031064308E-2</v>
      </c>
      <c r="N998" s="25">
        <f t="shared" si="121"/>
        <v>0.96163353896893566</v>
      </c>
      <c r="O998" s="25">
        <f t="shared" si="122"/>
        <v>-3.9121837513945344E-2</v>
      </c>
      <c r="P998" s="25">
        <f t="shared" si="123"/>
        <v>0</v>
      </c>
      <c r="Q998" s="25">
        <f t="shared" si="127"/>
        <v>580.07438963890058</v>
      </c>
      <c r="R998" s="25">
        <f t="shared" si="124"/>
        <v>5</v>
      </c>
      <c r="S998" s="26">
        <f t="shared" si="125"/>
        <v>8</v>
      </c>
    </row>
    <row r="999" spans="2:19" x14ac:dyDescent="0.3">
      <c r="B999" s="24">
        <v>364366</v>
      </c>
      <c r="C999" s="25">
        <v>26</v>
      </c>
      <c r="D999" s="25">
        <v>3</v>
      </c>
      <c r="E999" s="25">
        <v>3</v>
      </c>
      <c r="F999" s="25">
        <v>3</v>
      </c>
      <c r="G999" s="25">
        <v>66</v>
      </c>
      <c r="H999" s="25">
        <v>4</v>
      </c>
      <c r="I999" s="25">
        <v>0.19</v>
      </c>
      <c r="J999" s="25">
        <v>2.4500000000000002</v>
      </c>
      <c r="K999" s="26">
        <v>0</v>
      </c>
      <c r="L999" s="25">
        <f t="shared" si="120"/>
        <v>-1.3350454854359488</v>
      </c>
      <c r="M999" s="25">
        <f t="shared" si="126"/>
        <v>0.2083260074267817</v>
      </c>
      <c r="N999" s="25">
        <f t="shared" si="121"/>
        <v>0.79167399257321835</v>
      </c>
      <c r="O999" s="25">
        <f t="shared" si="122"/>
        <v>-0.23360559744762421</v>
      </c>
      <c r="P999" s="25">
        <f t="shared" si="123"/>
        <v>0</v>
      </c>
      <c r="Q999" s="25">
        <f t="shared" si="127"/>
        <v>525.64426893222037</v>
      </c>
      <c r="R999" s="25">
        <f t="shared" si="124"/>
        <v>6</v>
      </c>
      <c r="S999" s="26">
        <f t="shared" si="125"/>
        <v>13</v>
      </c>
    </row>
    <row r="1000" spans="2:19" x14ac:dyDescent="0.3">
      <c r="B1000" s="24">
        <v>364418</v>
      </c>
      <c r="C1000" s="25">
        <v>23</v>
      </c>
      <c r="D1000" s="25">
        <v>1</v>
      </c>
      <c r="E1000" s="25">
        <v>5</v>
      </c>
      <c r="F1000" s="25">
        <v>1</v>
      </c>
      <c r="G1000" s="25">
        <v>48</v>
      </c>
      <c r="H1000" s="25">
        <v>18</v>
      </c>
      <c r="I1000" s="25">
        <v>1.05</v>
      </c>
      <c r="J1000" s="25">
        <v>7.59</v>
      </c>
      <c r="K1000" s="26">
        <v>1</v>
      </c>
      <c r="L1000" s="25">
        <f t="shared" si="120"/>
        <v>0.37666937155585539</v>
      </c>
      <c r="M1000" s="25">
        <f t="shared" si="126"/>
        <v>0.59306954535742695</v>
      </c>
      <c r="N1000" s="25">
        <f t="shared" si="121"/>
        <v>0.59306954535742695</v>
      </c>
      <c r="O1000" s="25">
        <f t="shared" si="122"/>
        <v>-0.52244360969823167</v>
      </c>
      <c r="P1000" s="25">
        <f t="shared" si="123"/>
        <v>1</v>
      </c>
      <c r="Q1000" s="25">
        <f t="shared" si="127"/>
        <v>476.25461962006449</v>
      </c>
      <c r="R1000" s="25">
        <f t="shared" si="124"/>
        <v>7</v>
      </c>
      <c r="S1000" s="26">
        <f t="shared" si="125"/>
        <v>15</v>
      </c>
    </row>
    <row r="1001" spans="2:19" x14ac:dyDescent="0.3">
      <c r="B1001" s="24">
        <v>364428</v>
      </c>
      <c r="C1001" s="25">
        <v>19</v>
      </c>
      <c r="D1001" s="25">
        <v>2</v>
      </c>
      <c r="E1001" s="25">
        <v>0</v>
      </c>
      <c r="F1001" s="25">
        <v>0</v>
      </c>
      <c r="G1001" s="25">
        <v>31</v>
      </c>
      <c r="H1001" s="25">
        <v>10.6</v>
      </c>
      <c r="I1001" s="25">
        <v>0.99</v>
      </c>
      <c r="J1001" s="25">
        <v>2.29</v>
      </c>
      <c r="K1001" s="26">
        <v>1</v>
      </c>
      <c r="L1001" s="25">
        <f t="shared" si="120"/>
        <v>0.67078113842337528</v>
      </c>
      <c r="M1001" s="25">
        <f t="shared" si="126"/>
        <v>0.66167804709194844</v>
      </c>
      <c r="N1001" s="25">
        <f t="shared" si="121"/>
        <v>0.66167804709194844</v>
      </c>
      <c r="O1001" s="25">
        <f t="shared" si="122"/>
        <v>-0.41297617504168144</v>
      </c>
      <c r="P1001" s="25">
        <f t="shared" si="123"/>
        <v>1</v>
      </c>
      <c r="Q1001" s="25">
        <f t="shared" si="127"/>
        <v>467.76834811004574</v>
      </c>
      <c r="R1001" s="25">
        <f t="shared" si="124"/>
        <v>7</v>
      </c>
      <c r="S1001" s="26">
        <f t="shared" si="125"/>
        <v>15</v>
      </c>
    </row>
    <row r="1002" spans="2:19" x14ac:dyDescent="0.3">
      <c r="B1002" s="24">
        <v>364476</v>
      </c>
      <c r="C1002" s="25">
        <v>32</v>
      </c>
      <c r="D1002" s="25">
        <v>2</v>
      </c>
      <c r="E1002" s="25">
        <v>7</v>
      </c>
      <c r="F1002" s="25">
        <v>3</v>
      </c>
      <c r="G1002" s="25">
        <v>33</v>
      </c>
      <c r="H1002" s="25">
        <v>24.6</v>
      </c>
      <c r="I1002" s="25">
        <v>4.1399999999999997</v>
      </c>
      <c r="J1002" s="25">
        <v>3.98</v>
      </c>
      <c r="K1002" s="26">
        <v>1</v>
      </c>
      <c r="L1002" s="25">
        <f t="shared" si="120"/>
        <v>1.6384739505544019</v>
      </c>
      <c r="M1002" s="25">
        <f t="shared" si="126"/>
        <v>0.83732718064372658</v>
      </c>
      <c r="N1002" s="25">
        <f t="shared" si="121"/>
        <v>0.83732718064372658</v>
      </c>
      <c r="O1002" s="25">
        <f t="shared" si="122"/>
        <v>-0.17754038804648672</v>
      </c>
      <c r="P1002" s="25">
        <f t="shared" si="123"/>
        <v>1</v>
      </c>
      <c r="Q1002" s="25">
        <f t="shared" si="127"/>
        <v>439.84663647809833</v>
      </c>
      <c r="R1002" s="25">
        <f t="shared" si="124"/>
        <v>8</v>
      </c>
      <c r="S1002" s="26">
        <f t="shared" si="125"/>
        <v>16</v>
      </c>
    </row>
    <row r="1003" spans="2:19" x14ac:dyDescent="0.3">
      <c r="B1003" s="24">
        <v>364499</v>
      </c>
      <c r="C1003" s="25">
        <v>19</v>
      </c>
      <c r="D1003" s="25">
        <v>2</v>
      </c>
      <c r="E1003" s="25">
        <v>0</v>
      </c>
      <c r="F1003" s="25">
        <v>0</v>
      </c>
      <c r="G1003" s="25">
        <v>19</v>
      </c>
      <c r="H1003" s="25">
        <v>5.4</v>
      </c>
      <c r="I1003" s="25">
        <v>0.37</v>
      </c>
      <c r="J1003" s="25">
        <v>0.65</v>
      </c>
      <c r="K1003" s="26">
        <v>1</v>
      </c>
      <c r="L1003" s="25">
        <f t="shared" si="120"/>
        <v>-0.18486173683407353</v>
      </c>
      <c r="M1003" s="25">
        <f t="shared" si="126"/>
        <v>0.45391573088951315</v>
      </c>
      <c r="N1003" s="25">
        <f t="shared" si="121"/>
        <v>0.45391573088951315</v>
      </c>
      <c r="O1003" s="25">
        <f t="shared" si="122"/>
        <v>-0.78984371295015254</v>
      </c>
      <c r="P1003" s="25">
        <f t="shared" si="123"/>
        <v>1</v>
      </c>
      <c r="Q1003" s="25">
        <f t="shared" si="127"/>
        <v>492.45698206843667</v>
      </c>
      <c r="R1003" s="25">
        <f t="shared" si="124"/>
        <v>7</v>
      </c>
      <c r="S1003" s="26">
        <f t="shared" si="125"/>
        <v>14</v>
      </c>
    </row>
    <row r="1004" spans="2:19" x14ac:dyDescent="0.3">
      <c r="B1004" s="24">
        <v>365041</v>
      </c>
      <c r="C1004" s="25">
        <v>33</v>
      </c>
      <c r="D1004" s="25">
        <v>1</v>
      </c>
      <c r="E1004" s="25">
        <v>9</v>
      </c>
      <c r="F1004" s="25">
        <v>4</v>
      </c>
      <c r="G1004" s="25">
        <v>22</v>
      </c>
      <c r="H1004" s="25">
        <v>14.6</v>
      </c>
      <c r="I1004" s="25">
        <v>0.73</v>
      </c>
      <c r="J1004" s="25">
        <v>2.48</v>
      </c>
      <c r="K1004" s="26">
        <v>0</v>
      </c>
      <c r="L1004" s="25">
        <f t="shared" si="120"/>
        <v>-1.4665720195570608</v>
      </c>
      <c r="M1004" s="25">
        <f t="shared" si="126"/>
        <v>0.18746420934759267</v>
      </c>
      <c r="N1004" s="25">
        <f t="shared" si="121"/>
        <v>0.81253579065240733</v>
      </c>
      <c r="O1004" s="25">
        <f t="shared" si="122"/>
        <v>-0.20759531571468665</v>
      </c>
      <c r="P1004" s="25">
        <f t="shared" si="123"/>
        <v>0</v>
      </c>
      <c r="Q1004" s="25">
        <f t="shared" si="127"/>
        <v>529.43932239509752</v>
      </c>
      <c r="R1004" s="25">
        <f t="shared" si="124"/>
        <v>6</v>
      </c>
      <c r="S1004" s="26">
        <f t="shared" si="125"/>
        <v>12</v>
      </c>
    </row>
    <row r="1005" spans="2:19" x14ac:dyDescent="0.3">
      <c r="B1005" s="24">
        <v>365043</v>
      </c>
      <c r="C1005" s="25">
        <v>55</v>
      </c>
      <c r="D1005" s="25">
        <v>5</v>
      </c>
      <c r="E1005" s="25">
        <v>11</v>
      </c>
      <c r="F1005" s="25">
        <v>16</v>
      </c>
      <c r="G1005" s="25">
        <v>88</v>
      </c>
      <c r="H1005" s="25">
        <v>12.9</v>
      </c>
      <c r="I1005" s="25">
        <v>5.1100000000000003</v>
      </c>
      <c r="J1005" s="25">
        <v>6.24</v>
      </c>
      <c r="K1005" s="26">
        <v>0</v>
      </c>
      <c r="L1005" s="25">
        <f t="shared" si="120"/>
        <v>-0.9841652133082941</v>
      </c>
      <c r="M1005" s="25">
        <f t="shared" si="126"/>
        <v>0.27206609655087521</v>
      </c>
      <c r="N1005" s="25">
        <f t="shared" si="121"/>
        <v>0.72793390344912479</v>
      </c>
      <c r="O1005" s="25">
        <f t="shared" si="122"/>
        <v>-0.31754502687277902</v>
      </c>
      <c r="P1005" s="25">
        <f t="shared" si="123"/>
        <v>0</v>
      </c>
      <c r="Q1005" s="25">
        <f t="shared" si="127"/>
        <v>515.5200046482762</v>
      </c>
      <c r="R1005" s="25">
        <f t="shared" si="124"/>
        <v>7</v>
      </c>
      <c r="S1005" s="26">
        <f t="shared" si="125"/>
        <v>13</v>
      </c>
    </row>
    <row r="1006" spans="2:19" x14ac:dyDescent="0.3">
      <c r="B1006" s="24">
        <v>365079</v>
      </c>
      <c r="C1006" s="25">
        <v>21</v>
      </c>
      <c r="D1006" s="25">
        <v>2</v>
      </c>
      <c r="E1006" s="25">
        <v>1</v>
      </c>
      <c r="F1006" s="25">
        <v>1</v>
      </c>
      <c r="G1006" s="25">
        <v>30</v>
      </c>
      <c r="H1006" s="25">
        <v>3.1</v>
      </c>
      <c r="I1006" s="25">
        <v>0.31</v>
      </c>
      <c r="J1006" s="25">
        <v>0.62</v>
      </c>
      <c r="K1006" s="26">
        <v>0</v>
      </c>
      <c r="L1006" s="25">
        <f t="shared" si="120"/>
        <v>-0.7427647647625929</v>
      </c>
      <c r="M1006" s="25">
        <f t="shared" si="126"/>
        <v>0.32239986192190734</v>
      </c>
      <c r="N1006" s="25">
        <f t="shared" si="121"/>
        <v>0.67760013807809272</v>
      </c>
      <c r="O1006" s="25">
        <f t="shared" si="122"/>
        <v>-0.3891979318690878</v>
      </c>
      <c r="P1006" s="25">
        <f t="shared" si="123"/>
        <v>0</v>
      </c>
      <c r="Q1006" s="25">
        <f t="shared" si="127"/>
        <v>508.55466024598337</v>
      </c>
      <c r="R1006" s="25">
        <f t="shared" si="124"/>
        <v>7</v>
      </c>
      <c r="S1006" s="26">
        <f t="shared" si="125"/>
        <v>14</v>
      </c>
    </row>
    <row r="1007" spans="2:19" x14ac:dyDescent="0.3">
      <c r="B1007" s="24">
        <v>365110</v>
      </c>
      <c r="C1007" s="25">
        <v>47</v>
      </c>
      <c r="D1007" s="25">
        <v>2</v>
      </c>
      <c r="E1007" s="25">
        <v>10</v>
      </c>
      <c r="F1007" s="25">
        <v>10</v>
      </c>
      <c r="G1007" s="25">
        <v>39</v>
      </c>
      <c r="H1007" s="25">
        <v>6.7</v>
      </c>
      <c r="I1007" s="25">
        <v>0.22</v>
      </c>
      <c r="J1007" s="25">
        <v>2.39</v>
      </c>
      <c r="K1007" s="26">
        <v>0</v>
      </c>
      <c r="L1007" s="25">
        <f t="shared" si="120"/>
        <v>-3.2712325253263699</v>
      </c>
      <c r="M1007" s="25">
        <f t="shared" si="126"/>
        <v>3.657137677316636E-2</v>
      </c>
      <c r="N1007" s="25">
        <f t="shared" si="121"/>
        <v>0.96342862322683365</v>
      </c>
      <c r="O1007" s="25">
        <f t="shared" si="122"/>
        <v>-3.7256874591253368E-2</v>
      </c>
      <c r="P1007" s="25">
        <f t="shared" si="123"/>
        <v>0</v>
      </c>
      <c r="Q1007" s="25">
        <f t="shared" si="127"/>
        <v>581.51081616251452</v>
      </c>
      <c r="R1007" s="25">
        <f t="shared" si="124"/>
        <v>5</v>
      </c>
      <c r="S1007" s="26">
        <f t="shared" si="125"/>
        <v>8</v>
      </c>
    </row>
    <row r="1008" spans="2:19" x14ac:dyDescent="0.3">
      <c r="B1008" s="24">
        <v>365120</v>
      </c>
      <c r="C1008" s="25">
        <v>24</v>
      </c>
      <c r="D1008" s="25">
        <v>2</v>
      </c>
      <c r="E1008" s="25">
        <v>2</v>
      </c>
      <c r="F1008" s="25">
        <v>0</v>
      </c>
      <c r="G1008" s="25">
        <v>32</v>
      </c>
      <c r="H1008" s="25">
        <v>11</v>
      </c>
      <c r="I1008" s="25">
        <v>0.83</v>
      </c>
      <c r="J1008" s="25">
        <v>2.69</v>
      </c>
      <c r="K1008" s="26">
        <v>0</v>
      </c>
      <c r="L1008" s="25">
        <f t="shared" si="120"/>
        <v>8.4630038525337181E-2</v>
      </c>
      <c r="M1008" s="25">
        <f t="shared" si="126"/>
        <v>0.52114489073303949</v>
      </c>
      <c r="N1008" s="25">
        <f t="shared" si="121"/>
        <v>0.47885510926696051</v>
      </c>
      <c r="O1008" s="25">
        <f t="shared" si="122"/>
        <v>-0.73635721320203484</v>
      </c>
      <c r="P1008" s="25">
        <f t="shared" si="123"/>
        <v>1</v>
      </c>
      <c r="Q1008" s="25">
        <f t="shared" si="127"/>
        <v>484.68109333139375</v>
      </c>
      <c r="R1008" s="25">
        <f t="shared" si="124"/>
        <v>7</v>
      </c>
      <c r="S1008" s="26">
        <f t="shared" si="125"/>
        <v>15</v>
      </c>
    </row>
    <row r="1009" spans="2:19" x14ac:dyDescent="0.3">
      <c r="B1009" s="24">
        <v>365178</v>
      </c>
      <c r="C1009" s="25">
        <v>25</v>
      </c>
      <c r="D1009" s="25">
        <v>2</v>
      </c>
      <c r="E1009" s="25">
        <v>5</v>
      </c>
      <c r="F1009" s="25">
        <v>2</v>
      </c>
      <c r="G1009" s="25">
        <v>36</v>
      </c>
      <c r="H1009" s="25">
        <v>2.7</v>
      </c>
      <c r="I1009" s="25">
        <v>0.53</v>
      </c>
      <c r="J1009" s="25">
        <v>0.44</v>
      </c>
      <c r="K1009" s="26">
        <v>0</v>
      </c>
      <c r="L1009" s="25">
        <f t="shared" si="120"/>
        <v>-1.7055413828886283</v>
      </c>
      <c r="M1009" s="25">
        <f t="shared" si="126"/>
        <v>0.15374291359605177</v>
      </c>
      <c r="N1009" s="25">
        <f t="shared" si="121"/>
        <v>0.84625708640394826</v>
      </c>
      <c r="O1009" s="25">
        <f t="shared" si="122"/>
        <v>-0.16693208090126171</v>
      </c>
      <c r="P1009" s="25">
        <f t="shared" si="123"/>
        <v>0</v>
      </c>
      <c r="Q1009" s="25">
        <f t="shared" si="127"/>
        <v>536.33452050773019</v>
      </c>
      <c r="R1009" s="25">
        <f t="shared" si="124"/>
        <v>6</v>
      </c>
      <c r="S1009" s="26">
        <f t="shared" si="125"/>
        <v>12</v>
      </c>
    </row>
    <row r="1010" spans="2:19" x14ac:dyDescent="0.3">
      <c r="B1010" s="24">
        <v>365216</v>
      </c>
      <c r="C1010" s="25">
        <v>34</v>
      </c>
      <c r="D1010" s="25">
        <v>4</v>
      </c>
      <c r="E1010" s="25">
        <v>9</v>
      </c>
      <c r="F1010" s="25">
        <v>7</v>
      </c>
      <c r="G1010" s="25">
        <v>58</v>
      </c>
      <c r="H1010" s="25">
        <v>28.4</v>
      </c>
      <c r="I1010" s="25">
        <v>4.97</v>
      </c>
      <c r="J1010" s="25">
        <v>11.5</v>
      </c>
      <c r="K1010" s="26">
        <v>1</v>
      </c>
      <c r="L1010" s="25">
        <f t="shared" si="120"/>
        <v>1.8720070467955339</v>
      </c>
      <c r="M1010" s="25">
        <f t="shared" si="126"/>
        <v>0.86669033874277324</v>
      </c>
      <c r="N1010" s="25">
        <f t="shared" si="121"/>
        <v>0.86669033874277324</v>
      </c>
      <c r="O1010" s="25">
        <f t="shared" si="122"/>
        <v>-0.1430735300797229</v>
      </c>
      <c r="P1010" s="25">
        <f t="shared" si="123"/>
        <v>1</v>
      </c>
      <c r="Q1010" s="25">
        <f t="shared" si="127"/>
        <v>433.10829587246633</v>
      </c>
      <c r="R1010" s="25">
        <f t="shared" si="124"/>
        <v>8</v>
      </c>
      <c r="S1010" s="26">
        <f t="shared" si="125"/>
        <v>16</v>
      </c>
    </row>
    <row r="1011" spans="2:19" x14ac:dyDescent="0.3">
      <c r="B1011" s="24">
        <v>365236</v>
      </c>
      <c r="C1011" s="25">
        <v>67</v>
      </c>
      <c r="D1011" s="25">
        <v>2</v>
      </c>
      <c r="E1011" s="25">
        <v>7</v>
      </c>
      <c r="F1011" s="25">
        <v>25</v>
      </c>
      <c r="G1011" s="25">
        <v>58</v>
      </c>
      <c r="H1011" s="25">
        <v>11.4</v>
      </c>
      <c r="I1011" s="25">
        <v>1.59</v>
      </c>
      <c r="J1011" s="25">
        <v>5.03</v>
      </c>
      <c r="K1011" s="26">
        <v>0</v>
      </c>
      <c r="L1011" s="25">
        <f t="shared" si="120"/>
        <v>-2.3253418106963917</v>
      </c>
      <c r="M1011" s="25">
        <f t="shared" si="126"/>
        <v>8.9045797304249191E-2</v>
      </c>
      <c r="N1011" s="25">
        <f t="shared" si="121"/>
        <v>0.91095420269575078</v>
      </c>
      <c r="O1011" s="25">
        <f t="shared" si="122"/>
        <v>-9.3262654450429638E-2</v>
      </c>
      <c r="P1011" s="25">
        <f t="shared" si="123"/>
        <v>0</v>
      </c>
      <c r="Q1011" s="25">
        <f t="shared" si="127"/>
        <v>554.21818007165257</v>
      </c>
      <c r="R1011" s="25">
        <f t="shared" si="124"/>
        <v>6</v>
      </c>
      <c r="S1011" s="26">
        <f t="shared" si="125"/>
        <v>10</v>
      </c>
    </row>
    <row r="1012" spans="2:19" x14ac:dyDescent="0.3">
      <c r="B1012" s="24">
        <v>365265</v>
      </c>
      <c r="C1012" s="25">
        <v>51</v>
      </c>
      <c r="D1012" s="25">
        <v>2</v>
      </c>
      <c r="E1012" s="25">
        <v>22</v>
      </c>
      <c r="F1012" s="25">
        <v>11</v>
      </c>
      <c r="G1012" s="25">
        <v>65</v>
      </c>
      <c r="H1012" s="25">
        <v>18.100000000000001</v>
      </c>
      <c r="I1012" s="25">
        <v>4.91</v>
      </c>
      <c r="J1012" s="25">
        <v>6.86</v>
      </c>
      <c r="K1012" s="26">
        <v>0</v>
      </c>
      <c r="L1012" s="25">
        <f t="shared" si="120"/>
        <v>-2.6294814225646759</v>
      </c>
      <c r="M1012" s="25">
        <f t="shared" si="126"/>
        <v>6.7264979044093023E-2</v>
      </c>
      <c r="N1012" s="25">
        <f t="shared" si="121"/>
        <v>0.93273502095590699</v>
      </c>
      <c r="O1012" s="25">
        <f t="shared" si="122"/>
        <v>-6.9634126022514023E-2</v>
      </c>
      <c r="P1012" s="25">
        <f t="shared" si="123"/>
        <v>0</v>
      </c>
      <c r="Q1012" s="25">
        <f t="shared" si="127"/>
        <v>562.99379401853889</v>
      </c>
      <c r="R1012" s="25">
        <f t="shared" si="124"/>
        <v>5</v>
      </c>
      <c r="S1012" s="26">
        <f t="shared" si="125"/>
        <v>10</v>
      </c>
    </row>
    <row r="1013" spans="2:19" x14ac:dyDescent="0.3">
      <c r="B1013" s="24">
        <v>365285</v>
      </c>
      <c r="C1013" s="25">
        <v>45</v>
      </c>
      <c r="D1013" s="25">
        <v>2</v>
      </c>
      <c r="E1013" s="25">
        <v>26</v>
      </c>
      <c r="F1013" s="25">
        <v>12</v>
      </c>
      <c r="G1013" s="25">
        <v>100</v>
      </c>
      <c r="H1013" s="25">
        <v>7.5</v>
      </c>
      <c r="I1013" s="25">
        <v>1.7</v>
      </c>
      <c r="J1013" s="25">
        <v>5.81</v>
      </c>
      <c r="K1013" s="26">
        <v>0</v>
      </c>
      <c r="L1013" s="25">
        <f t="shared" si="120"/>
        <v>-6.0327928832803543</v>
      </c>
      <c r="M1013" s="25">
        <f t="shared" si="126"/>
        <v>2.3930446877302542E-3</v>
      </c>
      <c r="N1013" s="25">
        <f t="shared" si="121"/>
        <v>0.99760695531226973</v>
      </c>
      <c r="O1013" s="25">
        <f t="shared" si="122"/>
        <v>-2.3959125954367963E-3</v>
      </c>
      <c r="P1013" s="25">
        <f t="shared" si="123"/>
        <v>0</v>
      </c>
      <c r="Q1013" s="25">
        <f t="shared" si="127"/>
        <v>661.19260257488304</v>
      </c>
      <c r="R1013" s="25">
        <f t="shared" si="124"/>
        <v>2</v>
      </c>
      <c r="S1013" s="26">
        <f t="shared" si="125"/>
        <v>2</v>
      </c>
    </row>
    <row r="1014" spans="2:19" x14ac:dyDescent="0.3">
      <c r="B1014" s="24">
        <v>365288</v>
      </c>
      <c r="C1014" s="25">
        <v>24</v>
      </c>
      <c r="D1014" s="25">
        <v>3</v>
      </c>
      <c r="E1014" s="25">
        <v>0</v>
      </c>
      <c r="F1014" s="25">
        <v>2</v>
      </c>
      <c r="G1014" s="25">
        <v>67</v>
      </c>
      <c r="H1014" s="25">
        <v>8.9</v>
      </c>
      <c r="I1014" s="25">
        <v>2.38</v>
      </c>
      <c r="J1014" s="25">
        <v>3.58</v>
      </c>
      <c r="K1014" s="26">
        <v>1</v>
      </c>
      <c r="L1014" s="25">
        <f t="shared" si="120"/>
        <v>0.97371915237550088</v>
      </c>
      <c r="M1014" s="25">
        <f t="shared" si="126"/>
        <v>0.72586018275285469</v>
      </c>
      <c r="N1014" s="25">
        <f t="shared" si="121"/>
        <v>0.72586018275285469</v>
      </c>
      <c r="O1014" s="25">
        <f t="shared" si="122"/>
        <v>-0.32039786844422546</v>
      </c>
      <c r="P1014" s="25">
        <f t="shared" si="123"/>
        <v>1</v>
      </c>
      <c r="Q1014" s="25">
        <f t="shared" si="127"/>
        <v>459.02740494927252</v>
      </c>
      <c r="R1014" s="25">
        <f t="shared" si="124"/>
        <v>8</v>
      </c>
      <c r="S1014" s="26">
        <f t="shared" si="125"/>
        <v>16</v>
      </c>
    </row>
    <row r="1015" spans="2:19" x14ac:dyDescent="0.3">
      <c r="B1015" s="24">
        <v>365291</v>
      </c>
      <c r="C1015" s="25">
        <v>46</v>
      </c>
      <c r="D1015" s="25">
        <v>2</v>
      </c>
      <c r="E1015" s="25">
        <v>23</v>
      </c>
      <c r="F1015" s="25">
        <v>14</v>
      </c>
      <c r="G1015" s="25">
        <v>99</v>
      </c>
      <c r="H1015" s="25">
        <v>3.2</v>
      </c>
      <c r="I1015" s="25">
        <v>1.81</v>
      </c>
      <c r="J1015" s="25">
        <v>1.36</v>
      </c>
      <c r="K1015" s="26">
        <v>0</v>
      </c>
      <c r="L1015" s="25">
        <f t="shared" si="120"/>
        <v>-5.9292031731415866</v>
      </c>
      <c r="M1015" s="25">
        <f t="shared" si="126"/>
        <v>2.6535411680604407E-3</v>
      </c>
      <c r="N1015" s="25">
        <f t="shared" si="121"/>
        <v>0.99734645883193951</v>
      </c>
      <c r="O1015" s="25">
        <f t="shared" si="122"/>
        <v>-2.657068048956498E-3</v>
      </c>
      <c r="P1015" s="25">
        <f t="shared" si="123"/>
        <v>0</v>
      </c>
      <c r="Q1015" s="25">
        <f t="shared" si="127"/>
        <v>658.20363543751</v>
      </c>
      <c r="R1015" s="25">
        <f t="shared" si="124"/>
        <v>2</v>
      </c>
      <c r="S1015" s="26">
        <f t="shared" si="125"/>
        <v>2</v>
      </c>
    </row>
    <row r="1016" spans="2:19" x14ac:dyDescent="0.3">
      <c r="B1016" s="24">
        <v>365383</v>
      </c>
      <c r="C1016" s="25">
        <v>53</v>
      </c>
      <c r="D1016" s="25">
        <v>4</v>
      </c>
      <c r="E1016" s="25">
        <v>3</v>
      </c>
      <c r="F1016" s="25">
        <v>15</v>
      </c>
      <c r="G1016" s="25">
        <v>50</v>
      </c>
      <c r="H1016" s="25">
        <v>15.7</v>
      </c>
      <c r="I1016" s="25">
        <v>4.25</v>
      </c>
      <c r="J1016" s="25">
        <v>3.6</v>
      </c>
      <c r="K1016" s="26">
        <v>0</v>
      </c>
      <c r="L1016" s="25">
        <f t="shared" si="120"/>
        <v>0.7517414398765363</v>
      </c>
      <c r="M1016" s="25">
        <f t="shared" si="126"/>
        <v>0.67955803174782603</v>
      </c>
      <c r="N1016" s="25">
        <f t="shared" si="121"/>
        <v>0.32044196825217397</v>
      </c>
      <c r="O1016" s="25">
        <f t="shared" si="122"/>
        <v>-1.1380540853117622</v>
      </c>
      <c r="P1016" s="25">
        <f t="shared" si="123"/>
        <v>1</v>
      </c>
      <c r="Q1016" s="25">
        <f t="shared" si="127"/>
        <v>465.43232766794642</v>
      </c>
      <c r="R1016" s="25">
        <f t="shared" si="124"/>
        <v>8</v>
      </c>
      <c r="S1016" s="26">
        <f t="shared" si="125"/>
        <v>15</v>
      </c>
    </row>
    <row r="1017" spans="2:19" x14ac:dyDescent="0.3">
      <c r="B1017" s="24">
        <v>365437</v>
      </c>
      <c r="C1017" s="25">
        <v>28</v>
      </c>
      <c r="D1017" s="25">
        <v>4</v>
      </c>
      <c r="E1017" s="25">
        <v>1</v>
      </c>
      <c r="F1017" s="25">
        <v>4</v>
      </c>
      <c r="G1017" s="25">
        <v>175</v>
      </c>
      <c r="H1017" s="25">
        <v>19.399999999999999</v>
      </c>
      <c r="I1017" s="25">
        <v>7.03</v>
      </c>
      <c r="J1017" s="25">
        <v>26.92</v>
      </c>
      <c r="K1017" s="26">
        <v>1</v>
      </c>
      <c r="L1017" s="25">
        <f t="shared" si="120"/>
        <v>4.4021108758467049</v>
      </c>
      <c r="M1017" s="25">
        <f t="shared" si="126"/>
        <v>0.98789683010032048</v>
      </c>
      <c r="N1017" s="25">
        <f t="shared" si="121"/>
        <v>0.98789683010032048</v>
      </c>
      <c r="O1017" s="25">
        <f t="shared" si="122"/>
        <v>-1.2177009662111842E-2</v>
      </c>
      <c r="P1017" s="25">
        <f t="shared" si="123"/>
        <v>1</v>
      </c>
      <c r="Q1017" s="25">
        <f t="shared" si="127"/>
        <v>360.10493299940663</v>
      </c>
      <c r="R1017" s="25">
        <f t="shared" si="124"/>
        <v>8</v>
      </c>
      <c r="S1017" s="26">
        <f t="shared" si="125"/>
        <v>17</v>
      </c>
    </row>
    <row r="1018" spans="2:19" x14ac:dyDescent="0.3">
      <c r="B1018" s="24">
        <v>365442</v>
      </c>
      <c r="C1018" s="25">
        <v>21</v>
      </c>
      <c r="D1018" s="25">
        <v>3</v>
      </c>
      <c r="E1018" s="25">
        <v>0</v>
      </c>
      <c r="F1018" s="25">
        <v>0</v>
      </c>
      <c r="G1018" s="25">
        <v>20</v>
      </c>
      <c r="H1018" s="25">
        <v>4</v>
      </c>
      <c r="I1018" s="25">
        <v>0.48</v>
      </c>
      <c r="J1018" s="25">
        <v>0.32</v>
      </c>
      <c r="K1018" s="26">
        <v>0</v>
      </c>
      <c r="L1018" s="25">
        <f t="shared" si="120"/>
        <v>-0.37692039419718187</v>
      </c>
      <c r="M1018" s="25">
        <f t="shared" si="126"/>
        <v>0.40686987474098762</v>
      </c>
      <c r="N1018" s="25">
        <f t="shared" si="121"/>
        <v>0.59313012525901243</v>
      </c>
      <c r="O1018" s="25">
        <f t="shared" si="122"/>
        <v>-0.52234146854419372</v>
      </c>
      <c r="P1018" s="25">
        <f t="shared" si="123"/>
        <v>1</v>
      </c>
      <c r="Q1018" s="25">
        <f t="shared" si="127"/>
        <v>497.99862336212607</v>
      </c>
      <c r="R1018" s="25">
        <f t="shared" si="124"/>
        <v>7</v>
      </c>
      <c r="S1018" s="26">
        <f t="shared" si="125"/>
        <v>14</v>
      </c>
    </row>
    <row r="1019" spans="2:19" x14ac:dyDescent="0.3">
      <c r="B1019" s="24">
        <v>365473</v>
      </c>
      <c r="C1019" s="25">
        <v>28</v>
      </c>
      <c r="D1019" s="25">
        <v>4</v>
      </c>
      <c r="E1019" s="25">
        <v>2</v>
      </c>
      <c r="F1019" s="25">
        <v>3</v>
      </c>
      <c r="G1019" s="25">
        <v>47</v>
      </c>
      <c r="H1019" s="25">
        <v>12.1</v>
      </c>
      <c r="I1019" s="25">
        <v>0.43</v>
      </c>
      <c r="J1019" s="25">
        <v>5.25</v>
      </c>
      <c r="K1019" s="26">
        <v>1</v>
      </c>
      <c r="L1019" s="25">
        <f t="shared" si="120"/>
        <v>-0.21856656704191171</v>
      </c>
      <c r="M1019" s="25">
        <f t="shared" si="126"/>
        <v>0.44557484948036052</v>
      </c>
      <c r="N1019" s="25">
        <f t="shared" si="121"/>
        <v>0.44557484948036052</v>
      </c>
      <c r="O1019" s="25">
        <f t="shared" si="122"/>
        <v>-0.80839003388216424</v>
      </c>
      <c r="P1019" s="25">
        <f t="shared" si="123"/>
        <v>1</v>
      </c>
      <c r="Q1019" s="25">
        <f t="shared" si="127"/>
        <v>493.42949786877062</v>
      </c>
      <c r="R1019" s="25">
        <f t="shared" si="124"/>
        <v>7</v>
      </c>
      <c r="S1019" s="26">
        <f t="shared" si="125"/>
        <v>14</v>
      </c>
    </row>
    <row r="1020" spans="2:19" x14ac:dyDescent="0.3">
      <c r="B1020" s="24">
        <v>365477</v>
      </c>
      <c r="C1020" s="25">
        <v>51</v>
      </c>
      <c r="D1020" s="25">
        <v>3</v>
      </c>
      <c r="E1020" s="25">
        <v>10</v>
      </c>
      <c r="F1020" s="25">
        <v>17</v>
      </c>
      <c r="G1020" s="25">
        <v>144</v>
      </c>
      <c r="H1020" s="25">
        <v>4.9000000000000004</v>
      </c>
      <c r="I1020" s="25">
        <v>0.92</v>
      </c>
      <c r="J1020" s="25">
        <v>6.14</v>
      </c>
      <c r="K1020" s="26">
        <v>0</v>
      </c>
      <c r="L1020" s="25">
        <f t="shared" si="120"/>
        <v>-3.3693285213965352</v>
      </c>
      <c r="M1020" s="25">
        <f t="shared" si="126"/>
        <v>3.3267897593184499E-2</v>
      </c>
      <c r="N1020" s="25">
        <f t="shared" si="121"/>
        <v>0.96673210240681551</v>
      </c>
      <c r="O1020" s="25">
        <f t="shared" si="122"/>
        <v>-3.3833861821709645E-2</v>
      </c>
      <c r="P1020" s="25">
        <f t="shared" si="123"/>
        <v>0</v>
      </c>
      <c r="Q1020" s="25">
        <f t="shared" si="127"/>
        <v>584.34126822352346</v>
      </c>
      <c r="R1020" s="25">
        <f t="shared" si="124"/>
        <v>5</v>
      </c>
      <c r="S1020" s="26">
        <f t="shared" si="125"/>
        <v>8</v>
      </c>
    </row>
    <row r="1021" spans="2:19" x14ac:dyDescent="0.3">
      <c r="B1021" s="24">
        <v>365484</v>
      </c>
      <c r="C1021" s="25">
        <v>27</v>
      </c>
      <c r="D1021" s="25">
        <v>4</v>
      </c>
      <c r="E1021" s="25">
        <v>1</v>
      </c>
      <c r="F1021" s="25">
        <v>4</v>
      </c>
      <c r="G1021" s="25">
        <v>38</v>
      </c>
      <c r="H1021" s="25">
        <v>8.1999999999999993</v>
      </c>
      <c r="I1021" s="25">
        <v>0.62</v>
      </c>
      <c r="J1021" s="25">
        <v>2.5</v>
      </c>
      <c r="K1021" s="26">
        <v>0</v>
      </c>
      <c r="L1021" s="25">
        <f t="shared" si="120"/>
        <v>-0.37296022846456994</v>
      </c>
      <c r="M1021" s="25">
        <f t="shared" si="126"/>
        <v>0.40782592013492736</v>
      </c>
      <c r="N1021" s="25">
        <f t="shared" si="121"/>
        <v>0.59217407986507264</v>
      </c>
      <c r="O1021" s="25">
        <f t="shared" si="122"/>
        <v>-0.52395463349734794</v>
      </c>
      <c r="P1021" s="25">
        <f t="shared" si="123"/>
        <v>1</v>
      </c>
      <c r="Q1021" s="25">
        <f t="shared" si="127"/>
        <v>497.88435713609385</v>
      </c>
      <c r="R1021" s="25">
        <f t="shared" si="124"/>
        <v>7</v>
      </c>
      <c r="S1021" s="26">
        <f t="shared" si="125"/>
        <v>14</v>
      </c>
    </row>
    <row r="1022" spans="2:19" x14ac:dyDescent="0.3">
      <c r="B1022" s="24">
        <v>365507</v>
      </c>
      <c r="C1022" s="25">
        <v>18</v>
      </c>
      <c r="D1022" s="25">
        <v>1</v>
      </c>
      <c r="E1022" s="25">
        <v>1</v>
      </c>
      <c r="F1022" s="25">
        <v>0</v>
      </c>
      <c r="G1022" s="25">
        <v>15</v>
      </c>
      <c r="H1022" s="25">
        <v>8.4</v>
      </c>
      <c r="I1022" s="25">
        <v>0.74</v>
      </c>
      <c r="J1022" s="25">
        <v>0.52</v>
      </c>
      <c r="K1022" s="26">
        <v>1</v>
      </c>
      <c r="L1022" s="25">
        <f t="shared" si="120"/>
        <v>0.13391444414676096</v>
      </c>
      <c r="M1022" s="25">
        <f t="shared" si="126"/>
        <v>0.53342866938263744</v>
      </c>
      <c r="N1022" s="25">
        <f t="shared" si="121"/>
        <v>0.53342866938263744</v>
      </c>
      <c r="O1022" s="25">
        <f t="shared" si="122"/>
        <v>-0.62842992030471678</v>
      </c>
      <c r="P1022" s="25">
        <f t="shared" si="123"/>
        <v>1</v>
      </c>
      <c r="Q1022" s="25">
        <f t="shared" si="127"/>
        <v>483.25904602003374</v>
      </c>
      <c r="R1022" s="25">
        <f t="shared" si="124"/>
        <v>7</v>
      </c>
      <c r="S1022" s="26">
        <f t="shared" si="125"/>
        <v>15</v>
      </c>
    </row>
    <row r="1023" spans="2:19" x14ac:dyDescent="0.3">
      <c r="B1023" s="24">
        <v>365536</v>
      </c>
      <c r="C1023" s="25">
        <v>62</v>
      </c>
      <c r="D1023" s="25">
        <v>1</v>
      </c>
      <c r="E1023" s="25">
        <v>32</v>
      </c>
      <c r="F1023" s="25">
        <v>19</v>
      </c>
      <c r="G1023" s="25">
        <v>86</v>
      </c>
      <c r="H1023" s="25">
        <v>6.3</v>
      </c>
      <c r="I1023" s="25">
        <v>3.97</v>
      </c>
      <c r="J1023" s="25">
        <v>1.45</v>
      </c>
      <c r="K1023" s="26">
        <v>0</v>
      </c>
      <c r="L1023" s="25">
        <f t="shared" si="120"/>
        <v>-7.0889652879438554</v>
      </c>
      <c r="M1023" s="25">
        <f t="shared" si="126"/>
        <v>8.3356472836659161E-4</v>
      </c>
      <c r="N1023" s="25">
        <f t="shared" si="121"/>
        <v>0.9991664352716334</v>
      </c>
      <c r="O1023" s="25">
        <f t="shared" si="122"/>
        <v>-8.3391233662753457E-4</v>
      </c>
      <c r="P1023" s="25">
        <f t="shared" si="123"/>
        <v>0</v>
      </c>
      <c r="Q1023" s="25">
        <f t="shared" si="127"/>
        <v>691.66729552180323</v>
      </c>
      <c r="R1023" s="25">
        <f t="shared" si="124"/>
        <v>1</v>
      </c>
      <c r="S1023" s="26">
        <f t="shared" si="125"/>
        <v>1</v>
      </c>
    </row>
    <row r="1024" spans="2:19" x14ac:dyDescent="0.3">
      <c r="B1024" s="24">
        <v>365579</v>
      </c>
      <c r="C1024" s="25">
        <v>30</v>
      </c>
      <c r="D1024" s="25">
        <v>2</v>
      </c>
      <c r="E1024" s="25">
        <v>3</v>
      </c>
      <c r="F1024" s="25">
        <v>1</v>
      </c>
      <c r="G1024" s="25">
        <v>35</v>
      </c>
      <c r="H1024" s="25">
        <v>16.100000000000001</v>
      </c>
      <c r="I1024" s="25">
        <v>0.81</v>
      </c>
      <c r="J1024" s="25">
        <v>4.82</v>
      </c>
      <c r="K1024" s="26">
        <v>1</v>
      </c>
      <c r="L1024" s="25">
        <f t="shared" si="120"/>
        <v>0.24903944148004703</v>
      </c>
      <c r="M1024" s="25">
        <f t="shared" si="126"/>
        <v>0.56194006059255375</v>
      </c>
      <c r="N1024" s="25">
        <f t="shared" si="121"/>
        <v>0.56194006059255375</v>
      </c>
      <c r="O1024" s="25">
        <f t="shared" si="122"/>
        <v>-0.57636008852626597</v>
      </c>
      <c r="P1024" s="25">
        <f t="shared" si="123"/>
        <v>1</v>
      </c>
      <c r="Q1024" s="25">
        <f t="shared" si="127"/>
        <v>479.93724085947883</v>
      </c>
      <c r="R1024" s="25">
        <f t="shared" si="124"/>
        <v>7</v>
      </c>
      <c r="S1024" s="26">
        <f t="shared" si="125"/>
        <v>15</v>
      </c>
    </row>
    <row r="1025" spans="2:19" x14ac:dyDescent="0.3">
      <c r="B1025" s="24">
        <v>365587</v>
      </c>
      <c r="C1025" s="25">
        <v>19</v>
      </c>
      <c r="D1025" s="25">
        <v>2</v>
      </c>
      <c r="E1025" s="25">
        <v>0</v>
      </c>
      <c r="F1025" s="25">
        <v>0</v>
      </c>
      <c r="G1025" s="25">
        <v>21</v>
      </c>
      <c r="H1025" s="25">
        <v>8.1</v>
      </c>
      <c r="I1025" s="25">
        <v>0.69</v>
      </c>
      <c r="J1025" s="25">
        <v>1.01</v>
      </c>
      <c r="K1025" s="26">
        <v>0</v>
      </c>
      <c r="L1025" s="25">
        <f t="shared" si="120"/>
        <v>0.24520972037747818</v>
      </c>
      <c r="M1025" s="25">
        <f t="shared" si="126"/>
        <v>0.56099710078427911</v>
      </c>
      <c r="N1025" s="25">
        <f t="shared" si="121"/>
        <v>0.43900289921572089</v>
      </c>
      <c r="O1025" s="25">
        <f t="shared" si="122"/>
        <v>-0.8232492617927345</v>
      </c>
      <c r="P1025" s="25">
        <f t="shared" si="123"/>
        <v>1</v>
      </c>
      <c r="Q1025" s="25">
        <f t="shared" si="127"/>
        <v>480.04774324920027</v>
      </c>
      <c r="R1025" s="25">
        <f t="shared" si="124"/>
        <v>7</v>
      </c>
      <c r="S1025" s="26">
        <f t="shared" si="125"/>
        <v>15</v>
      </c>
    </row>
    <row r="1026" spans="2:19" x14ac:dyDescent="0.3">
      <c r="B1026" s="24">
        <v>365613</v>
      </c>
      <c r="C1026" s="25">
        <v>76</v>
      </c>
      <c r="D1026" s="25">
        <v>3</v>
      </c>
      <c r="E1026" s="25">
        <v>12</v>
      </c>
      <c r="F1026" s="25">
        <v>27</v>
      </c>
      <c r="G1026" s="25">
        <v>53</v>
      </c>
      <c r="H1026" s="25">
        <v>6.2</v>
      </c>
      <c r="I1026" s="25">
        <v>1.28</v>
      </c>
      <c r="J1026" s="25">
        <v>2.0099999999999998</v>
      </c>
      <c r="K1026" s="26">
        <v>0</v>
      </c>
      <c r="L1026" s="25">
        <f t="shared" si="120"/>
        <v>-4.5114658423624272</v>
      </c>
      <c r="M1026" s="25">
        <f t="shared" si="126"/>
        <v>1.0863048180411953E-2</v>
      </c>
      <c r="N1026" s="25">
        <f t="shared" si="121"/>
        <v>0.98913695181958805</v>
      </c>
      <c r="O1026" s="25">
        <f t="shared" si="122"/>
        <v>-1.0922481901125009E-2</v>
      </c>
      <c r="P1026" s="25">
        <f t="shared" si="123"/>
        <v>0</v>
      </c>
      <c r="Q1026" s="25">
        <f t="shared" si="127"/>
        <v>617.29638426894121</v>
      </c>
      <c r="R1026" s="25">
        <f t="shared" si="124"/>
        <v>4</v>
      </c>
      <c r="S1026" s="26">
        <f t="shared" si="125"/>
        <v>5</v>
      </c>
    </row>
    <row r="1027" spans="2:19" x14ac:dyDescent="0.3">
      <c r="B1027" s="24">
        <v>365668</v>
      </c>
      <c r="C1027" s="25">
        <v>22</v>
      </c>
      <c r="D1027" s="25">
        <v>4</v>
      </c>
      <c r="E1027" s="25">
        <v>0</v>
      </c>
      <c r="F1027" s="25">
        <v>1</v>
      </c>
      <c r="G1027" s="25">
        <v>19</v>
      </c>
      <c r="H1027" s="25">
        <v>7.4</v>
      </c>
      <c r="I1027" s="25">
        <v>0.78</v>
      </c>
      <c r="J1027" s="25">
        <v>0.63</v>
      </c>
      <c r="K1027" s="26">
        <v>1</v>
      </c>
      <c r="L1027" s="25">
        <f t="shared" si="120"/>
        <v>3.8955654567942033E-3</v>
      </c>
      <c r="M1027" s="25">
        <f t="shared" si="126"/>
        <v>0.50097389013259874</v>
      </c>
      <c r="N1027" s="25">
        <f t="shared" si="121"/>
        <v>0.50097389013259874</v>
      </c>
      <c r="O1027" s="25">
        <f t="shared" si="122"/>
        <v>-0.69120129475912728</v>
      </c>
      <c r="P1027" s="25">
        <f t="shared" si="123"/>
        <v>1</v>
      </c>
      <c r="Q1027" s="25">
        <f t="shared" si="127"/>
        <v>487.01059774386619</v>
      </c>
      <c r="R1027" s="25">
        <f t="shared" si="124"/>
        <v>7</v>
      </c>
      <c r="S1027" s="26">
        <f t="shared" si="125"/>
        <v>15</v>
      </c>
    </row>
    <row r="1028" spans="2:19" x14ac:dyDescent="0.3">
      <c r="B1028" s="24">
        <v>365683</v>
      </c>
      <c r="C1028" s="25">
        <v>26</v>
      </c>
      <c r="D1028" s="25">
        <v>1</v>
      </c>
      <c r="E1028" s="25">
        <v>10</v>
      </c>
      <c r="F1028" s="25">
        <v>4</v>
      </c>
      <c r="G1028" s="25">
        <v>43</v>
      </c>
      <c r="H1028" s="25">
        <v>5.2</v>
      </c>
      <c r="I1028" s="25">
        <v>0.89</v>
      </c>
      <c r="J1028" s="25">
        <v>1.35</v>
      </c>
      <c r="K1028" s="26">
        <v>0</v>
      </c>
      <c r="L1028" s="25">
        <f t="shared" si="120"/>
        <v>-2.4260617031679774</v>
      </c>
      <c r="M1028" s="25">
        <f t="shared" si="126"/>
        <v>8.1206828289847849E-2</v>
      </c>
      <c r="N1028" s="25">
        <f t="shared" si="121"/>
        <v>0.91879317171015218</v>
      </c>
      <c r="O1028" s="25">
        <f t="shared" si="122"/>
        <v>-8.4694239942575897E-2</v>
      </c>
      <c r="P1028" s="25">
        <f t="shared" si="123"/>
        <v>0</v>
      </c>
      <c r="Q1028" s="25">
        <f t="shared" si="127"/>
        <v>557.12434177703847</v>
      </c>
      <c r="R1028" s="25">
        <f t="shared" si="124"/>
        <v>5</v>
      </c>
      <c r="S1028" s="26">
        <f t="shared" si="125"/>
        <v>10</v>
      </c>
    </row>
    <row r="1029" spans="2:19" x14ac:dyDescent="0.3">
      <c r="B1029" s="24">
        <v>365719</v>
      </c>
      <c r="C1029" s="25">
        <v>18</v>
      </c>
      <c r="D1029" s="25">
        <v>2</v>
      </c>
      <c r="E1029" s="25">
        <v>0</v>
      </c>
      <c r="F1029" s="25">
        <v>0</v>
      </c>
      <c r="G1029" s="25">
        <v>30</v>
      </c>
      <c r="H1029" s="25">
        <v>8.9</v>
      </c>
      <c r="I1029" s="25">
        <v>0.23</v>
      </c>
      <c r="J1029" s="25">
        <v>2.44</v>
      </c>
      <c r="K1029" s="26">
        <v>1</v>
      </c>
      <c r="L1029" s="25">
        <f t="shared" ref="L1029:L1092" si="128">$Y$4+SUMPRODUCT($Z$4:$AG$4,C1029:J1029)</f>
        <v>0.16653579510733879</v>
      </c>
      <c r="M1029" s="25">
        <f t="shared" si="126"/>
        <v>0.54153799131005143</v>
      </c>
      <c r="N1029" s="25">
        <f t="shared" ref="N1029:N1092" si="129">IF(K1029=1,M1029,(1-M1029))</f>
        <v>0.54153799131005143</v>
      </c>
      <c r="O1029" s="25">
        <f t="shared" ref="O1029:O1092" si="130">LN(N1029)</f>
        <v>-0.61334205561147004</v>
      </c>
      <c r="P1029" s="25">
        <f t="shared" ref="P1029:P1092" si="131">IF(M1029&gt;0.4,1,0)</f>
        <v>1</v>
      </c>
      <c r="Q1029" s="25">
        <f t="shared" si="127"/>
        <v>482.31779282155236</v>
      </c>
      <c r="R1029" s="25">
        <f t="shared" ref="R1029:R1092" si="132">VLOOKUP(M1029,$U$9:$W$16,3,TRUE)</f>
        <v>7</v>
      </c>
      <c r="S1029" s="26">
        <f t="shared" ref="S1029:S1092" si="133">VLOOKUP(M1029,$U$21:$W$37,3,TRUE)</f>
        <v>15</v>
      </c>
    </row>
    <row r="1030" spans="2:19" x14ac:dyDescent="0.3">
      <c r="B1030" s="24">
        <v>365731</v>
      </c>
      <c r="C1030" s="25">
        <v>30</v>
      </c>
      <c r="D1030" s="25">
        <v>3</v>
      </c>
      <c r="E1030" s="25">
        <v>3</v>
      </c>
      <c r="F1030" s="25">
        <v>2</v>
      </c>
      <c r="G1030" s="25">
        <v>23</v>
      </c>
      <c r="H1030" s="25">
        <v>6.5</v>
      </c>
      <c r="I1030" s="25">
        <v>0.28000000000000003</v>
      </c>
      <c r="J1030" s="25">
        <v>1.22</v>
      </c>
      <c r="K1030" s="26">
        <v>1</v>
      </c>
      <c r="L1030" s="25">
        <f t="shared" si="128"/>
        <v>-1.137593201163823</v>
      </c>
      <c r="M1030" s="25">
        <f t="shared" ref="M1030:M1093" si="134">EXP(L1030)/(1+EXP(L1030))</f>
        <v>0.24276252616944821</v>
      </c>
      <c r="N1030" s="25">
        <f t="shared" si="129"/>
        <v>0.24276252616944821</v>
      </c>
      <c r="O1030" s="25">
        <f t="shared" si="130"/>
        <v>-1.4156715720320119</v>
      </c>
      <c r="P1030" s="25">
        <f t="shared" si="131"/>
        <v>0</v>
      </c>
      <c r="Q1030" s="25">
        <f t="shared" si="127"/>
        <v>519.94700046706078</v>
      </c>
      <c r="R1030" s="25">
        <f t="shared" si="132"/>
        <v>6</v>
      </c>
      <c r="S1030" s="26">
        <f t="shared" si="133"/>
        <v>13</v>
      </c>
    </row>
    <row r="1031" spans="2:19" x14ac:dyDescent="0.3">
      <c r="B1031" s="24">
        <v>365743</v>
      </c>
      <c r="C1031" s="25">
        <v>36</v>
      </c>
      <c r="D1031" s="25">
        <v>2</v>
      </c>
      <c r="E1031" s="25">
        <v>5</v>
      </c>
      <c r="F1031" s="25">
        <v>9</v>
      </c>
      <c r="G1031" s="25">
        <v>50</v>
      </c>
      <c r="H1031" s="25">
        <v>0.8</v>
      </c>
      <c r="I1031" s="25">
        <v>0.12</v>
      </c>
      <c r="J1031" s="25">
        <v>0.28000000000000003</v>
      </c>
      <c r="K1031" s="26">
        <v>0</v>
      </c>
      <c r="L1031" s="25">
        <f t="shared" si="128"/>
        <v>-2.555625589269789</v>
      </c>
      <c r="M1031" s="25">
        <f t="shared" si="134"/>
        <v>7.2049461140609686E-2</v>
      </c>
      <c r="N1031" s="25">
        <f t="shared" si="129"/>
        <v>0.92795053885939027</v>
      </c>
      <c r="O1031" s="25">
        <f t="shared" si="130"/>
        <v>-7.4776846259258026E-2</v>
      </c>
      <c r="P1031" s="25">
        <f t="shared" si="131"/>
        <v>0</v>
      </c>
      <c r="Q1031" s="25">
        <f t="shared" si="127"/>
        <v>560.86276519023158</v>
      </c>
      <c r="R1031" s="25">
        <f t="shared" si="132"/>
        <v>5</v>
      </c>
      <c r="S1031" s="26">
        <f t="shared" si="133"/>
        <v>10</v>
      </c>
    </row>
    <row r="1032" spans="2:19" x14ac:dyDescent="0.3">
      <c r="B1032" s="24">
        <v>365773</v>
      </c>
      <c r="C1032" s="25">
        <v>30</v>
      </c>
      <c r="D1032" s="25">
        <v>2</v>
      </c>
      <c r="E1032" s="25">
        <v>5</v>
      </c>
      <c r="F1032" s="25">
        <v>6</v>
      </c>
      <c r="G1032" s="25">
        <v>36</v>
      </c>
      <c r="H1032" s="25">
        <v>4.7</v>
      </c>
      <c r="I1032" s="25">
        <v>0.77</v>
      </c>
      <c r="J1032" s="25">
        <v>0.92</v>
      </c>
      <c r="K1032" s="26">
        <v>0</v>
      </c>
      <c r="L1032" s="25">
        <f t="shared" si="128"/>
        <v>-1.618838115535548</v>
      </c>
      <c r="M1032" s="25">
        <f t="shared" si="134"/>
        <v>0.16536517059546113</v>
      </c>
      <c r="N1032" s="25">
        <f t="shared" si="129"/>
        <v>0.83463482940453892</v>
      </c>
      <c r="O1032" s="25">
        <f t="shared" si="130"/>
        <v>-0.18076097984240427</v>
      </c>
      <c r="P1032" s="25">
        <f t="shared" si="131"/>
        <v>0</v>
      </c>
      <c r="Q1032" s="25">
        <f t="shared" si="127"/>
        <v>533.83279310185117</v>
      </c>
      <c r="R1032" s="25">
        <f t="shared" si="132"/>
        <v>6</v>
      </c>
      <c r="S1032" s="26">
        <f t="shared" si="133"/>
        <v>12</v>
      </c>
    </row>
    <row r="1033" spans="2:19" x14ac:dyDescent="0.3">
      <c r="B1033" s="24">
        <v>365817</v>
      </c>
      <c r="C1033" s="25">
        <v>42</v>
      </c>
      <c r="D1033" s="25">
        <v>2</v>
      </c>
      <c r="E1033" s="25">
        <v>17</v>
      </c>
      <c r="F1033" s="25">
        <v>7</v>
      </c>
      <c r="G1033" s="25">
        <v>66</v>
      </c>
      <c r="H1033" s="25">
        <v>8.6999999999999993</v>
      </c>
      <c r="I1033" s="25">
        <v>1.73</v>
      </c>
      <c r="J1033" s="25">
        <v>4.01</v>
      </c>
      <c r="K1033" s="26">
        <v>0</v>
      </c>
      <c r="L1033" s="25">
        <f t="shared" si="128"/>
        <v>-3.6879260229924742</v>
      </c>
      <c r="M1033" s="25">
        <f t="shared" si="134"/>
        <v>2.4412941429845996E-2</v>
      </c>
      <c r="N1033" s="25">
        <f t="shared" si="129"/>
        <v>0.97558705857015404</v>
      </c>
      <c r="O1033" s="25">
        <f t="shared" si="130"/>
        <v>-2.4715877826597118E-2</v>
      </c>
      <c r="P1033" s="25">
        <f t="shared" si="131"/>
        <v>0</v>
      </c>
      <c r="Q1033" s="25">
        <f t="shared" ref="Q1033:Q1096" si="135">28.8539*LN((1-M1033)/(M1033))+487.123</f>
        <v>593.53404867482254</v>
      </c>
      <c r="R1033" s="25">
        <f t="shared" si="132"/>
        <v>4</v>
      </c>
      <c r="S1033" s="26">
        <f t="shared" si="133"/>
        <v>7</v>
      </c>
    </row>
    <row r="1034" spans="2:19" x14ac:dyDescent="0.3">
      <c r="B1034" s="24">
        <v>365823</v>
      </c>
      <c r="C1034" s="25">
        <v>18</v>
      </c>
      <c r="D1034" s="25">
        <v>2</v>
      </c>
      <c r="E1034" s="25">
        <v>0</v>
      </c>
      <c r="F1034" s="25">
        <v>0</v>
      </c>
      <c r="G1034" s="25">
        <v>30</v>
      </c>
      <c r="H1034" s="25">
        <v>3.8</v>
      </c>
      <c r="I1034" s="25">
        <v>0.56999999999999995</v>
      </c>
      <c r="J1034" s="25">
        <v>0.56999999999999995</v>
      </c>
      <c r="K1034" s="26">
        <v>0</v>
      </c>
      <c r="L1034" s="25">
        <f t="shared" si="128"/>
        <v>-0.227496626484499</v>
      </c>
      <c r="M1034" s="25">
        <f t="shared" si="134"/>
        <v>0.44336987263769534</v>
      </c>
      <c r="N1034" s="25">
        <f t="shared" si="129"/>
        <v>0.55663012736230466</v>
      </c>
      <c r="O1034" s="25">
        <f t="shared" si="130"/>
        <v>-0.58585430386272397</v>
      </c>
      <c r="P1034" s="25">
        <f t="shared" si="131"/>
        <v>1</v>
      </c>
      <c r="Q1034" s="25">
        <f t="shared" si="135"/>
        <v>493.68716491092107</v>
      </c>
      <c r="R1034" s="25">
        <f t="shared" si="132"/>
        <v>7</v>
      </c>
      <c r="S1034" s="26">
        <f t="shared" si="133"/>
        <v>14</v>
      </c>
    </row>
    <row r="1035" spans="2:19" x14ac:dyDescent="0.3">
      <c r="B1035" s="24">
        <v>365839</v>
      </c>
      <c r="C1035" s="25">
        <v>28</v>
      </c>
      <c r="D1035" s="25">
        <v>4</v>
      </c>
      <c r="E1035" s="25">
        <v>3</v>
      </c>
      <c r="F1035" s="25">
        <v>3</v>
      </c>
      <c r="G1035" s="25">
        <v>47</v>
      </c>
      <c r="H1035" s="25">
        <v>17.7</v>
      </c>
      <c r="I1035" s="25">
        <v>2.79</v>
      </c>
      <c r="J1035" s="25">
        <v>5.53</v>
      </c>
      <c r="K1035" s="26">
        <v>1</v>
      </c>
      <c r="L1035" s="25">
        <f t="shared" si="128"/>
        <v>1.2381272087233837</v>
      </c>
      <c r="M1035" s="25">
        <f t="shared" si="134"/>
        <v>0.77523785961595282</v>
      </c>
      <c r="N1035" s="25">
        <f t="shared" si="129"/>
        <v>0.77523785961595282</v>
      </c>
      <c r="O1035" s="25">
        <f t="shared" si="130"/>
        <v>-0.25458538108427092</v>
      </c>
      <c r="P1035" s="25">
        <f t="shared" si="131"/>
        <v>1</v>
      </c>
      <c r="Q1035" s="25">
        <f t="shared" si="135"/>
        <v>451.39820133221633</v>
      </c>
      <c r="R1035" s="25">
        <f t="shared" si="132"/>
        <v>8</v>
      </c>
      <c r="S1035" s="26">
        <f t="shared" si="133"/>
        <v>16</v>
      </c>
    </row>
    <row r="1036" spans="2:19" x14ac:dyDescent="0.3">
      <c r="B1036" s="24">
        <v>365866</v>
      </c>
      <c r="C1036" s="25">
        <v>48</v>
      </c>
      <c r="D1036" s="25">
        <v>2</v>
      </c>
      <c r="E1036" s="25">
        <v>22</v>
      </c>
      <c r="F1036" s="25">
        <v>16</v>
      </c>
      <c r="G1036" s="25">
        <v>196</v>
      </c>
      <c r="H1036" s="25">
        <v>10.5</v>
      </c>
      <c r="I1036" s="25">
        <v>7.41</v>
      </c>
      <c r="J1036" s="25">
        <v>13.17</v>
      </c>
      <c r="K1036" s="26">
        <v>1</v>
      </c>
      <c r="L1036" s="25">
        <f t="shared" si="128"/>
        <v>-2.1127988365045969</v>
      </c>
      <c r="M1036" s="25">
        <f t="shared" si="134"/>
        <v>0.10785905164841215</v>
      </c>
      <c r="N1036" s="25">
        <f t="shared" si="129"/>
        <v>0.10785905164841215</v>
      </c>
      <c r="O1036" s="25">
        <f t="shared" si="130"/>
        <v>-2.2269299815425261</v>
      </c>
      <c r="P1036" s="25">
        <f t="shared" si="131"/>
        <v>0</v>
      </c>
      <c r="Q1036" s="25">
        <f t="shared" si="135"/>
        <v>548.08548634861995</v>
      </c>
      <c r="R1036" s="25">
        <f t="shared" si="132"/>
        <v>6</v>
      </c>
      <c r="S1036" s="26">
        <f t="shared" si="133"/>
        <v>11</v>
      </c>
    </row>
    <row r="1037" spans="2:19" x14ac:dyDescent="0.3">
      <c r="B1037" s="24">
        <v>365869</v>
      </c>
      <c r="C1037" s="25">
        <v>42</v>
      </c>
      <c r="D1037" s="25">
        <v>1</v>
      </c>
      <c r="E1037" s="25">
        <v>1</v>
      </c>
      <c r="F1037" s="25">
        <v>10</v>
      </c>
      <c r="G1037" s="25">
        <v>32</v>
      </c>
      <c r="H1037" s="25">
        <v>7.2</v>
      </c>
      <c r="I1037" s="25">
        <v>0.69</v>
      </c>
      <c r="J1037" s="25">
        <v>1.62</v>
      </c>
      <c r="K1037" s="26">
        <v>1</v>
      </c>
      <c r="L1037" s="25">
        <f t="shared" si="128"/>
        <v>-0.82207105421732996</v>
      </c>
      <c r="M1037" s="25">
        <f t="shared" si="134"/>
        <v>0.30532420950197442</v>
      </c>
      <c r="N1037" s="25">
        <f t="shared" si="129"/>
        <v>0.30532420950197442</v>
      </c>
      <c r="O1037" s="25">
        <f t="shared" si="130"/>
        <v>-1.1863810849663305</v>
      </c>
      <c r="P1037" s="25">
        <f t="shared" si="131"/>
        <v>0</v>
      </c>
      <c r="Q1037" s="25">
        <f t="shared" si="135"/>
        <v>510.84295599128143</v>
      </c>
      <c r="R1037" s="25">
        <f t="shared" si="132"/>
        <v>7</v>
      </c>
      <c r="S1037" s="26">
        <f t="shared" si="133"/>
        <v>13</v>
      </c>
    </row>
    <row r="1038" spans="2:19" x14ac:dyDescent="0.3">
      <c r="B1038" s="24">
        <v>365873</v>
      </c>
      <c r="C1038" s="25">
        <v>33</v>
      </c>
      <c r="D1038" s="25">
        <v>4</v>
      </c>
      <c r="E1038" s="25">
        <v>7</v>
      </c>
      <c r="F1038" s="25">
        <v>6</v>
      </c>
      <c r="G1038" s="25">
        <v>63</v>
      </c>
      <c r="H1038" s="25">
        <v>16.7</v>
      </c>
      <c r="I1038" s="25">
        <v>2.81</v>
      </c>
      <c r="J1038" s="25">
        <v>7.71</v>
      </c>
      <c r="K1038" s="26">
        <v>0</v>
      </c>
      <c r="L1038" s="25">
        <f t="shared" si="128"/>
        <v>9.5623244656972028E-2</v>
      </c>
      <c r="M1038" s="25">
        <f t="shared" si="134"/>
        <v>0.52388761196557831</v>
      </c>
      <c r="N1038" s="25">
        <f t="shared" si="129"/>
        <v>0.47611238803442169</v>
      </c>
      <c r="O1038" s="25">
        <f t="shared" si="130"/>
        <v>-0.74210134330412292</v>
      </c>
      <c r="P1038" s="25">
        <f t="shared" si="131"/>
        <v>1</v>
      </c>
      <c r="Q1038" s="25">
        <f t="shared" si="135"/>
        <v>484.36389646099218</v>
      </c>
      <c r="R1038" s="25">
        <f t="shared" si="132"/>
        <v>7</v>
      </c>
      <c r="S1038" s="26">
        <f t="shared" si="133"/>
        <v>15</v>
      </c>
    </row>
    <row r="1039" spans="2:19" x14ac:dyDescent="0.3">
      <c r="B1039" s="24">
        <v>365895</v>
      </c>
      <c r="C1039" s="25">
        <v>26</v>
      </c>
      <c r="D1039" s="25">
        <v>4</v>
      </c>
      <c r="E1039" s="25">
        <v>1</v>
      </c>
      <c r="F1039" s="25">
        <v>3</v>
      </c>
      <c r="G1039" s="25">
        <v>35</v>
      </c>
      <c r="H1039" s="25">
        <v>7</v>
      </c>
      <c r="I1039" s="25">
        <v>1.21</v>
      </c>
      <c r="J1039" s="25">
        <v>1.24</v>
      </c>
      <c r="K1039" s="26">
        <v>0</v>
      </c>
      <c r="L1039" s="25">
        <f t="shared" si="128"/>
        <v>-0.19117466562951901</v>
      </c>
      <c r="M1039" s="25">
        <f t="shared" si="134"/>
        <v>0.45235136614630156</v>
      </c>
      <c r="N1039" s="25">
        <f t="shared" si="129"/>
        <v>0.54764863385369844</v>
      </c>
      <c r="O1039" s="25">
        <f t="shared" si="130"/>
        <v>-0.60212137677643796</v>
      </c>
      <c r="P1039" s="25">
        <f t="shared" si="131"/>
        <v>1</v>
      </c>
      <c r="Q1039" s="25">
        <f t="shared" si="135"/>
        <v>492.6391346846076</v>
      </c>
      <c r="R1039" s="25">
        <f t="shared" si="132"/>
        <v>7</v>
      </c>
      <c r="S1039" s="26">
        <f t="shared" si="133"/>
        <v>14</v>
      </c>
    </row>
    <row r="1040" spans="2:19" x14ac:dyDescent="0.3">
      <c r="B1040" s="24">
        <v>365943</v>
      </c>
      <c r="C1040" s="25">
        <v>24</v>
      </c>
      <c r="D1040" s="25">
        <v>4</v>
      </c>
      <c r="E1040" s="25">
        <v>0</v>
      </c>
      <c r="F1040" s="25">
        <v>2</v>
      </c>
      <c r="G1040" s="25">
        <v>25</v>
      </c>
      <c r="H1040" s="25">
        <v>5.7</v>
      </c>
      <c r="I1040" s="25">
        <v>0.64</v>
      </c>
      <c r="J1040" s="25">
        <v>0.79</v>
      </c>
      <c r="K1040" s="26">
        <v>1</v>
      </c>
      <c r="L1040" s="25">
        <f t="shared" si="128"/>
        <v>-0.3022155696211134</v>
      </c>
      <c r="M1040" s="25">
        <f t="shared" si="134"/>
        <v>0.42501595831594141</v>
      </c>
      <c r="N1040" s="25">
        <f t="shared" si="129"/>
        <v>0.42501595831594141</v>
      </c>
      <c r="O1040" s="25">
        <f t="shared" si="130"/>
        <v>-0.85562856178397984</v>
      </c>
      <c r="P1040" s="25">
        <f t="shared" si="131"/>
        <v>1</v>
      </c>
      <c r="Q1040" s="25">
        <f t="shared" si="135"/>
        <v>495.84309782429062</v>
      </c>
      <c r="R1040" s="25">
        <f t="shared" si="132"/>
        <v>7</v>
      </c>
      <c r="S1040" s="26">
        <f t="shared" si="133"/>
        <v>14</v>
      </c>
    </row>
    <row r="1041" spans="2:19" x14ac:dyDescent="0.3">
      <c r="B1041" s="24">
        <v>365968</v>
      </c>
      <c r="C1041" s="25">
        <v>39</v>
      </c>
      <c r="D1041" s="25">
        <v>4</v>
      </c>
      <c r="E1041" s="25">
        <v>4</v>
      </c>
      <c r="F1041" s="25">
        <v>6</v>
      </c>
      <c r="G1041" s="25">
        <v>84</v>
      </c>
      <c r="H1041" s="25">
        <v>3.4</v>
      </c>
      <c r="I1041" s="25">
        <v>0.41</v>
      </c>
      <c r="J1041" s="25">
        <v>2.4500000000000002</v>
      </c>
      <c r="K1041" s="26">
        <v>0</v>
      </c>
      <c r="L1041" s="25">
        <f t="shared" si="128"/>
        <v>-1.9448119177216387</v>
      </c>
      <c r="M1041" s="25">
        <f t="shared" si="134"/>
        <v>0.12512016852985938</v>
      </c>
      <c r="N1041" s="25">
        <f t="shared" si="129"/>
        <v>0.87487983147014059</v>
      </c>
      <c r="O1041" s="25">
        <f t="shared" si="130"/>
        <v>-0.13366873751859726</v>
      </c>
      <c r="P1041" s="25">
        <f t="shared" si="131"/>
        <v>0</v>
      </c>
      <c r="Q1041" s="25">
        <f t="shared" si="135"/>
        <v>543.23840859274833</v>
      </c>
      <c r="R1041" s="25">
        <f t="shared" si="132"/>
        <v>6</v>
      </c>
      <c r="S1041" s="26">
        <f t="shared" si="133"/>
        <v>11</v>
      </c>
    </row>
    <row r="1042" spans="2:19" x14ac:dyDescent="0.3">
      <c r="B1042" s="24">
        <v>365987</v>
      </c>
      <c r="C1042" s="25">
        <v>19</v>
      </c>
      <c r="D1042" s="25">
        <v>2</v>
      </c>
      <c r="E1042" s="25">
        <v>1</v>
      </c>
      <c r="F1042" s="25">
        <v>0</v>
      </c>
      <c r="G1042" s="25">
        <v>20</v>
      </c>
      <c r="H1042" s="25">
        <v>25.9</v>
      </c>
      <c r="I1042" s="25">
        <v>1.94</v>
      </c>
      <c r="J1042" s="25">
        <v>3.24</v>
      </c>
      <c r="K1042" s="26">
        <v>1</v>
      </c>
      <c r="L1042" s="25">
        <f t="shared" si="128"/>
        <v>2.4402833744636832</v>
      </c>
      <c r="M1042" s="25">
        <f t="shared" si="134"/>
        <v>0.91984798285232849</v>
      </c>
      <c r="N1042" s="25">
        <f t="shared" si="129"/>
        <v>0.91984798285232849</v>
      </c>
      <c r="O1042" s="25">
        <f t="shared" si="130"/>
        <v>-8.3546858622105591E-2</v>
      </c>
      <c r="P1042" s="25">
        <f t="shared" si="131"/>
        <v>1</v>
      </c>
      <c r="Q1042" s="25">
        <f t="shared" si="135"/>
        <v>416.71130754156229</v>
      </c>
      <c r="R1042" s="25">
        <f t="shared" si="132"/>
        <v>8</v>
      </c>
      <c r="S1042" s="26">
        <f t="shared" si="133"/>
        <v>16</v>
      </c>
    </row>
    <row r="1043" spans="2:19" x14ac:dyDescent="0.3">
      <c r="B1043" s="24">
        <v>366021</v>
      </c>
      <c r="C1043" s="25">
        <v>18</v>
      </c>
      <c r="D1043" s="25">
        <v>2</v>
      </c>
      <c r="E1043" s="25">
        <v>0</v>
      </c>
      <c r="F1043" s="25">
        <v>0</v>
      </c>
      <c r="G1043" s="25">
        <v>27</v>
      </c>
      <c r="H1043" s="25">
        <v>6.1</v>
      </c>
      <c r="I1043" s="25">
        <v>0.92</v>
      </c>
      <c r="J1043" s="25">
        <v>0.73</v>
      </c>
      <c r="K1043" s="26">
        <v>0</v>
      </c>
      <c r="L1043" s="25">
        <f t="shared" si="128"/>
        <v>0.17080413587332149</v>
      </c>
      <c r="M1043" s="25">
        <f t="shared" si="134"/>
        <v>0.54259752242455783</v>
      </c>
      <c r="N1043" s="25">
        <f t="shared" si="129"/>
        <v>0.45740247757544217</v>
      </c>
      <c r="O1043" s="25">
        <f t="shared" si="130"/>
        <v>-0.78219158075871187</v>
      </c>
      <c r="P1043" s="25">
        <f t="shared" si="131"/>
        <v>1</v>
      </c>
      <c r="Q1043" s="25">
        <f t="shared" si="135"/>
        <v>482.19463454392474</v>
      </c>
      <c r="R1043" s="25">
        <f t="shared" si="132"/>
        <v>7</v>
      </c>
      <c r="S1043" s="26">
        <f t="shared" si="133"/>
        <v>15</v>
      </c>
    </row>
    <row r="1044" spans="2:19" x14ac:dyDescent="0.3">
      <c r="B1044" s="24">
        <v>366054</v>
      </c>
      <c r="C1044" s="25">
        <v>23</v>
      </c>
      <c r="D1044" s="25">
        <v>4</v>
      </c>
      <c r="E1044" s="25">
        <v>0</v>
      </c>
      <c r="F1044" s="25">
        <v>1</v>
      </c>
      <c r="G1044" s="25">
        <v>47</v>
      </c>
      <c r="H1044" s="25">
        <v>12.3</v>
      </c>
      <c r="I1044" s="25">
        <v>2.1</v>
      </c>
      <c r="J1044" s="25">
        <v>3.68</v>
      </c>
      <c r="K1044" s="26">
        <v>1</v>
      </c>
      <c r="L1044" s="25">
        <f t="shared" si="128"/>
        <v>1.1786498450407756</v>
      </c>
      <c r="M1044" s="25">
        <f t="shared" si="134"/>
        <v>0.76470495547401207</v>
      </c>
      <c r="N1044" s="25">
        <f t="shared" si="129"/>
        <v>0.76470495547401207</v>
      </c>
      <c r="O1044" s="25">
        <f t="shared" si="130"/>
        <v>-0.26826519866785964</v>
      </c>
      <c r="P1044" s="25">
        <f t="shared" si="131"/>
        <v>1</v>
      </c>
      <c r="Q1044" s="25">
        <f t="shared" si="135"/>
        <v>453.11435523617797</v>
      </c>
      <c r="R1044" s="25">
        <f t="shared" si="132"/>
        <v>8</v>
      </c>
      <c r="S1044" s="26">
        <f t="shared" si="133"/>
        <v>16</v>
      </c>
    </row>
    <row r="1045" spans="2:19" x14ac:dyDescent="0.3">
      <c r="B1045" s="24">
        <v>366058</v>
      </c>
      <c r="C1045" s="25">
        <v>23</v>
      </c>
      <c r="D1045" s="25">
        <v>1</v>
      </c>
      <c r="E1045" s="25">
        <v>5</v>
      </c>
      <c r="F1045" s="25">
        <v>1</v>
      </c>
      <c r="G1045" s="25">
        <v>26</v>
      </c>
      <c r="H1045" s="25">
        <v>5.3</v>
      </c>
      <c r="I1045" s="25">
        <v>0.14000000000000001</v>
      </c>
      <c r="J1045" s="25">
        <v>1.24</v>
      </c>
      <c r="K1045" s="26">
        <v>1</v>
      </c>
      <c r="L1045" s="25">
        <f t="shared" si="128"/>
        <v>-1.4841705433315675</v>
      </c>
      <c r="M1045" s="25">
        <f t="shared" si="134"/>
        <v>0.18479830962964253</v>
      </c>
      <c r="N1045" s="25">
        <f t="shared" si="129"/>
        <v>0.18479830962964253</v>
      </c>
      <c r="O1045" s="25">
        <f t="shared" si="130"/>
        <v>-1.6884902668421315</v>
      </c>
      <c r="P1045" s="25">
        <f t="shared" si="131"/>
        <v>0</v>
      </c>
      <c r="Q1045" s="25">
        <f t="shared" si="135"/>
        <v>529.94710844023473</v>
      </c>
      <c r="R1045" s="25">
        <f t="shared" si="132"/>
        <v>6</v>
      </c>
      <c r="S1045" s="26">
        <f t="shared" si="133"/>
        <v>12</v>
      </c>
    </row>
    <row r="1046" spans="2:19" x14ac:dyDescent="0.3">
      <c r="B1046" s="24">
        <v>366075</v>
      </c>
      <c r="C1046" s="25">
        <v>30</v>
      </c>
      <c r="D1046" s="25">
        <v>3</v>
      </c>
      <c r="E1046" s="25">
        <v>1</v>
      </c>
      <c r="F1046" s="25">
        <v>4</v>
      </c>
      <c r="G1046" s="25">
        <v>26</v>
      </c>
      <c r="H1046" s="25">
        <v>8</v>
      </c>
      <c r="I1046" s="25">
        <v>1.18</v>
      </c>
      <c r="J1046" s="25">
        <v>0.9</v>
      </c>
      <c r="K1046" s="26">
        <v>0</v>
      </c>
      <c r="L1046" s="25">
        <f t="shared" si="128"/>
        <v>-0.18185416875391766</v>
      </c>
      <c r="M1046" s="25">
        <f t="shared" si="134"/>
        <v>0.45466133833752642</v>
      </c>
      <c r="N1046" s="25">
        <f t="shared" si="129"/>
        <v>0.54533866166247358</v>
      </c>
      <c r="O1046" s="25">
        <f t="shared" si="130"/>
        <v>-0.60634827976058103</v>
      </c>
      <c r="P1046" s="25">
        <f t="shared" si="131"/>
        <v>1</v>
      </c>
      <c r="Q1046" s="25">
        <f t="shared" si="135"/>
        <v>492.37020199980867</v>
      </c>
      <c r="R1046" s="25">
        <f t="shared" si="132"/>
        <v>7</v>
      </c>
      <c r="S1046" s="26">
        <f t="shared" si="133"/>
        <v>14</v>
      </c>
    </row>
    <row r="1047" spans="2:19" x14ac:dyDescent="0.3">
      <c r="B1047" s="24">
        <v>366079</v>
      </c>
      <c r="C1047" s="25">
        <v>59</v>
      </c>
      <c r="D1047" s="25">
        <v>1</v>
      </c>
      <c r="E1047" s="25">
        <v>3</v>
      </c>
      <c r="F1047" s="25">
        <v>14</v>
      </c>
      <c r="G1047" s="25">
        <v>44</v>
      </c>
      <c r="H1047" s="25">
        <v>16.600000000000001</v>
      </c>
      <c r="I1047" s="25">
        <v>5.47</v>
      </c>
      <c r="J1047" s="25">
        <v>1.83</v>
      </c>
      <c r="K1047" s="26">
        <v>1</v>
      </c>
      <c r="L1047" s="25">
        <f t="shared" si="128"/>
        <v>1.4367673490041595</v>
      </c>
      <c r="M1047" s="25">
        <f t="shared" si="134"/>
        <v>0.80795355769783728</v>
      </c>
      <c r="N1047" s="25">
        <f t="shared" si="129"/>
        <v>0.80795355769783728</v>
      </c>
      <c r="O1047" s="25">
        <f t="shared" si="130"/>
        <v>-0.21325070020970682</v>
      </c>
      <c r="P1047" s="25">
        <f t="shared" si="131"/>
        <v>1</v>
      </c>
      <c r="Q1047" s="25">
        <f t="shared" si="135"/>
        <v>445.66665858856891</v>
      </c>
      <c r="R1047" s="25">
        <f t="shared" si="132"/>
        <v>8</v>
      </c>
      <c r="S1047" s="26">
        <f t="shared" si="133"/>
        <v>16</v>
      </c>
    </row>
    <row r="1048" spans="2:19" x14ac:dyDescent="0.3">
      <c r="B1048" s="24">
        <v>366080</v>
      </c>
      <c r="C1048" s="25">
        <v>37</v>
      </c>
      <c r="D1048" s="25">
        <v>1</v>
      </c>
      <c r="E1048" s="25">
        <v>0</v>
      </c>
      <c r="F1048" s="25">
        <v>8</v>
      </c>
      <c r="G1048" s="25">
        <v>36</v>
      </c>
      <c r="H1048" s="25">
        <v>16.100000000000001</v>
      </c>
      <c r="I1048" s="25">
        <v>1.99</v>
      </c>
      <c r="J1048" s="25">
        <v>3.81</v>
      </c>
      <c r="K1048" s="26">
        <v>1</v>
      </c>
      <c r="L1048" s="25">
        <f t="shared" si="128"/>
        <v>1.1357742004605818</v>
      </c>
      <c r="M1048" s="25">
        <f t="shared" si="134"/>
        <v>0.75690293252011065</v>
      </c>
      <c r="N1048" s="25">
        <f t="shared" si="129"/>
        <v>0.75690293252011065</v>
      </c>
      <c r="O1048" s="25">
        <f t="shared" si="130"/>
        <v>-0.27852026029202548</v>
      </c>
      <c r="P1048" s="25">
        <f t="shared" si="131"/>
        <v>1</v>
      </c>
      <c r="Q1048" s="25">
        <f t="shared" si="135"/>
        <v>454.35148479733039</v>
      </c>
      <c r="R1048" s="25">
        <f t="shared" si="132"/>
        <v>8</v>
      </c>
      <c r="S1048" s="26">
        <f t="shared" si="133"/>
        <v>16</v>
      </c>
    </row>
    <row r="1049" spans="2:19" x14ac:dyDescent="0.3">
      <c r="B1049" s="24">
        <v>366109</v>
      </c>
      <c r="C1049" s="25">
        <v>35</v>
      </c>
      <c r="D1049" s="25">
        <v>1</v>
      </c>
      <c r="E1049" s="25">
        <v>16</v>
      </c>
      <c r="F1049" s="25">
        <v>6</v>
      </c>
      <c r="G1049" s="25">
        <v>93</v>
      </c>
      <c r="H1049" s="25">
        <v>4.7</v>
      </c>
      <c r="I1049" s="25">
        <v>2.86</v>
      </c>
      <c r="J1049" s="25">
        <v>1.51</v>
      </c>
      <c r="K1049" s="26">
        <v>0</v>
      </c>
      <c r="L1049" s="25">
        <f t="shared" si="128"/>
        <v>-3.1445666976527269</v>
      </c>
      <c r="M1049" s="25">
        <f t="shared" si="134"/>
        <v>4.130590005296271E-2</v>
      </c>
      <c r="N1049" s="25">
        <f t="shared" si="129"/>
        <v>0.95869409994703725</v>
      </c>
      <c r="O1049" s="25">
        <f t="shared" si="130"/>
        <v>-4.2183233140469081E-2</v>
      </c>
      <c r="P1049" s="25">
        <f t="shared" si="131"/>
        <v>0</v>
      </c>
      <c r="Q1049" s="25">
        <f t="shared" si="135"/>
        <v>577.85601303740202</v>
      </c>
      <c r="R1049" s="25">
        <f t="shared" si="132"/>
        <v>5</v>
      </c>
      <c r="S1049" s="26">
        <f t="shared" si="133"/>
        <v>9</v>
      </c>
    </row>
    <row r="1050" spans="2:19" x14ac:dyDescent="0.3">
      <c r="B1050" s="24">
        <v>366221</v>
      </c>
      <c r="C1050" s="25">
        <v>23</v>
      </c>
      <c r="D1050" s="25">
        <v>2</v>
      </c>
      <c r="E1050" s="25">
        <v>2</v>
      </c>
      <c r="F1050" s="25">
        <v>0</v>
      </c>
      <c r="G1050" s="25">
        <v>17</v>
      </c>
      <c r="H1050" s="25">
        <v>21.3</v>
      </c>
      <c r="I1050" s="25">
        <v>0.3</v>
      </c>
      <c r="J1050" s="25">
        <v>3.32</v>
      </c>
      <c r="K1050" s="26">
        <v>1</v>
      </c>
      <c r="L1050" s="25">
        <f t="shared" si="128"/>
        <v>0.89380538633871365</v>
      </c>
      <c r="M1050" s="25">
        <f t="shared" si="134"/>
        <v>0.70967484603144015</v>
      </c>
      <c r="N1050" s="25">
        <f t="shared" si="129"/>
        <v>0.70967484603144015</v>
      </c>
      <c r="O1050" s="25">
        <f t="shared" si="130"/>
        <v>-0.34294837718001159</v>
      </c>
      <c r="P1050" s="25">
        <f t="shared" si="131"/>
        <v>1</v>
      </c>
      <c r="Q1050" s="25">
        <f t="shared" si="135"/>
        <v>461.33322876312138</v>
      </c>
      <c r="R1050" s="25">
        <f t="shared" si="132"/>
        <v>8</v>
      </c>
      <c r="S1050" s="26">
        <f t="shared" si="133"/>
        <v>16</v>
      </c>
    </row>
    <row r="1051" spans="2:19" x14ac:dyDescent="0.3">
      <c r="B1051" s="24">
        <v>366287</v>
      </c>
      <c r="C1051" s="25">
        <v>52</v>
      </c>
      <c r="D1051" s="25">
        <v>4</v>
      </c>
      <c r="E1051" s="25">
        <v>2</v>
      </c>
      <c r="F1051" s="25">
        <v>18</v>
      </c>
      <c r="G1051" s="25">
        <v>48</v>
      </c>
      <c r="H1051" s="25">
        <v>5.4</v>
      </c>
      <c r="I1051" s="25">
        <v>1.4</v>
      </c>
      <c r="J1051" s="25">
        <v>1.19</v>
      </c>
      <c r="K1051" s="26">
        <v>0</v>
      </c>
      <c r="L1051" s="25">
        <f t="shared" si="128"/>
        <v>-1.5354453563499797</v>
      </c>
      <c r="M1051" s="25">
        <f t="shared" si="134"/>
        <v>0.17719836168713801</v>
      </c>
      <c r="N1051" s="25">
        <f t="shared" si="129"/>
        <v>0.82280163831286202</v>
      </c>
      <c r="O1051" s="25">
        <f t="shared" si="130"/>
        <v>-0.19504013006182916</v>
      </c>
      <c r="P1051" s="25">
        <f t="shared" si="131"/>
        <v>0</v>
      </c>
      <c r="Q1051" s="25">
        <f t="shared" si="135"/>
        <v>531.42658676758663</v>
      </c>
      <c r="R1051" s="25">
        <f t="shared" si="132"/>
        <v>6</v>
      </c>
      <c r="S1051" s="26">
        <f t="shared" si="133"/>
        <v>12</v>
      </c>
    </row>
    <row r="1052" spans="2:19" x14ac:dyDescent="0.3">
      <c r="B1052" s="24">
        <v>366299</v>
      </c>
      <c r="C1052" s="25">
        <v>19</v>
      </c>
      <c r="D1052" s="25">
        <v>2</v>
      </c>
      <c r="E1052" s="25">
        <v>0</v>
      </c>
      <c r="F1052" s="25">
        <v>0</v>
      </c>
      <c r="G1052" s="25">
        <v>26</v>
      </c>
      <c r="H1052" s="25">
        <v>14.3</v>
      </c>
      <c r="I1052" s="25">
        <v>0.52</v>
      </c>
      <c r="J1052" s="25">
        <v>3.2</v>
      </c>
      <c r="K1052" s="26">
        <v>1</v>
      </c>
      <c r="L1052" s="25">
        <f t="shared" si="128"/>
        <v>0.8385128038942824</v>
      </c>
      <c r="M1052" s="25">
        <f t="shared" si="134"/>
        <v>0.69815190289489271</v>
      </c>
      <c r="N1052" s="25">
        <f t="shared" si="129"/>
        <v>0.69815190289489271</v>
      </c>
      <c r="O1052" s="25">
        <f t="shared" si="130"/>
        <v>-0.35931857397293582</v>
      </c>
      <c r="P1052" s="25">
        <f t="shared" si="131"/>
        <v>1</v>
      </c>
      <c r="Q1052" s="25">
        <f t="shared" si="135"/>
        <v>462.92863540771475</v>
      </c>
      <c r="R1052" s="25">
        <f t="shared" si="132"/>
        <v>8</v>
      </c>
      <c r="S1052" s="26">
        <f t="shared" si="133"/>
        <v>16</v>
      </c>
    </row>
    <row r="1053" spans="2:19" x14ac:dyDescent="0.3">
      <c r="B1053" s="24">
        <v>366365</v>
      </c>
      <c r="C1053" s="25">
        <v>70</v>
      </c>
      <c r="D1053" s="25">
        <v>2</v>
      </c>
      <c r="E1053" s="25">
        <v>33</v>
      </c>
      <c r="F1053" s="25">
        <v>17</v>
      </c>
      <c r="G1053" s="25">
        <v>150</v>
      </c>
      <c r="H1053" s="25">
        <v>13.3</v>
      </c>
      <c r="I1053" s="25">
        <v>5.17</v>
      </c>
      <c r="J1053" s="25">
        <v>14.78</v>
      </c>
      <c r="K1053" s="26">
        <v>0</v>
      </c>
      <c r="L1053" s="25">
        <f t="shared" si="128"/>
        <v>-5.8611196764648845</v>
      </c>
      <c r="M1053" s="25">
        <f t="shared" si="134"/>
        <v>2.8399646290542748E-3</v>
      </c>
      <c r="N1053" s="25">
        <f t="shared" si="129"/>
        <v>0.99716003537094577</v>
      </c>
      <c r="O1053" s="25">
        <f t="shared" si="130"/>
        <v>-2.8440049800504495E-3</v>
      </c>
      <c r="P1053" s="25">
        <f t="shared" si="131"/>
        <v>0</v>
      </c>
      <c r="Q1053" s="25">
        <f t="shared" si="135"/>
        <v>656.23916103275019</v>
      </c>
      <c r="R1053" s="25">
        <f t="shared" si="132"/>
        <v>2</v>
      </c>
      <c r="S1053" s="26">
        <f t="shared" si="133"/>
        <v>2</v>
      </c>
    </row>
    <row r="1054" spans="2:19" x14ac:dyDescent="0.3">
      <c r="B1054" s="24">
        <v>366382</v>
      </c>
      <c r="C1054" s="25">
        <v>30</v>
      </c>
      <c r="D1054" s="25">
        <v>4</v>
      </c>
      <c r="E1054" s="25">
        <v>5</v>
      </c>
      <c r="F1054" s="25">
        <v>6</v>
      </c>
      <c r="G1054" s="25">
        <v>109</v>
      </c>
      <c r="H1054" s="25">
        <v>7.8</v>
      </c>
      <c r="I1054" s="25">
        <v>1.39</v>
      </c>
      <c r="J1054" s="25">
        <v>7.11</v>
      </c>
      <c r="K1054" s="26">
        <v>0</v>
      </c>
      <c r="L1054" s="25">
        <f t="shared" si="128"/>
        <v>-0.95136870823455144</v>
      </c>
      <c r="M1054" s="25">
        <f t="shared" si="134"/>
        <v>0.2786096470171821</v>
      </c>
      <c r="N1054" s="25">
        <f t="shared" si="129"/>
        <v>0.72139035298281784</v>
      </c>
      <c r="O1054" s="25">
        <f t="shared" si="130"/>
        <v>-0.32657488323474687</v>
      </c>
      <c r="P1054" s="25">
        <f t="shared" si="131"/>
        <v>0</v>
      </c>
      <c r="Q1054" s="25">
        <f t="shared" si="135"/>
        <v>514.57369757052891</v>
      </c>
      <c r="R1054" s="25">
        <f t="shared" si="132"/>
        <v>7</v>
      </c>
      <c r="S1054" s="26">
        <f t="shared" si="133"/>
        <v>13</v>
      </c>
    </row>
    <row r="1055" spans="2:19" x14ac:dyDescent="0.3">
      <c r="B1055" s="24">
        <v>366410</v>
      </c>
      <c r="C1055" s="25">
        <v>40</v>
      </c>
      <c r="D1055" s="25">
        <v>1</v>
      </c>
      <c r="E1055" s="25">
        <v>17</v>
      </c>
      <c r="F1055" s="25">
        <v>5</v>
      </c>
      <c r="G1055" s="25">
        <v>72</v>
      </c>
      <c r="H1055" s="25">
        <v>7.3</v>
      </c>
      <c r="I1055" s="25">
        <v>0.95</v>
      </c>
      <c r="J1055" s="25">
        <v>4.3099999999999996</v>
      </c>
      <c r="K1055" s="26">
        <v>0</v>
      </c>
      <c r="L1055" s="25">
        <f t="shared" si="128"/>
        <v>-4.0262653711998952</v>
      </c>
      <c r="M1055" s="25">
        <f t="shared" si="134"/>
        <v>1.7528118326304177E-2</v>
      </c>
      <c r="N1055" s="25">
        <f t="shared" si="129"/>
        <v>0.98247188167369581</v>
      </c>
      <c r="O1055" s="25">
        <f t="shared" si="130"/>
        <v>-1.7683554809889531E-2</v>
      </c>
      <c r="P1055" s="25">
        <f t="shared" si="131"/>
        <v>0</v>
      </c>
      <c r="Q1055" s="25">
        <f t="shared" si="135"/>
        <v>603.29645839406464</v>
      </c>
      <c r="R1055" s="25">
        <f t="shared" si="132"/>
        <v>4</v>
      </c>
      <c r="S1055" s="26">
        <f t="shared" si="133"/>
        <v>6</v>
      </c>
    </row>
    <row r="1056" spans="2:19" x14ac:dyDescent="0.3">
      <c r="B1056" s="24">
        <v>366458</v>
      </c>
      <c r="C1056" s="25">
        <v>23</v>
      </c>
      <c r="D1056" s="25">
        <v>3</v>
      </c>
      <c r="E1056" s="25">
        <v>2</v>
      </c>
      <c r="F1056" s="25">
        <v>2</v>
      </c>
      <c r="G1056" s="25">
        <v>39</v>
      </c>
      <c r="H1056" s="25">
        <v>16.600000000000001</v>
      </c>
      <c r="I1056" s="25">
        <v>1.64</v>
      </c>
      <c r="J1056" s="25">
        <v>4.83</v>
      </c>
      <c r="K1056" s="26">
        <v>0</v>
      </c>
      <c r="L1056" s="25">
        <f t="shared" si="128"/>
        <v>0.98462156142956214</v>
      </c>
      <c r="M1056" s="25">
        <f t="shared" si="134"/>
        <v>0.72802427202960107</v>
      </c>
      <c r="N1056" s="25">
        <f t="shared" si="129"/>
        <v>0.27197572797039893</v>
      </c>
      <c r="O1056" s="25">
        <f t="shared" si="130"/>
        <v>-1.3020424520708003</v>
      </c>
      <c r="P1056" s="25">
        <f t="shared" si="131"/>
        <v>1</v>
      </c>
      <c r="Q1056" s="25">
        <f t="shared" si="135"/>
        <v>458.71282792866754</v>
      </c>
      <c r="R1056" s="25">
        <f t="shared" si="132"/>
        <v>8</v>
      </c>
      <c r="S1056" s="26">
        <f t="shared" si="133"/>
        <v>16</v>
      </c>
    </row>
    <row r="1057" spans="2:19" x14ac:dyDescent="0.3">
      <c r="B1057" s="24">
        <v>366486</v>
      </c>
      <c r="C1057" s="25">
        <v>26</v>
      </c>
      <c r="D1057" s="25">
        <v>1</v>
      </c>
      <c r="E1057" s="25">
        <v>5</v>
      </c>
      <c r="F1057" s="25">
        <v>3</v>
      </c>
      <c r="G1057" s="25">
        <v>24</v>
      </c>
      <c r="H1057" s="25">
        <v>7.9</v>
      </c>
      <c r="I1057" s="25">
        <v>0.33</v>
      </c>
      <c r="J1057" s="25">
        <v>1.56</v>
      </c>
      <c r="K1057" s="26">
        <v>0</v>
      </c>
      <c r="L1057" s="25">
        <f t="shared" si="128"/>
        <v>-1.2574895464645053</v>
      </c>
      <c r="M1057" s="25">
        <f t="shared" si="134"/>
        <v>0.22140635552171603</v>
      </c>
      <c r="N1057" s="25">
        <f t="shared" si="129"/>
        <v>0.77859364447828394</v>
      </c>
      <c r="O1057" s="25">
        <f t="shared" si="130"/>
        <v>-0.25026600659496162</v>
      </c>
      <c r="P1057" s="25">
        <f t="shared" si="131"/>
        <v>0</v>
      </c>
      <c r="Q1057" s="25">
        <f t="shared" si="135"/>
        <v>523.40647762473213</v>
      </c>
      <c r="R1057" s="25">
        <f t="shared" si="132"/>
        <v>6</v>
      </c>
      <c r="S1057" s="26">
        <f t="shared" si="133"/>
        <v>13</v>
      </c>
    </row>
    <row r="1058" spans="2:19" x14ac:dyDescent="0.3">
      <c r="B1058" s="24">
        <v>366563</v>
      </c>
      <c r="C1058" s="25">
        <v>33</v>
      </c>
      <c r="D1058" s="25">
        <v>3</v>
      </c>
      <c r="E1058" s="25">
        <v>12</v>
      </c>
      <c r="F1058" s="25">
        <v>9</v>
      </c>
      <c r="G1058" s="25">
        <v>48</v>
      </c>
      <c r="H1058" s="25">
        <v>3.7</v>
      </c>
      <c r="I1058" s="25">
        <v>0.93</v>
      </c>
      <c r="J1058" s="25">
        <v>0.84</v>
      </c>
      <c r="K1058" s="26">
        <v>0</v>
      </c>
      <c r="L1058" s="25">
        <f t="shared" si="128"/>
        <v>-3.4416794299137425</v>
      </c>
      <c r="M1058" s="25">
        <f t="shared" si="134"/>
        <v>3.1017967684406136E-2</v>
      </c>
      <c r="N1058" s="25">
        <f t="shared" si="129"/>
        <v>0.96898203231559388</v>
      </c>
      <c r="O1058" s="25">
        <f t="shared" si="130"/>
        <v>-3.150920976525224E-2</v>
      </c>
      <c r="P1058" s="25">
        <f t="shared" si="131"/>
        <v>0</v>
      </c>
      <c r="Q1058" s="25">
        <f t="shared" si="135"/>
        <v>586.42887410278809</v>
      </c>
      <c r="R1058" s="25">
        <f t="shared" si="132"/>
        <v>5</v>
      </c>
      <c r="S1058" s="26">
        <f t="shared" si="133"/>
        <v>8</v>
      </c>
    </row>
    <row r="1059" spans="2:19" x14ac:dyDescent="0.3">
      <c r="B1059" s="24">
        <v>366568</v>
      </c>
      <c r="C1059" s="25">
        <v>55</v>
      </c>
      <c r="D1059" s="25">
        <v>2</v>
      </c>
      <c r="E1059" s="25">
        <v>4</v>
      </c>
      <c r="F1059" s="25">
        <v>19</v>
      </c>
      <c r="G1059" s="25">
        <v>59</v>
      </c>
      <c r="H1059" s="25">
        <v>22</v>
      </c>
      <c r="I1059" s="25">
        <v>6.83</v>
      </c>
      <c r="J1059" s="25">
        <v>6.15</v>
      </c>
      <c r="K1059" s="26">
        <v>1</v>
      </c>
      <c r="L1059" s="25">
        <f t="shared" si="128"/>
        <v>2.3747870922567129</v>
      </c>
      <c r="M1059" s="25">
        <f t="shared" si="134"/>
        <v>0.91488437712839821</v>
      </c>
      <c r="N1059" s="25">
        <f t="shared" si="129"/>
        <v>0.91488437712839821</v>
      </c>
      <c r="O1059" s="25">
        <f t="shared" si="130"/>
        <v>-8.8957585485292937E-2</v>
      </c>
      <c r="P1059" s="25">
        <f t="shared" si="131"/>
        <v>1</v>
      </c>
      <c r="Q1059" s="25">
        <f t="shared" si="135"/>
        <v>418.601130718734</v>
      </c>
      <c r="R1059" s="25">
        <f t="shared" si="132"/>
        <v>8</v>
      </c>
      <c r="S1059" s="26">
        <f t="shared" si="133"/>
        <v>16</v>
      </c>
    </row>
    <row r="1060" spans="2:19" x14ac:dyDescent="0.3">
      <c r="B1060" s="24">
        <v>366585</v>
      </c>
      <c r="C1060" s="25">
        <v>46</v>
      </c>
      <c r="D1060" s="25">
        <v>1</v>
      </c>
      <c r="E1060" s="25">
        <v>5</v>
      </c>
      <c r="F1060" s="25">
        <v>9</v>
      </c>
      <c r="G1060" s="25">
        <v>40</v>
      </c>
      <c r="H1060" s="25">
        <v>4.5</v>
      </c>
      <c r="I1060" s="25">
        <v>0.98</v>
      </c>
      <c r="J1060" s="25">
        <v>0.82</v>
      </c>
      <c r="K1060" s="26">
        <v>0</v>
      </c>
      <c r="L1060" s="25">
        <f t="shared" si="128"/>
        <v>-1.9308127180616512</v>
      </c>
      <c r="M1060" s="25">
        <f t="shared" si="134"/>
        <v>0.1266606518130762</v>
      </c>
      <c r="N1060" s="25">
        <f t="shared" si="129"/>
        <v>0.87333934818692383</v>
      </c>
      <c r="O1060" s="25">
        <f t="shared" si="130"/>
        <v>-0.13543108368188544</v>
      </c>
      <c r="P1060" s="25">
        <f t="shared" si="131"/>
        <v>0</v>
      </c>
      <c r="Q1060" s="25">
        <f t="shared" si="135"/>
        <v>542.83447708567905</v>
      </c>
      <c r="R1060" s="25">
        <f t="shared" si="132"/>
        <v>6</v>
      </c>
      <c r="S1060" s="26">
        <f t="shared" si="133"/>
        <v>11</v>
      </c>
    </row>
    <row r="1061" spans="2:19" x14ac:dyDescent="0.3">
      <c r="B1061" s="24">
        <v>366610</v>
      </c>
      <c r="C1061" s="25">
        <v>32</v>
      </c>
      <c r="D1061" s="25">
        <v>2</v>
      </c>
      <c r="E1061" s="25">
        <v>12</v>
      </c>
      <c r="F1061" s="25">
        <v>9</v>
      </c>
      <c r="G1061" s="25">
        <v>27</v>
      </c>
      <c r="H1061" s="25">
        <v>1.8</v>
      </c>
      <c r="I1061" s="25">
        <v>0.16</v>
      </c>
      <c r="J1061" s="25">
        <v>0.32</v>
      </c>
      <c r="K1061" s="26">
        <v>0</v>
      </c>
      <c r="L1061" s="25">
        <f t="shared" si="128"/>
        <v>-3.9384299910222307</v>
      </c>
      <c r="M1061" s="25">
        <f t="shared" si="134"/>
        <v>1.91065994922642E-2</v>
      </c>
      <c r="N1061" s="25">
        <f t="shared" si="129"/>
        <v>0.98089340050773577</v>
      </c>
      <c r="O1061" s="25">
        <f t="shared" si="130"/>
        <v>-1.9291489431507235E-2</v>
      </c>
      <c r="P1061" s="25">
        <f t="shared" si="131"/>
        <v>0</v>
      </c>
      <c r="Q1061" s="25">
        <f t="shared" si="135"/>
        <v>600.76206511795635</v>
      </c>
      <c r="R1061" s="25">
        <f t="shared" si="132"/>
        <v>4</v>
      </c>
      <c r="S1061" s="26">
        <f t="shared" si="133"/>
        <v>7</v>
      </c>
    </row>
    <row r="1062" spans="2:19" x14ac:dyDescent="0.3">
      <c r="B1062" s="24">
        <v>366622</v>
      </c>
      <c r="C1062" s="25">
        <v>18</v>
      </c>
      <c r="D1062" s="25">
        <v>2</v>
      </c>
      <c r="E1062" s="25">
        <v>0</v>
      </c>
      <c r="F1062" s="25">
        <v>0</v>
      </c>
      <c r="G1062" s="25">
        <v>35</v>
      </c>
      <c r="H1062" s="25">
        <v>12.3</v>
      </c>
      <c r="I1062" s="25">
        <v>0.87</v>
      </c>
      <c r="J1062" s="25">
        <v>3.44</v>
      </c>
      <c r="K1062" s="26">
        <v>0</v>
      </c>
      <c r="L1062" s="25">
        <f t="shared" si="128"/>
        <v>0.83469228111893345</v>
      </c>
      <c r="M1062" s="25">
        <f t="shared" si="134"/>
        <v>0.69734617288920131</v>
      </c>
      <c r="N1062" s="25">
        <f t="shared" si="129"/>
        <v>0.30265382711079869</v>
      </c>
      <c r="O1062" s="25">
        <f t="shared" si="130"/>
        <v>-1.1951656113888607</v>
      </c>
      <c r="P1062" s="25">
        <f t="shared" si="131"/>
        <v>1</v>
      </c>
      <c r="Q1062" s="25">
        <f t="shared" si="135"/>
        <v>463.03887238982242</v>
      </c>
      <c r="R1062" s="25">
        <f t="shared" si="132"/>
        <v>8</v>
      </c>
      <c r="S1062" s="26">
        <f t="shared" si="133"/>
        <v>15</v>
      </c>
    </row>
    <row r="1063" spans="2:19" x14ac:dyDescent="0.3">
      <c r="B1063" s="24">
        <v>366635</v>
      </c>
      <c r="C1063" s="25">
        <v>18</v>
      </c>
      <c r="D1063" s="25">
        <v>2</v>
      </c>
      <c r="E1063" s="25">
        <v>0</v>
      </c>
      <c r="F1063" s="25">
        <v>0</v>
      </c>
      <c r="G1063" s="25">
        <v>27</v>
      </c>
      <c r="H1063" s="25">
        <v>9.4</v>
      </c>
      <c r="I1063" s="25">
        <v>0.43</v>
      </c>
      <c r="J1063" s="25">
        <v>2.1</v>
      </c>
      <c r="K1063" s="26">
        <v>1</v>
      </c>
      <c r="L1063" s="25">
        <f t="shared" si="128"/>
        <v>0.30188219560007518</v>
      </c>
      <c r="M1063" s="25">
        <f t="shared" si="134"/>
        <v>0.57490257057390071</v>
      </c>
      <c r="N1063" s="25">
        <f t="shared" si="129"/>
        <v>0.57490257057390071</v>
      </c>
      <c r="O1063" s="25">
        <f t="shared" si="130"/>
        <v>-0.5535546950219582</v>
      </c>
      <c r="P1063" s="25">
        <f t="shared" si="131"/>
        <v>1</v>
      </c>
      <c r="Q1063" s="25">
        <f t="shared" si="135"/>
        <v>478.41252131637498</v>
      </c>
      <c r="R1063" s="25">
        <f t="shared" si="132"/>
        <v>7</v>
      </c>
      <c r="S1063" s="26">
        <f t="shared" si="133"/>
        <v>15</v>
      </c>
    </row>
    <row r="1064" spans="2:19" x14ac:dyDescent="0.3">
      <c r="B1064" s="24">
        <v>366655</v>
      </c>
      <c r="C1064" s="25">
        <v>23</v>
      </c>
      <c r="D1064" s="25">
        <v>4</v>
      </c>
      <c r="E1064" s="25">
        <v>0</v>
      </c>
      <c r="F1064" s="25">
        <v>2</v>
      </c>
      <c r="G1064" s="25">
        <v>33</v>
      </c>
      <c r="H1064" s="25">
        <v>2.9</v>
      </c>
      <c r="I1064" s="25">
        <v>0.23</v>
      </c>
      <c r="J1064" s="25">
        <v>0.72</v>
      </c>
      <c r="K1064" s="26">
        <v>0</v>
      </c>
      <c r="L1064" s="25">
        <f t="shared" si="128"/>
        <v>-0.75378552786431796</v>
      </c>
      <c r="M1064" s="25">
        <f t="shared" si="134"/>
        <v>0.31999701334120356</v>
      </c>
      <c r="N1064" s="25">
        <f t="shared" si="129"/>
        <v>0.68000298665879644</v>
      </c>
      <c r="O1064" s="25">
        <f t="shared" si="130"/>
        <v>-0.38565808867634122</v>
      </c>
      <c r="P1064" s="25">
        <f t="shared" si="131"/>
        <v>0</v>
      </c>
      <c r="Q1064" s="25">
        <f t="shared" si="135"/>
        <v>508.87265224244425</v>
      </c>
      <c r="R1064" s="25">
        <f t="shared" si="132"/>
        <v>7</v>
      </c>
      <c r="S1064" s="26">
        <f t="shared" si="133"/>
        <v>14</v>
      </c>
    </row>
    <row r="1065" spans="2:19" x14ac:dyDescent="0.3">
      <c r="B1065" s="24">
        <v>366658</v>
      </c>
      <c r="C1065" s="25">
        <v>41</v>
      </c>
      <c r="D1065" s="25">
        <v>2</v>
      </c>
      <c r="E1065" s="25">
        <v>21</v>
      </c>
      <c r="F1065" s="25">
        <v>9</v>
      </c>
      <c r="G1065" s="25">
        <v>56</v>
      </c>
      <c r="H1065" s="25">
        <v>4.8</v>
      </c>
      <c r="I1065" s="25">
        <v>1.1499999999999999</v>
      </c>
      <c r="J1065" s="25">
        <v>1.54</v>
      </c>
      <c r="K1065" s="26">
        <v>0</v>
      </c>
      <c r="L1065" s="25">
        <f t="shared" si="128"/>
        <v>-5.3640652037980452</v>
      </c>
      <c r="M1065" s="25">
        <f t="shared" si="134"/>
        <v>4.6600173258640161E-3</v>
      </c>
      <c r="N1065" s="25">
        <f t="shared" si="129"/>
        <v>0.99533998267413604</v>
      </c>
      <c r="O1065" s="25">
        <f t="shared" si="130"/>
        <v>-4.6709090568790119E-3</v>
      </c>
      <c r="P1065" s="25">
        <f t="shared" si="131"/>
        <v>0</v>
      </c>
      <c r="Q1065" s="25">
        <f t="shared" si="135"/>
        <v>641.8972009838684</v>
      </c>
      <c r="R1065" s="25">
        <f t="shared" si="132"/>
        <v>3</v>
      </c>
      <c r="S1065" s="26">
        <f t="shared" si="133"/>
        <v>3</v>
      </c>
    </row>
    <row r="1066" spans="2:19" x14ac:dyDescent="0.3">
      <c r="B1066" s="24">
        <v>366663</v>
      </c>
      <c r="C1066" s="25">
        <v>22</v>
      </c>
      <c r="D1066" s="25">
        <v>4</v>
      </c>
      <c r="E1066" s="25">
        <v>0</v>
      </c>
      <c r="F1066" s="25">
        <v>1</v>
      </c>
      <c r="G1066" s="25">
        <v>21</v>
      </c>
      <c r="H1066" s="25">
        <v>11.8</v>
      </c>
      <c r="I1066" s="25">
        <v>0.67</v>
      </c>
      <c r="J1066" s="25">
        <v>1.81</v>
      </c>
      <c r="K1066" s="26">
        <v>0</v>
      </c>
      <c r="L1066" s="25">
        <f t="shared" si="128"/>
        <v>0.4202416083065687</v>
      </c>
      <c r="M1066" s="25">
        <f t="shared" si="134"/>
        <v>0.60354106316468858</v>
      </c>
      <c r="N1066" s="25">
        <f t="shared" si="129"/>
        <v>0.39645893683531142</v>
      </c>
      <c r="O1066" s="25">
        <f t="shared" si="130"/>
        <v>-0.92518280736794112</v>
      </c>
      <c r="P1066" s="25">
        <f t="shared" si="131"/>
        <v>1</v>
      </c>
      <c r="Q1066" s="25">
        <f t="shared" si="135"/>
        <v>474.99739065808308</v>
      </c>
      <c r="R1066" s="25">
        <f t="shared" si="132"/>
        <v>7</v>
      </c>
      <c r="S1066" s="26">
        <f t="shared" si="133"/>
        <v>15</v>
      </c>
    </row>
    <row r="1067" spans="2:19" x14ac:dyDescent="0.3">
      <c r="B1067" s="24">
        <v>366664</v>
      </c>
      <c r="C1067" s="25">
        <v>33</v>
      </c>
      <c r="D1067" s="25">
        <v>2</v>
      </c>
      <c r="E1067" s="25">
        <v>15</v>
      </c>
      <c r="F1067" s="25">
        <v>6</v>
      </c>
      <c r="G1067" s="25">
        <v>71</v>
      </c>
      <c r="H1067" s="25">
        <v>14.6</v>
      </c>
      <c r="I1067" s="25">
        <v>2.79</v>
      </c>
      <c r="J1067" s="25">
        <v>7.58</v>
      </c>
      <c r="K1067" s="26">
        <v>0</v>
      </c>
      <c r="L1067" s="25">
        <f t="shared" si="128"/>
        <v>-1.8276658708713711</v>
      </c>
      <c r="M1067" s="25">
        <f t="shared" si="134"/>
        <v>0.13851656923114417</v>
      </c>
      <c r="N1067" s="25">
        <f t="shared" si="129"/>
        <v>0.86148343076885581</v>
      </c>
      <c r="O1067" s="25">
        <f t="shared" si="130"/>
        <v>-0.1490994562010178</v>
      </c>
      <c r="P1067" s="25">
        <f t="shared" si="131"/>
        <v>0</v>
      </c>
      <c r="Q1067" s="25">
        <f t="shared" si="135"/>
        <v>539.85828827153546</v>
      </c>
      <c r="R1067" s="25">
        <f t="shared" si="132"/>
        <v>6</v>
      </c>
      <c r="S1067" s="26">
        <f t="shared" si="133"/>
        <v>12</v>
      </c>
    </row>
    <row r="1068" spans="2:19" x14ac:dyDescent="0.3">
      <c r="B1068" s="24">
        <v>366673</v>
      </c>
      <c r="C1068" s="25">
        <v>24</v>
      </c>
      <c r="D1068" s="25">
        <v>4</v>
      </c>
      <c r="E1068" s="25">
        <v>0</v>
      </c>
      <c r="F1068" s="25">
        <v>1</v>
      </c>
      <c r="G1068" s="25">
        <v>128</v>
      </c>
      <c r="H1068" s="25">
        <v>8.9</v>
      </c>
      <c r="I1068" s="25">
        <v>3.55</v>
      </c>
      <c r="J1068" s="25">
        <v>7.84</v>
      </c>
      <c r="K1068" s="26">
        <v>1</v>
      </c>
      <c r="L1068" s="25">
        <f t="shared" si="128"/>
        <v>1.6277266756433761</v>
      </c>
      <c r="M1068" s="25">
        <f t="shared" si="134"/>
        <v>0.83585797808828544</v>
      </c>
      <c r="N1068" s="25">
        <f t="shared" si="129"/>
        <v>0.83585797808828544</v>
      </c>
      <c r="O1068" s="25">
        <f t="shared" si="130"/>
        <v>-0.17929656299864566</v>
      </c>
      <c r="P1068" s="25">
        <f t="shared" si="131"/>
        <v>1</v>
      </c>
      <c r="Q1068" s="25">
        <f t="shared" si="135"/>
        <v>440.15673727365356</v>
      </c>
      <c r="R1068" s="25">
        <f t="shared" si="132"/>
        <v>8</v>
      </c>
      <c r="S1068" s="26">
        <f t="shared" si="133"/>
        <v>16</v>
      </c>
    </row>
    <row r="1069" spans="2:19" x14ac:dyDescent="0.3">
      <c r="B1069" s="24">
        <v>366716</v>
      </c>
      <c r="C1069" s="25">
        <v>23</v>
      </c>
      <c r="D1069" s="25">
        <v>3</v>
      </c>
      <c r="E1069" s="25">
        <v>1</v>
      </c>
      <c r="F1069" s="25">
        <v>2</v>
      </c>
      <c r="G1069" s="25">
        <v>28</v>
      </c>
      <c r="H1069" s="25">
        <v>0.6</v>
      </c>
      <c r="I1069" s="25">
        <v>0.06</v>
      </c>
      <c r="J1069" s="25">
        <v>0.11</v>
      </c>
      <c r="K1069" s="26">
        <v>0</v>
      </c>
      <c r="L1069" s="25">
        <f t="shared" si="128"/>
        <v>-1.2527190160893482</v>
      </c>
      <c r="M1069" s="25">
        <f t="shared" si="134"/>
        <v>0.22222981902712197</v>
      </c>
      <c r="N1069" s="25">
        <f t="shared" si="129"/>
        <v>0.77777018097287809</v>
      </c>
      <c r="O1069" s="25">
        <f t="shared" si="130"/>
        <v>-0.25132419564919195</v>
      </c>
      <c r="P1069" s="25">
        <f t="shared" si="131"/>
        <v>0</v>
      </c>
      <c r="Q1069" s="25">
        <f t="shared" si="135"/>
        <v>523.26882921834044</v>
      </c>
      <c r="R1069" s="25">
        <f t="shared" si="132"/>
        <v>6</v>
      </c>
      <c r="S1069" s="26">
        <f t="shared" si="133"/>
        <v>13</v>
      </c>
    </row>
    <row r="1070" spans="2:19" x14ac:dyDescent="0.3">
      <c r="B1070" s="24">
        <v>366741</v>
      </c>
      <c r="C1070" s="25">
        <v>37</v>
      </c>
      <c r="D1070" s="25">
        <v>4</v>
      </c>
      <c r="E1070" s="25">
        <v>3</v>
      </c>
      <c r="F1070" s="25">
        <v>8</v>
      </c>
      <c r="G1070" s="25">
        <v>41</v>
      </c>
      <c r="H1070" s="25">
        <v>14.4</v>
      </c>
      <c r="I1070" s="25">
        <v>2.0299999999999998</v>
      </c>
      <c r="J1070" s="25">
        <v>3.87</v>
      </c>
      <c r="K1070" s="26">
        <v>0</v>
      </c>
      <c r="L1070" s="25">
        <f t="shared" si="128"/>
        <v>0.14898572938360227</v>
      </c>
      <c r="M1070" s="25">
        <f t="shared" si="134"/>
        <v>0.53717768912477104</v>
      </c>
      <c r="N1070" s="25">
        <f t="shared" si="129"/>
        <v>0.46282231087522896</v>
      </c>
      <c r="O1070" s="25">
        <f t="shared" si="130"/>
        <v>-0.77041207636473352</v>
      </c>
      <c r="P1070" s="25">
        <f t="shared" si="131"/>
        <v>1</v>
      </c>
      <c r="Q1070" s="25">
        <f t="shared" si="135"/>
        <v>482.82418066293849</v>
      </c>
      <c r="R1070" s="25">
        <f t="shared" si="132"/>
        <v>7</v>
      </c>
      <c r="S1070" s="26">
        <f t="shared" si="133"/>
        <v>15</v>
      </c>
    </row>
    <row r="1071" spans="2:19" x14ac:dyDescent="0.3">
      <c r="B1071" s="24">
        <v>366753</v>
      </c>
      <c r="C1071" s="25">
        <v>43</v>
      </c>
      <c r="D1071" s="25">
        <v>1</v>
      </c>
      <c r="E1071" s="25">
        <v>4</v>
      </c>
      <c r="F1071" s="25">
        <v>9</v>
      </c>
      <c r="G1071" s="25">
        <v>26</v>
      </c>
      <c r="H1071" s="25">
        <v>12.9</v>
      </c>
      <c r="I1071" s="25">
        <v>1.53</v>
      </c>
      <c r="J1071" s="25">
        <v>1.82</v>
      </c>
      <c r="K1071" s="26">
        <v>0</v>
      </c>
      <c r="L1071" s="25">
        <f t="shared" si="128"/>
        <v>-0.52032842800565282</v>
      </c>
      <c r="M1071" s="25">
        <f t="shared" si="134"/>
        <v>0.37277543944216934</v>
      </c>
      <c r="N1071" s="25">
        <f t="shared" si="129"/>
        <v>0.6272245605578306</v>
      </c>
      <c r="O1071" s="25">
        <f t="shared" si="130"/>
        <v>-0.46645065165997107</v>
      </c>
      <c r="P1071" s="25">
        <f t="shared" si="131"/>
        <v>0</v>
      </c>
      <c r="Q1071" s="25">
        <f t="shared" si="135"/>
        <v>502.13650442883227</v>
      </c>
      <c r="R1071" s="25">
        <f t="shared" si="132"/>
        <v>7</v>
      </c>
      <c r="S1071" s="26">
        <f t="shared" si="133"/>
        <v>14</v>
      </c>
    </row>
    <row r="1072" spans="2:19" x14ac:dyDescent="0.3">
      <c r="B1072" s="24">
        <v>366756</v>
      </c>
      <c r="C1072" s="25">
        <v>31</v>
      </c>
      <c r="D1072" s="25">
        <v>3</v>
      </c>
      <c r="E1072" s="25">
        <v>2</v>
      </c>
      <c r="F1072" s="25">
        <v>5</v>
      </c>
      <c r="G1072" s="25">
        <v>45</v>
      </c>
      <c r="H1072" s="25">
        <v>13.1</v>
      </c>
      <c r="I1072" s="25">
        <v>1.64</v>
      </c>
      <c r="J1072" s="25">
        <v>4.25</v>
      </c>
      <c r="K1072" s="26">
        <v>1</v>
      </c>
      <c r="L1072" s="25">
        <f t="shared" si="128"/>
        <v>0.35215143829125278</v>
      </c>
      <c r="M1072" s="25">
        <f t="shared" si="134"/>
        <v>0.58713919969203821</v>
      </c>
      <c r="N1072" s="25">
        <f t="shared" si="129"/>
        <v>0.58713919969203821</v>
      </c>
      <c r="O1072" s="25">
        <f t="shared" si="130"/>
        <v>-0.53249334980154328</v>
      </c>
      <c r="P1072" s="25">
        <f t="shared" si="131"/>
        <v>1</v>
      </c>
      <c r="Q1072" s="25">
        <f t="shared" si="135"/>
        <v>476.96205761468804</v>
      </c>
      <c r="R1072" s="25">
        <f t="shared" si="132"/>
        <v>7</v>
      </c>
      <c r="S1072" s="26">
        <f t="shared" si="133"/>
        <v>15</v>
      </c>
    </row>
    <row r="1073" spans="2:19" x14ac:dyDescent="0.3">
      <c r="B1073" s="24">
        <v>366761</v>
      </c>
      <c r="C1073" s="25">
        <v>20</v>
      </c>
      <c r="D1073" s="25">
        <v>3</v>
      </c>
      <c r="E1073" s="25">
        <v>0</v>
      </c>
      <c r="F1073" s="25">
        <v>1</v>
      </c>
      <c r="G1073" s="25">
        <v>28</v>
      </c>
      <c r="H1073" s="25">
        <v>8.6</v>
      </c>
      <c r="I1073" s="25">
        <v>0.2</v>
      </c>
      <c r="J1073" s="25">
        <v>2.21</v>
      </c>
      <c r="K1073" s="26">
        <v>0</v>
      </c>
      <c r="L1073" s="25">
        <f t="shared" si="128"/>
        <v>-1.298514413527857E-2</v>
      </c>
      <c r="M1073" s="25">
        <f t="shared" si="134"/>
        <v>0.49675375957950874</v>
      </c>
      <c r="N1073" s="25">
        <f t="shared" si="129"/>
        <v>0.50324624042049126</v>
      </c>
      <c r="O1073" s="25">
        <f t="shared" si="130"/>
        <v>-0.686675685090258</v>
      </c>
      <c r="P1073" s="25">
        <f t="shared" si="131"/>
        <v>1</v>
      </c>
      <c r="Q1073" s="25">
        <f t="shared" si="135"/>
        <v>487.49767205036488</v>
      </c>
      <c r="R1073" s="25">
        <f t="shared" si="132"/>
        <v>7</v>
      </c>
      <c r="S1073" s="26">
        <f t="shared" si="133"/>
        <v>15</v>
      </c>
    </row>
    <row r="1074" spans="2:19" x14ac:dyDescent="0.3">
      <c r="B1074" s="24">
        <v>366765</v>
      </c>
      <c r="C1074" s="25">
        <v>24</v>
      </c>
      <c r="D1074" s="25">
        <v>2</v>
      </c>
      <c r="E1074" s="25">
        <v>5</v>
      </c>
      <c r="F1074" s="25">
        <v>1</v>
      </c>
      <c r="G1074" s="25">
        <v>26</v>
      </c>
      <c r="H1074" s="25">
        <v>13.1</v>
      </c>
      <c r="I1074" s="25">
        <v>1.0900000000000001</v>
      </c>
      <c r="J1074" s="25">
        <v>2.3199999999999998</v>
      </c>
      <c r="K1074" s="26">
        <v>0</v>
      </c>
      <c r="L1074" s="25">
        <f t="shared" si="128"/>
        <v>-0.30492545845319463</v>
      </c>
      <c r="M1074" s="25">
        <f t="shared" si="134"/>
        <v>0.42435385768947953</v>
      </c>
      <c r="N1074" s="25">
        <f t="shared" si="129"/>
        <v>0.57564614231052047</v>
      </c>
      <c r="O1074" s="25">
        <f t="shared" si="130"/>
        <v>-0.55226214333454848</v>
      </c>
      <c r="P1074" s="25">
        <f t="shared" si="131"/>
        <v>1</v>
      </c>
      <c r="Q1074" s="25">
        <f t="shared" si="135"/>
        <v>495.9212886856626</v>
      </c>
      <c r="R1074" s="25">
        <f t="shared" si="132"/>
        <v>7</v>
      </c>
      <c r="S1074" s="26">
        <f t="shared" si="133"/>
        <v>14</v>
      </c>
    </row>
    <row r="1075" spans="2:19" x14ac:dyDescent="0.3">
      <c r="B1075" s="24">
        <v>366778</v>
      </c>
      <c r="C1075" s="25">
        <v>28</v>
      </c>
      <c r="D1075" s="25">
        <v>3</v>
      </c>
      <c r="E1075" s="25">
        <v>4</v>
      </c>
      <c r="F1075" s="25">
        <v>3</v>
      </c>
      <c r="G1075" s="25">
        <v>23</v>
      </c>
      <c r="H1075" s="25">
        <v>4.9000000000000004</v>
      </c>
      <c r="I1075" s="25">
        <v>0.55000000000000004</v>
      </c>
      <c r="J1075" s="25">
        <v>0.57999999999999996</v>
      </c>
      <c r="K1075" s="26">
        <v>1</v>
      </c>
      <c r="L1075" s="25">
        <f t="shared" si="128"/>
        <v>-1.4007987779296807</v>
      </c>
      <c r="M1075" s="25">
        <f t="shared" si="134"/>
        <v>0.19768938804248096</v>
      </c>
      <c r="N1075" s="25">
        <f t="shared" si="129"/>
        <v>0.19768938804248096</v>
      </c>
      <c r="O1075" s="25">
        <f t="shared" si="130"/>
        <v>-1.621058227320177</v>
      </c>
      <c r="P1075" s="25">
        <f t="shared" si="131"/>
        <v>0</v>
      </c>
      <c r="Q1075" s="25">
        <f t="shared" si="135"/>
        <v>527.54150785850516</v>
      </c>
      <c r="R1075" s="25">
        <f t="shared" si="132"/>
        <v>6</v>
      </c>
      <c r="S1075" s="26">
        <f t="shared" si="133"/>
        <v>12</v>
      </c>
    </row>
    <row r="1076" spans="2:19" x14ac:dyDescent="0.3">
      <c r="B1076" s="24">
        <v>366795</v>
      </c>
      <c r="C1076" s="25">
        <v>53</v>
      </c>
      <c r="D1076" s="25">
        <v>4</v>
      </c>
      <c r="E1076" s="25">
        <v>1</v>
      </c>
      <c r="F1076" s="25">
        <v>16</v>
      </c>
      <c r="G1076" s="25">
        <v>46</v>
      </c>
      <c r="H1076" s="25">
        <v>11.3</v>
      </c>
      <c r="I1076" s="25">
        <v>2.66</v>
      </c>
      <c r="J1076" s="25">
        <v>2.54</v>
      </c>
      <c r="K1076" s="26">
        <v>1</v>
      </c>
      <c r="L1076" s="25">
        <f t="shared" si="128"/>
        <v>-4.7462452364340879E-2</v>
      </c>
      <c r="M1076" s="25">
        <f t="shared" si="134"/>
        <v>0.48813661386403029</v>
      </c>
      <c r="N1076" s="25">
        <f t="shared" si="129"/>
        <v>0.48813661386403029</v>
      </c>
      <c r="O1076" s="25">
        <f t="shared" si="130"/>
        <v>-0.71715996586399866</v>
      </c>
      <c r="P1076" s="25">
        <f t="shared" si="131"/>
        <v>1</v>
      </c>
      <c r="Q1076" s="25">
        <f t="shared" si="135"/>
        <v>488.49247685427542</v>
      </c>
      <c r="R1076" s="25">
        <f t="shared" si="132"/>
        <v>7</v>
      </c>
      <c r="S1076" s="26">
        <f t="shared" si="133"/>
        <v>15</v>
      </c>
    </row>
    <row r="1077" spans="2:19" x14ac:dyDescent="0.3">
      <c r="B1077" s="24">
        <v>366813</v>
      </c>
      <c r="C1077" s="25">
        <v>26</v>
      </c>
      <c r="D1077" s="25">
        <v>4</v>
      </c>
      <c r="E1077" s="25">
        <v>1</v>
      </c>
      <c r="F1077" s="25">
        <v>2</v>
      </c>
      <c r="G1077" s="25">
        <v>63</v>
      </c>
      <c r="H1077" s="25">
        <v>11.9</v>
      </c>
      <c r="I1077" s="25">
        <v>0.94</v>
      </c>
      <c r="J1077" s="25">
        <v>6.55</v>
      </c>
      <c r="K1077" s="26">
        <v>1</v>
      </c>
      <c r="L1077" s="25">
        <f t="shared" si="128"/>
        <v>0.34135149603065834</v>
      </c>
      <c r="M1077" s="25">
        <f t="shared" si="134"/>
        <v>0.58451878007943625</v>
      </c>
      <c r="N1077" s="25">
        <f t="shared" si="129"/>
        <v>0.58451878007943625</v>
      </c>
      <c r="O1077" s="25">
        <f t="shared" si="130"/>
        <v>-0.53696636842460899</v>
      </c>
      <c r="P1077" s="25">
        <f t="shared" si="131"/>
        <v>1</v>
      </c>
      <c r="Q1077" s="25">
        <f t="shared" si="135"/>
        <v>477.27367806868097</v>
      </c>
      <c r="R1077" s="25">
        <f t="shared" si="132"/>
        <v>7</v>
      </c>
      <c r="S1077" s="26">
        <f t="shared" si="133"/>
        <v>15</v>
      </c>
    </row>
    <row r="1078" spans="2:19" x14ac:dyDescent="0.3">
      <c r="B1078" s="24">
        <v>366819</v>
      </c>
      <c r="C1078" s="25">
        <v>21</v>
      </c>
      <c r="D1078" s="25">
        <v>2</v>
      </c>
      <c r="E1078" s="25">
        <v>1</v>
      </c>
      <c r="F1078" s="25">
        <v>1</v>
      </c>
      <c r="G1078" s="25">
        <v>24</v>
      </c>
      <c r="H1078" s="25">
        <v>4.2</v>
      </c>
      <c r="I1078" s="25">
        <v>0.06</v>
      </c>
      <c r="J1078" s="25">
        <v>0.95</v>
      </c>
      <c r="K1078" s="26">
        <v>0</v>
      </c>
      <c r="L1078" s="25">
        <f t="shared" si="128"/>
        <v>-0.74463872998058456</v>
      </c>
      <c r="M1078" s="25">
        <f t="shared" si="134"/>
        <v>0.32199061519429306</v>
      </c>
      <c r="N1078" s="25">
        <f t="shared" si="129"/>
        <v>0.67800938480570694</v>
      </c>
      <c r="O1078" s="25">
        <f t="shared" si="130"/>
        <v>-0.38859414924121671</v>
      </c>
      <c r="P1078" s="25">
        <f t="shared" si="131"/>
        <v>0</v>
      </c>
      <c r="Q1078" s="25">
        <f t="shared" si="135"/>
        <v>508.6087314509868</v>
      </c>
      <c r="R1078" s="25">
        <f t="shared" si="132"/>
        <v>7</v>
      </c>
      <c r="S1078" s="26">
        <f t="shared" si="133"/>
        <v>14</v>
      </c>
    </row>
    <row r="1079" spans="2:19" x14ac:dyDescent="0.3">
      <c r="B1079" s="24">
        <v>366841</v>
      </c>
      <c r="C1079" s="25">
        <v>22</v>
      </c>
      <c r="D1079" s="25">
        <v>3</v>
      </c>
      <c r="E1079" s="25">
        <v>1</v>
      </c>
      <c r="F1079" s="25">
        <v>1</v>
      </c>
      <c r="G1079" s="25">
        <v>29</v>
      </c>
      <c r="H1079" s="25">
        <v>15.8</v>
      </c>
      <c r="I1079" s="25">
        <v>2.94</v>
      </c>
      <c r="J1079" s="25">
        <v>1.64</v>
      </c>
      <c r="K1079" s="26">
        <v>1</v>
      </c>
      <c r="L1079" s="25">
        <f t="shared" si="128"/>
        <v>1.7187740719730249</v>
      </c>
      <c r="M1079" s="25">
        <f t="shared" si="134"/>
        <v>0.84797086167302071</v>
      </c>
      <c r="N1079" s="25">
        <f t="shared" si="129"/>
        <v>0.84797086167302071</v>
      </c>
      <c r="O1079" s="25">
        <f t="shared" si="130"/>
        <v>-0.16490900501524011</v>
      </c>
      <c r="P1079" s="25">
        <f t="shared" si="131"/>
        <v>1</v>
      </c>
      <c r="Q1079" s="25">
        <f t="shared" si="135"/>
        <v>437.52966480469752</v>
      </c>
      <c r="R1079" s="25">
        <f t="shared" si="132"/>
        <v>8</v>
      </c>
      <c r="S1079" s="26">
        <f t="shared" si="133"/>
        <v>16</v>
      </c>
    </row>
    <row r="1080" spans="2:19" x14ac:dyDescent="0.3">
      <c r="B1080" s="24">
        <v>366853</v>
      </c>
      <c r="C1080" s="25">
        <v>44</v>
      </c>
      <c r="D1080" s="25">
        <v>4</v>
      </c>
      <c r="E1080" s="25">
        <v>4</v>
      </c>
      <c r="F1080" s="25">
        <v>14</v>
      </c>
      <c r="G1080" s="25">
        <v>65</v>
      </c>
      <c r="H1080" s="25">
        <v>5.8</v>
      </c>
      <c r="I1080" s="25">
        <v>1.53</v>
      </c>
      <c r="J1080" s="25">
        <v>2.2400000000000002</v>
      </c>
      <c r="K1080" s="26">
        <v>0</v>
      </c>
      <c r="L1080" s="25">
        <f t="shared" si="128"/>
        <v>-1.5532345454925984</v>
      </c>
      <c r="M1080" s="25">
        <f t="shared" si="134"/>
        <v>0.1746195901690194</v>
      </c>
      <c r="N1080" s="25">
        <f t="shared" si="129"/>
        <v>0.8253804098309806</v>
      </c>
      <c r="O1080" s="25">
        <f t="shared" si="130"/>
        <v>-0.19191089609726489</v>
      </c>
      <c r="P1080" s="25">
        <f t="shared" si="131"/>
        <v>0</v>
      </c>
      <c r="Q1080" s="25">
        <f t="shared" si="135"/>
        <v>531.93987425218893</v>
      </c>
      <c r="R1080" s="25">
        <f t="shared" si="132"/>
        <v>6</v>
      </c>
      <c r="S1080" s="26">
        <f t="shared" si="133"/>
        <v>12</v>
      </c>
    </row>
    <row r="1081" spans="2:19" x14ac:dyDescent="0.3">
      <c r="B1081" s="24">
        <v>366897</v>
      </c>
      <c r="C1081" s="25">
        <v>29</v>
      </c>
      <c r="D1081" s="25">
        <v>2</v>
      </c>
      <c r="E1081" s="25">
        <v>6</v>
      </c>
      <c r="F1081" s="25">
        <v>5</v>
      </c>
      <c r="G1081" s="25">
        <v>27</v>
      </c>
      <c r="H1081" s="25">
        <v>6.3</v>
      </c>
      <c r="I1081" s="25">
        <v>0.13</v>
      </c>
      <c r="J1081" s="25">
        <v>1.57</v>
      </c>
      <c r="K1081" s="26">
        <v>0</v>
      </c>
      <c r="L1081" s="25">
        <f t="shared" si="128"/>
        <v>-1.9203370061215144</v>
      </c>
      <c r="M1081" s="25">
        <f t="shared" si="134"/>
        <v>0.12782399047296378</v>
      </c>
      <c r="N1081" s="25">
        <f t="shared" si="129"/>
        <v>0.87217600952703622</v>
      </c>
      <c r="O1081" s="25">
        <f t="shared" si="130"/>
        <v>-0.13676402965339213</v>
      </c>
      <c r="P1081" s="25">
        <f t="shared" si="131"/>
        <v>0</v>
      </c>
      <c r="Q1081" s="25">
        <f t="shared" si="135"/>
        <v>542.53221194092953</v>
      </c>
      <c r="R1081" s="25">
        <f t="shared" si="132"/>
        <v>6</v>
      </c>
      <c r="S1081" s="26">
        <f t="shared" si="133"/>
        <v>11</v>
      </c>
    </row>
    <row r="1082" spans="2:19" x14ac:dyDescent="0.3">
      <c r="B1082" s="24">
        <v>366953</v>
      </c>
      <c r="C1082" s="25">
        <v>28</v>
      </c>
      <c r="D1082" s="25">
        <v>3</v>
      </c>
      <c r="E1082" s="25">
        <v>3</v>
      </c>
      <c r="F1082" s="25">
        <v>3</v>
      </c>
      <c r="G1082" s="25">
        <v>31</v>
      </c>
      <c r="H1082" s="25">
        <v>12.9</v>
      </c>
      <c r="I1082" s="25">
        <v>2.36</v>
      </c>
      <c r="J1082" s="25">
        <v>1.64</v>
      </c>
      <c r="K1082" s="26">
        <v>1</v>
      </c>
      <c r="L1082" s="25">
        <f t="shared" si="128"/>
        <v>0.50830559644976514</v>
      </c>
      <c r="M1082" s="25">
        <f t="shared" si="134"/>
        <v>0.62440918280099189</v>
      </c>
      <c r="N1082" s="25">
        <f t="shared" si="129"/>
        <v>0.62440918280099189</v>
      </c>
      <c r="O1082" s="25">
        <f t="shared" si="130"/>
        <v>-0.47094938384907808</v>
      </c>
      <c r="P1082" s="25">
        <f t="shared" si="131"/>
        <v>1</v>
      </c>
      <c r="Q1082" s="25">
        <f t="shared" si="135"/>
        <v>472.45640115059808</v>
      </c>
      <c r="R1082" s="25">
        <f t="shared" si="132"/>
        <v>7</v>
      </c>
      <c r="S1082" s="26">
        <f t="shared" si="133"/>
        <v>15</v>
      </c>
    </row>
    <row r="1083" spans="2:19" x14ac:dyDescent="0.3">
      <c r="B1083" s="24">
        <v>366960</v>
      </c>
      <c r="C1083" s="25">
        <v>41</v>
      </c>
      <c r="D1083" s="25">
        <v>2</v>
      </c>
      <c r="E1083" s="25">
        <v>4</v>
      </c>
      <c r="F1083" s="25">
        <v>11</v>
      </c>
      <c r="G1083" s="25">
        <v>56</v>
      </c>
      <c r="H1083" s="25">
        <v>7.3</v>
      </c>
      <c r="I1083" s="25">
        <v>2.56</v>
      </c>
      <c r="J1083" s="25">
        <v>1.53</v>
      </c>
      <c r="K1083" s="26">
        <v>0</v>
      </c>
      <c r="L1083" s="25">
        <f t="shared" si="128"/>
        <v>-0.66632381707024901</v>
      </c>
      <c r="M1083" s="25">
        <f t="shared" si="134"/>
        <v>0.33932048774005769</v>
      </c>
      <c r="N1083" s="25">
        <f t="shared" si="129"/>
        <v>0.66067951225994226</v>
      </c>
      <c r="O1083" s="25">
        <f t="shared" si="130"/>
        <v>-0.41448640956899707</v>
      </c>
      <c r="P1083" s="25">
        <f t="shared" si="131"/>
        <v>0</v>
      </c>
      <c r="Q1083" s="25">
        <f t="shared" si="135"/>
        <v>506.34904078536323</v>
      </c>
      <c r="R1083" s="25">
        <f t="shared" si="132"/>
        <v>7</v>
      </c>
      <c r="S1083" s="26">
        <f t="shared" si="133"/>
        <v>14</v>
      </c>
    </row>
    <row r="1084" spans="2:19" x14ac:dyDescent="0.3">
      <c r="B1084" s="24">
        <v>367033</v>
      </c>
      <c r="C1084" s="25">
        <v>64</v>
      </c>
      <c r="D1084" s="25">
        <v>1</v>
      </c>
      <c r="E1084" s="25">
        <v>36</v>
      </c>
      <c r="F1084" s="25">
        <v>15</v>
      </c>
      <c r="G1084" s="25">
        <v>145</v>
      </c>
      <c r="H1084" s="25">
        <v>6.6</v>
      </c>
      <c r="I1084" s="25">
        <v>3.27</v>
      </c>
      <c r="J1084" s="25">
        <v>6.3</v>
      </c>
      <c r="K1084" s="26">
        <v>0</v>
      </c>
      <c r="L1084" s="25">
        <f t="shared" si="128"/>
        <v>-8.0735683612107412</v>
      </c>
      <c r="M1084" s="25">
        <f t="shared" si="134"/>
        <v>3.1157203894656752E-4</v>
      </c>
      <c r="N1084" s="25">
        <f t="shared" si="129"/>
        <v>0.99968842796105339</v>
      </c>
      <c r="O1084" s="25">
        <f t="shared" si="130"/>
        <v>-3.1162058759886282E-4</v>
      </c>
      <c r="P1084" s="25">
        <f t="shared" si="131"/>
        <v>0</v>
      </c>
      <c r="Q1084" s="25">
        <f t="shared" si="135"/>
        <v>720.07693413753861</v>
      </c>
      <c r="R1084" s="25">
        <f t="shared" si="132"/>
        <v>1</v>
      </c>
      <c r="S1084" s="26">
        <f t="shared" si="133"/>
        <v>1</v>
      </c>
    </row>
    <row r="1085" spans="2:19" x14ac:dyDescent="0.3">
      <c r="B1085" s="24">
        <v>367052</v>
      </c>
      <c r="C1085" s="25">
        <v>44</v>
      </c>
      <c r="D1085" s="25">
        <v>4</v>
      </c>
      <c r="E1085" s="25">
        <v>4</v>
      </c>
      <c r="F1085" s="25">
        <v>5</v>
      </c>
      <c r="G1085" s="25">
        <v>15</v>
      </c>
      <c r="H1085" s="25">
        <v>16.600000000000001</v>
      </c>
      <c r="I1085" s="25">
        <v>0.08</v>
      </c>
      <c r="J1085" s="25">
        <v>2.41</v>
      </c>
      <c r="K1085" s="26">
        <v>0</v>
      </c>
      <c r="L1085" s="25">
        <f t="shared" si="128"/>
        <v>-0.87777177323877975</v>
      </c>
      <c r="M1085" s="25">
        <f t="shared" si="134"/>
        <v>0.29363973493618051</v>
      </c>
      <c r="N1085" s="25">
        <f t="shared" si="129"/>
        <v>0.70636026506381944</v>
      </c>
      <c r="O1085" s="25">
        <f t="shared" si="130"/>
        <v>-0.34762988118412769</v>
      </c>
      <c r="P1085" s="25">
        <f t="shared" si="131"/>
        <v>0</v>
      </c>
      <c r="Q1085" s="25">
        <f t="shared" si="135"/>
        <v>512.4501389678544</v>
      </c>
      <c r="R1085" s="25">
        <f t="shared" si="132"/>
        <v>7</v>
      </c>
      <c r="S1085" s="26">
        <f t="shared" si="133"/>
        <v>13</v>
      </c>
    </row>
    <row r="1086" spans="2:19" x14ac:dyDescent="0.3">
      <c r="B1086" s="24">
        <v>367081</v>
      </c>
      <c r="C1086" s="25">
        <v>21</v>
      </c>
      <c r="D1086" s="25">
        <v>2</v>
      </c>
      <c r="E1086" s="25">
        <v>1</v>
      </c>
      <c r="F1086" s="25">
        <v>1</v>
      </c>
      <c r="G1086" s="25">
        <v>23</v>
      </c>
      <c r="H1086" s="25">
        <v>9.5</v>
      </c>
      <c r="I1086" s="25">
        <v>0.14000000000000001</v>
      </c>
      <c r="J1086" s="25">
        <v>2.0499999999999998</v>
      </c>
      <c r="K1086" s="26">
        <v>0</v>
      </c>
      <c r="L1086" s="25">
        <f t="shared" si="128"/>
        <v>-0.15129662768299756</v>
      </c>
      <c r="M1086" s="25">
        <f t="shared" si="134"/>
        <v>0.46224782999063108</v>
      </c>
      <c r="N1086" s="25">
        <f t="shared" si="129"/>
        <v>0.53775217000936892</v>
      </c>
      <c r="O1086" s="25">
        <f t="shared" si="130"/>
        <v>-0.62035747549261366</v>
      </c>
      <c r="P1086" s="25">
        <f t="shared" si="131"/>
        <v>1</v>
      </c>
      <c r="Q1086" s="25">
        <f t="shared" si="135"/>
        <v>491.48849776550242</v>
      </c>
      <c r="R1086" s="25">
        <f t="shared" si="132"/>
        <v>7</v>
      </c>
      <c r="S1086" s="26">
        <f t="shared" si="133"/>
        <v>14</v>
      </c>
    </row>
    <row r="1087" spans="2:19" x14ac:dyDescent="0.3">
      <c r="B1087" s="24">
        <v>367082</v>
      </c>
      <c r="C1087" s="25">
        <v>50</v>
      </c>
      <c r="D1087" s="25">
        <v>2</v>
      </c>
      <c r="E1087" s="25">
        <v>21</v>
      </c>
      <c r="F1087" s="25">
        <v>10</v>
      </c>
      <c r="G1087" s="25">
        <v>88</v>
      </c>
      <c r="H1087" s="25">
        <v>1.4</v>
      </c>
      <c r="I1087" s="25">
        <v>0.21</v>
      </c>
      <c r="J1087" s="25">
        <v>1.02</v>
      </c>
      <c r="K1087" s="26">
        <v>0</v>
      </c>
      <c r="L1087" s="25">
        <f t="shared" si="128"/>
        <v>-6.381071499280103</v>
      </c>
      <c r="M1087" s="25">
        <f t="shared" si="134"/>
        <v>1.6904451626903988E-3</v>
      </c>
      <c r="N1087" s="25">
        <f t="shared" si="129"/>
        <v>0.99830955483730965</v>
      </c>
      <c r="O1087" s="25">
        <f t="shared" si="130"/>
        <v>-1.6918755773667161E-3</v>
      </c>
      <c r="P1087" s="25">
        <f t="shared" si="131"/>
        <v>0</v>
      </c>
      <c r="Q1087" s="25">
        <f t="shared" si="135"/>
        <v>671.24179893307814</v>
      </c>
      <c r="R1087" s="25">
        <f t="shared" si="132"/>
        <v>2</v>
      </c>
      <c r="S1087" s="26">
        <f t="shared" si="133"/>
        <v>1</v>
      </c>
    </row>
    <row r="1088" spans="2:19" x14ac:dyDescent="0.3">
      <c r="B1088" s="24">
        <v>367207</v>
      </c>
      <c r="C1088" s="25">
        <v>18</v>
      </c>
      <c r="D1088" s="25">
        <v>2</v>
      </c>
      <c r="E1088" s="25">
        <v>0</v>
      </c>
      <c r="F1088" s="25">
        <v>0</v>
      </c>
      <c r="G1088" s="25">
        <v>20</v>
      </c>
      <c r="H1088" s="25">
        <v>19</v>
      </c>
      <c r="I1088" s="25">
        <v>1.33</v>
      </c>
      <c r="J1088" s="25">
        <v>2.4700000000000002</v>
      </c>
      <c r="K1088" s="26">
        <v>1</v>
      </c>
      <c r="L1088" s="25">
        <f t="shared" si="128"/>
        <v>1.6923850995568974</v>
      </c>
      <c r="M1088" s="25">
        <f t="shared" si="134"/>
        <v>0.84453756621169385</v>
      </c>
      <c r="N1088" s="25">
        <f t="shared" si="129"/>
        <v>0.84453756621169385</v>
      </c>
      <c r="O1088" s="25">
        <f t="shared" si="130"/>
        <v>-0.16896606034685463</v>
      </c>
      <c r="P1088" s="25">
        <f t="shared" si="131"/>
        <v>1</v>
      </c>
      <c r="Q1088" s="25">
        <f t="shared" si="135"/>
        <v>438.29108957589523</v>
      </c>
      <c r="R1088" s="25">
        <f t="shared" si="132"/>
        <v>8</v>
      </c>
      <c r="S1088" s="26">
        <f t="shared" si="133"/>
        <v>16</v>
      </c>
    </row>
    <row r="1089" spans="2:19" x14ac:dyDescent="0.3">
      <c r="B1089" s="24">
        <v>367213</v>
      </c>
      <c r="C1089" s="25">
        <v>29</v>
      </c>
      <c r="D1089" s="25">
        <v>5</v>
      </c>
      <c r="E1089" s="25">
        <v>0</v>
      </c>
      <c r="F1089" s="25">
        <v>4</v>
      </c>
      <c r="G1089" s="25">
        <v>40</v>
      </c>
      <c r="H1089" s="25">
        <v>12.5</v>
      </c>
      <c r="I1089" s="25">
        <v>2.0299999999999998</v>
      </c>
      <c r="J1089" s="25">
        <v>2.98</v>
      </c>
      <c r="K1089" s="26">
        <v>1</v>
      </c>
      <c r="L1089" s="25">
        <f t="shared" si="128"/>
        <v>0.8655163887428412</v>
      </c>
      <c r="M1089" s="25">
        <f t="shared" si="134"/>
        <v>0.70381189609247097</v>
      </c>
      <c r="N1089" s="25">
        <f t="shared" si="129"/>
        <v>0.70381189609247097</v>
      </c>
      <c r="O1089" s="25">
        <f t="shared" si="130"/>
        <v>-0.35124415157698491</v>
      </c>
      <c r="P1089" s="25">
        <f t="shared" si="131"/>
        <v>1</v>
      </c>
      <c r="Q1089" s="25">
        <f t="shared" si="135"/>
        <v>462.14947667085295</v>
      </c>
      <c r="R1089" s="25">
        <f t="shared" si="132"/>
        <v>8</v>
      </c>
      <c r="S1089" s="26">
        <f t="shared" si="133"/>
        <v>16</v>
      </c>
    </row>
    <row r="1090" spans="2:19" x14ac:dyDescent="0.3">
      <c r="B1090" s="24">
        <v>367238</v>
      </c>
      <c r="C1090" s="25">
        <v>38</v>
      </c>
      <c r="D1090" s="25">
        <v>2</v>
      </c>
      <c r="E1090" s="25">
        <v>1</v>
      </c>
      <c r="F1090" s="25">
        <v>9</v>
      </c>
      <c r="G1090" s="25">
        <v>28</v>
      </c>
      <c r="H1090" s="25">
        <v>0.8</v>
      </c>
      <c r="I1090" s="25">
        <v>0.13</v>
      </c>
      <c r="J1090" s="25">
        <v>0.1</v>
      </c>
      <c r="K1090" s="26">
        <v>1</v>
      </c>
      <c r="L1090" s="25">
        <f t="shared" si="128"/>
        <v>-1.6984998180935134</v>
      </c>
      <c r="M1090" s="25">
        <f t="shared" si="134"/>
        <v>0.15466129904238604</v>
      </c>
      <c r="N1090" s="25">
        <f t="shared" si="129"/>
        <v>0.15466129904238604</v>
      </c>
      <c r="O1090" s="25">
        <f t="shared" si="130"/>
        <v>-1.866517720493537</v>
      </c>
      <c r="P1090" s="25">
        <f t="shared" si="131"/>
        <v>0</v>
      </c>
      <c r="Q1090" s="25">
        <f t="shared" si="135"/>
        <v>536.13134390128846</v>
      </c>
      <c r="R1090" s="25">
        <f t="shared" si="132"/>
        <v>6</v>
      </c>
      <c r="S1090" s="26">
        <f t="shared" si="133"/>
        <v>12</v>
      </c>
    </row>
    <row r="1091" spans="2:19" x14ac:dyDescent="0.3">
      <c r="B1091" s="24">
        <v>367250</v>
      </c>
      <c r="C1091" s="25">
        <v>30</v>
      </c>
      <c r="D1091" s="25">
        <v>4</v>
      </c>
      <c r="E1091" s="25">
        <v>1</v>
      </c>
      <c r="F1091" s="25">
        <v>5</v>
      </c>
      <c r="G1091" s="25">
        <v>65</v>
      </c>
      <c r="H1091" s="25">
        <v>13.4</v>
      </c>
      <c r="I1091" s="25">
        <v>4.55</v>
      </c>
      <c r="J1091" s="25">
        <v>4.16</v>
      </c>
      <c r="K1091" s="26">
        <v>1</v>
      </c>
      <c r="L1091" s="25">
        <f t="shared" si="128"/>
        <v>1.9571691905086326</v>
      </c>
      <c r="M1091" s="25">
        <f t="shared" si="134"/>
        <v>0.87622626723229946</v>
      </c>
      <c r="N1091" s="25">
        <f t="shared" si="129"/>
        <v>0.87622626723229946</v>
      </c>
      <c r="O1091" s="25">
        <f t="shared" si="130"/>
        <v>-0.13213092547111305</v>
      </c>
      <c r="P1091" s="25">
        <f t="shared" si="131"/>
        <v>1</v>
      </c>
      <c r="Q1091" s="25">
        <f t="shared" si="135"/>
        <v>430.65103589398296</v>
      </c>
      <c r="R1091" s="25">
        <f t="shared" si="132"/>
        <v>8</v>
      </c>
      <c r="S1091" s="26">
        <f t="shared" si="133"/>
        <v>16</v>
      </c>
    </row>
    <row r="1092" spans="2:19" x14ac:dyDescent="0.3">
      <c r="B1092" s="24">
        <v>367263</v>
      </c>
      <c r="C1092" s="25">
        <v>27</v>
      </c>
      <c r="D1092" s="25">
        <v>2</v>
      </c>
      <c r="E1092" s="25">
        <v>8</v>
      </c>
      <c r="F1092" s="25">
        <v>4</v>
      </c>
      <c r="G1092" s="25">
        <v>29</v>
      </c>
      <c r="H1092" s="25">
        <v>6.5</v>
      </c>
      <c r="I1092" s="25">
        <v>0.85</v>
      </c>
      <c r="J1092" s="25">
        <v>1.04</v>
      </c>
      <c r="K1092" s="26">
        <v>0</v>
      </c>
      <c r="L1092" s="25">
        <f t="shared" si="128"/>
        <v>-1.9489204140025975</v>
      </c>
      <c r="M1092" s="25">
        <f t="shared" si="134"/>
        <v>0.1246711237714573</v>
      </c>
      <c r="N1092" s="25">
        <f t="shared" si="129"/>
        <v>0.87532887622854272</v>
      </c>
      <c r="O1092" s="25">
        <f t="shared" si="130"/>
        <v>-0.13315560469474616</v>
      </c>
      <c r="P1092" s="25">
        <f t="shared" si="131"/>
        <v>0</v>
      </c>
      <c r="Q1092" s="25">
        <f t="shared" si="135"/>
        <v>543.35695473358953</v>
      </c>
      <c r="R1092" s="25">
        <f t="shared" si="132"/>
        <v>6</v>
      </c>
      <c r="S1092" s="26">
        <f t="shared" si="133"/>
        <v>11</v>
      </c>
    </row>
    <row r="1093" spans="2:19" x14ac:dyDescent="0.3">
      <c r="B1093" s="24">
        <v>367322</v>
      </c>
      <c r="C1093" s="25">
        <v>28</v>
      </c>
      <c r="D1093" s="25">
        <v>1</v>
      </c>
      <c r="E1093" s="25">
        <v>8</v>
      </c>
      <c r="F1093" s="25">
        <v>4</v>
      </c>
      <c r="G1093" s="25">
        <v>45</v>
      </c>
      <c r="H1093" s="25">
        <v>6</v>
      </c>
      <c r="I1093" s="25">
        <v>0.72</v>
      </c>
      <c r="J1093" s="25">
        <v>1.98</v>
      </c>
      <c r="K1093" s="26">
        <v>0</v>
      </c>
      <c r="L1093" s="25">
        <f t="shared" ref="L1093:L1156" si="136">$Y$4+SUMPRODUCT($Z$4:$AG$4,C1093:J1093)</f>
        <v>-2.0013270209560505</v>
      </c>
      <c r="M1093" s="25">
        <f t="shared" si="134"/>
        <v>0.11906366372526886</v>
      </c>
      <c r="N1093" s="25">
        <f t="shared" ref="N1093:N1156" si="137">IF(K1093=1,M1093,(1-M1093))</f>
        <v>0.88093633627473111</v>
      </c>
      <c r="O1093" s="25">
        <f t="shared" ref="O1093:O1156" si="138">LN(N1093)</f>
        <v>-0.12676991868233259</v>
      </c>
      <c r="P1093" s="25">
        <f t="shared" ref="P1093:P1156" si="139">IF(M1093&gt;0.4,1,0)</f>
        <v>0</v>
      </c>
      <c r="Q1093" s="25">
        <f t="shared" si="135"/>
        <v>544.86908972996378</v>
      </c>
      <c r="R1093" s="25">
        <f t="shared" ref="R1093:R1156" si="140">VLOOKUP(M1093,$U$9:$W$16,3,TRUE)</f>
        <v>6</v>
      </c>
      <c r="S1093" s="26">
        <f t="shared" ref="S1093:S1156" si="141">VLOOKUP(M1093,$U$21:$W$37,3,TRUE)</f>
        <v>11</v>
      </c>
    </row>
    <row r="1094" spans="2:19" x14ac:dyDescent="0.3">
      <c r="B1094" s="24">
        <v>367368</v>
      </c>
      <c r="C1094" s="25">
        <v>27</v>
      </c>
      <c r="D1094" s="25">
        <v>2</v>
      </c>
      <c r="E1094" s="25">
        <v>9</v>
      </c>
      <c r="F1094" s="25">
        <v>3</v>
      </c>
      <c r="G1094" s="25">
        <v>31</v>
      </c>
      <c r="H1094" s="25">
        <v>6.3</v>
      </c>
      <c r="I1094" s="25">
        <v>0.27</v>
      </c>
      <c r="J1094" s="25">
        <v>1.69</v>
      </c>
      <c r="K1094" s="26">
        <v>0</v>
      </c>
      <c r="L1094" s="25">
        <f t="shared" si="136"/>
        <v>-2.4204882021317502</v>
      </c>
      <c r="M1094" s="25">
        <f t="shared" ref="M1094:M1157" si="142">EXP(L1094)/(1+EXP(L1094))</f>
        <v>8.1623651753048851E-2</v>
      </c>
      <c r="N1094" s="25">
        <f t="shared" si="137"/>
        <v>0.91837634824695114</v>
      </c>
      <c r="O1094" s="25">
        <f t="shared" si="138"/>
        <v>-8.5148006963882597E-2</v>
      </c>
      <c r="P1094" s="25">
        <f t="shared" si="139"/>
        <v>0</v>
      </c>
      <c r="Q1094" s="25">
        <f t="shared" si="135"/>
        <v>556.96352453548934</v>
      </c>
      <c r="R1094" s="25">
        <f t="shared" si="140"/>
        <v>5</v>
      </c>
      <c r="S1094" s="26">
        <f t="shared" si="141"/>
        <v>10</v>
      </c>
    </row>
    <row r="1095" spans="2:19" x14ac:dyDescent="0.3">
      <c r="B1095" s="24">
        <v>367383</v>
      </c>
      <c r="C1095" s="25">
        <v>67</v>
      </c>
      <c r="D1095" s="25">
        <v>1</v>
      </c>
      <c r="E1095" s="25">
        <v>40</v>
      </c>
      <c r="F1095" s="25">
        <v>24</v>
      </c>
      <c r="G1095" s="25">
        <v>88</v>
      </c>
      <c r="H1095" s="25">
        <v>6.3</v>
      </c>
      <c r="I1095" s="25">
        <v>1.42</v>
      </c>
      <c r="J1095" s="25">
        <v>4.12</v>
      </c>
      <c r="K1095" s="26">
        <v>0</v>
      </c>
      <c r="L1095" s="25">
        <f t="shared" si="136"/>
        <v>-10.310231225545786</v>
      </c>
      <c r="M1095" s="25">
        <f t="shared" si="142"/>
        <v>3.3289633500554273E-5</v>
      </c>
      <c r="N1095" s="25">
        <f t="shared" si="137"/>
        <v>0.99996671036649942</v>
      </c>
      <c r="O1095" s="25">
        <f t="shared" si="138"/>
        <v>-3.329018761272403E-5</v>
      </c>
      <c r="P1095" s="25">
        <f t="shared" si="139"/>
        <v>0</v>
      </c>
      <c r="Q1095" s="25">
        <f t="shared" si="135"/>
        <v>784.61338075877552</v>
      </c>
      <c r="R1095" s="25">
        <f t="shared" si="140"/>
        <v>1</v>
      </c>
      <c r="S1095" s="26">
        <f t="shared" si="141"/>
        <v>1</v>
      </c>
    </row>
    <row r="1096" spans="2:19" x14ac:dyDescent="0.3">
      <c r="B1096" s="24">
        <v>367435</v>
      </c>
      <c r="C1096" s="25">
        <v>36</v>
      </c>
      <c r="D1096" s="25">
        <v>4</v>
      </c>
      <c r="E1096" s="25">
        <v>12</v>
      </c>
      <c r="F1096" s="25">
        <v>9</v>
      </c>
      <c r="G1096" s="25">
        <v>35</v>
      </c>
      <c r="H1096" s="25">
        <v>8.1</v>
      </c>
      <c r="I1096" s="25">
        <v>1.05</v>
      </c>
      <c r="J1096" s="25">
        <v>1.78</v>
      </c>
      <c r="K1096" s="26">
        <v>0</v>
      </c>
      <c r="L1096" s="25">
        <f t="shared" si="136"/>
        <v>-3.0439411119051356</v>
      </c>
      <c r="M1096" s="25">
        <f t="shared" si="142"/>
        <v>4.5479774934877648E-2</v>
      </c>
      <c r="N1096" s="25">
        <f t="shared" si="137"/>
        <v>0.95452022506512235</v>
      </c>
      <c r="O1096" s="25">
        <f t="shared" si="138"/>
        <v>-4.6546446868352367E-2</v>
      </c>
      <c r="P1096" s="25">
        <f t="shared" si="139"/>
        <v>0</v>
      </c>
      <c r="Q1096" s="25">
        <f t="shared" si="135"/>
        <v>574.95257244879963</v>
      </c>
      <c r="R1096" s="25">
        <f t="shared" si="140"/>
        <v>5</v>
      </c>
      <c r="S1096" s="26">
        <f t="shared" si="141"/>
        <v>9</v>
      </c>
    </row>
    <row r="1097" spans="2:19" x14ac:dyDescent="0.3">
      <c r="B1097" s="24">
        <v>367468</v>
      </c>
      <c r="C1097" s="25">
        <v>30</v>
      </c>
      <c r="D1097" s="25">
        <v>4</v>
      </c>
      <c r="E1097" s="25">
        <v>3</v>
      </c>
      <c r="F1097" s="25">
        <v>4</v>
      </c>
      <c r="G1097" s="25">
        <v>38</v>
      </c>
      <c r="H1097" s="25">
        <v>11.9</v>
      </c>
      <c r="I1097" s="25">
        <v>0.8</v>
      </c>
      <c r="J1097" s="25">
        <v>3.73</v>
      </c>
      <c r="K1097" s="26">
        <v>0</v>
      </c>
      <c r="L1097" s="25">
        <f t="shared" si="136"/>
        <v>-0.40543732617037542</v>
      </c>
      <c r="M1097" s="25">
        <f t="shared" si="142"/>
        <v>0.400006667683593</v>
      </c>
      <c r="N1097" s="25">
        <f t="shared" si="137"/>
        <v>0.59999333231640706</v>
      </c>
      <c r="O1097" s="25">
        <f t="shared" si="138"/>
        <v>-0.51083673663372664</v>
      </c>
      <c r="P1097" s="25">
        <f t="shared" si="139"/>
        <v>1</v>
      </c>
      <c r="Q1097" s="25">
        <f t="shared" ref="Q1097:Q1160" si="143">28.8539*LN((1-M1097)/(M1097))+487.123</f>
        <v>498.82144806558739</v>
      </c>
      <c r="R1097" s="25">
        <f t="shared" si="140"/>
        <v>7</v>
      </c>
      <c r="S1097" s="26">
        <f t="shared" si="141"/>
        <v>14</v>
      </c>
    </row>
    <row r="1098" spans="2:19" x14ac:dyDescent="0.3">
      <c r="B1098" s="24">
        <v>367471</v>
      </c>
      <c r="C1098" s="25">
        <v>29</v>
      </c>
      <c r="D1098" s="25">
        <v>3</v>
      </c>
      <c r="E1098" s="25">
        <v>7</v>
      </c>
      <c r="F1098" s="25">
        <v>6</v>
      </c>
      <c r="G1098" s="25">
        <v>57</v>
      </c>
      <c r="H1098" s="25">
        <v>4.3</v>
      </c>
      <c r="I1098" s="25">
        <v>1.04</v>
      </c>
      <c r="J1098" s="25">
        <v>1.41</v>
      </c>
      <c r="K1098" s="26">
        <v>0</v>
      </c>
      <c r="L1098" s="25">
        <f t="shared" si="136"/>
        <v>-1.9981290162327543</v>
      </c>
      <c r="M1098" s="25">
        <f t="shared" si="142"/>
        <v>0.11939950331604809</v>
      </c>
      <c r="N1098" s="25">
        <f t="shared" si="137"/>
        <v>0.88060049668395191</v>
      </c>
      <c r="O1098" s="25">
        <f t="shared" si="138"/>
        <v>-0.12715122163162618</v>
      </c>
      <c r="P1098" s="25">
        <f t="shared" si="139"/>
        <v>0</v>
      </c>
      <c r="Q1098" s="25">
        <f t="shared" si="143"/>
        <v>544.7768148214783</v>
      </c>
      <c r="R1098" s="25">
        <f t="shared" si="140"/>
        <v>6</v>
      </c>
      <c r="S1098" s="26">
        <f t="shared" si="141"/>
        <v>11</v>
      </c>
    </row>
    <row r="1099" spans="2:19" x14ac:dyDescent="0.3">
      <c r="B1099" s="24">
        <v>367492</v>
      </c>
      <c r="C1099" s="25">
        <v>18</v>
      </c>
      <c r="D1099" s="25">
        <v>2</v>
      </c>
      <c r="E1099" s="25">
        <v>0</v>
      </c>
      <c r="F1099" s="25">
        <v>0</v>
      </c>
      <c r="G1099" s="25">
        <v>20</v>
      </c>
      <c r="H1099" s="25">
        <v>16.7</v>
      </c>
      <c r="I1099" s="25">
        <v>0.46</v>
      </c>
      <c r="J1099" s="25">
        <v>2.88</v>
      </c>
      <c r="K1099" s="26">
        <v>1</v>
      </c>
      <c r="L1099" s="25">
        <f t="shared" si="136"/>
        <v>1.0614141814787883</v>
      </c>
      <c r="M1099" s="25">
        <f t="shared" si="142"/>
        <v>0.74296070445468121</v>
      </c>
      <c r="N1099" s="25">
        <f t="shared" si="137"/>
        <v>0.74296070445468121</v>
      </c>
      <c r="O1099" s="25">
        <f t="shared" si="138"/>
        <v>-0.29711212334174064</v>
      </c>
      <c r="P1099" s="25">
        <f t="shared" si="139"/>
        <v>1</v>
      </c>
      <c r="Q1099" s="25">
        <f t="shared" si="143"/>
        <v>456.4970613490292</v>
      </c>
      <c r="R1099" s="25">
        <f t="shared" si="140"/>
        <v>8</v>
      </c>
      <c r="S1099" s="26">
        <f t="shared" si="141"/>
        <v>16</v>
      </c>
    </row>
    <row r="1100" spans="2:19" x14ac:dyDescent="0.3">
      <c r="B1100" s="24">
        <v>367497</v>
      </c>
      <c r="C1100" s="25">
        <v>46</v>
      </c>
      <c r="D1100" s="25">
        <v>1</v>
      </c>
      <c r="E1100" s="25">
        <v>20</v>
      </c>
      <c r="F1100" s="25">
        <v>14</v>
      </c>
      <c r="G1100" s="25">
        <v>48</v>
      </c>
      <c r="H1100" s="25">
        <v>2.7</v>
      </c>
      <c r="I1100" s="25">
        <v>0.94</v>
      </c>
      <c r="J1100" s="25">
        <v>0.36</v>
      </c>
      <c r="K1100" s="26">
        <v>0</v>
      </c>
      <c r="L1100" s="25">
        <f t="shared" si="136"/>
        <v>-5.6954186661019008</v>
      </c>
      <c r="M1100" s="25">
        <f t="shared" si="142"/>
        <v>3.3500689238581496E-3</v>
      </c>
      <c r="N1100" s="25">
        <f t="shared" si="137"/>
        <v>0.99664993107614186</v>
      </c>
      <c r="O1100" s="25">
        <f t="shared" si="138"/>
        <v>-3.3556929688939668E-3</v>
      </c>
      <c r="P1100" s="25">
        <f t="shared" si="139"/>
        <v>0</v>
      </c>
      <c r="Q1100" s="25">
        <f t="shared" si="143"/>
        <v>651.45804064983759</v>
      </c>
      <c r="R1100" s="25">
        <f t="shared" si="140"/>
        <v>3</v>
      </c>
      <c r="S1100" s="26">
        <f t="shared" si="141"/>
        <v>2</v>
      </c>
    </row>
    <row r="1101" spans="2:19" x14ac:dyDescent="0.3">
      <c r="B1101" s="24">
        <v>367502</v>
      </c>
      <c r="C1101" s="25">
        <v>38</v>
      </c>
      <c r="D1101" s="25">
        <v>1</v>
      </c>
      <c r="E1101" s="25">
        <v>6</v>
      </c>
      <c r="F1101" s="25">
        <v>10</v>
      </c>
      <c r="G1101" s="25">
        <v>24</v>
      </c>
      <c r="H1101" s="25">
        <v>16.8</v>
      </c>
      <c r="I1101" s="25">
        <v>0.56000000000000005</v>
      </c>
      <c r="J1101" s="25">
        <v>3.48</v>
      </c>
      <c r="K1101" s="26">
        <v>1</v>
      </c>
      <c r="L1101" s="25">
        <f t="shared" si="136"/>
        <v>-0.92708408886251625</v>
      </c>
      <c r="M1101" s="25">
        <f t="shared" si="142"/>
        <v>0.28351666392924857</v>
      </c>
      <c r="N1101" s="25">
        <f t="shared" si="137"/>
        <v>0.28351666392924857</v>
      </c>
      <c r="O1101" s="25">
        <f t="shared" si="138"/>
        <v>-1.2604843782498831</v>
      </c>
      <c r="P1101" s="25">
        <f t="shared" si="139"/>
        <v>0</v>
      </c>
      <c r="Q1101" s="25">
        <f t="shared" si="143"/>
        <v>513.87299159163013</v>
      </c>
      <c r="R1101" s="25">
        <f t="shared" si="140"/>
        <v>7</v>
      </c>
      <c r="S1101" s="26">
        <f t="shared" si="141"/>
        <v>13</v>
      </c>
    </row>
    <row r="1102" spans="2:19" x14ac:dyDescent="0.3">
      <c r="B1102" s="24">
        <v>367569</v>
      </c>
      <c r="C1102" s="25">
        <v>23</v>
      </c>
      <c r="D1102" s="25">
        <v>3</v>
      </c>
      <c r="E1102" s="25">
        <v>0</v>
      </c>
      <c r="F1102" s="25">
        <v>2</v>
      </c>
      <c r="G1102" s="25">
        <v>32</v>
      </c>
      <c r="H1102" s="25">
        <v>7.9</v>
      </c>
      <c r="I1102" s="25">
        <v>1.22</v>
      </c>
      <c r="J1102" s="25">
        <v>1.3</v>
      </c>
      <c r="K1102" s="26">
        <v>0</v>
      </c>
      <c r="L1102" s="25">
        <f t="shared" si="136"/>
        <v>0.28110940949787028</v>
      </c>
      <c r="M1102" s="25">
        <f t="shared" si="142"/>
        <v>0.56981818944654283</v>
      </c>
      <c r="N1102" s="25">
        <f t="shared" si="137"/>
        <v>0.43018181055345717</v>
      </c>
      <c r="O1102" s="25">
        <f t="shared" si="138"/>
        <v>-0.84354734441510681</v>
      </c>
      <c r="P1102" s="25">
        <f t="shared" si="139"/>
        <v>1</v>
      </c>
      <c r="Q1102" s="25">
        <f t="shared" si="143"/>
        <v>479.01189720928937</v>
      </c>
      <c r="R1102" s="25">
        <f t="shared" si="140"/>
        <v>7</v>
      </c>
      <c r="S1102" s="26">
        <f t="shared" si="141"/>
        <v>15</v>
      </c>
    </row>
    <row r="1103" spans="2:19" x14ac:dyDescent="0.3">
      <c r="B1103" s="24">
        <v>367610</v>
      </c>
      <c r="C1103" s="25">
        <v>41</v>
      </c>
      <c r="D1103" s="25">
        <v>5</v>
      </c>
      <c r="E1103" s="25">
        <v>6</v>
      </c>
      <c r="F1103" s="25">
        <v>5</v>
      </c>
      <c r="G1103" s="25">
        <v>190</v>
      </c>
      <c r="H1103" s="25">
        <v>1.9</v>
      </c>
      <c r="I1103" s="25">
        <v>0.86</v>
      </c>
      <c r="J1103" s="25">
        <v>2.75</v>
      </c>
      <c r="K1103" s="26">
        <v>0</v>
      </c>
      <c r="L1103" s="25">
        <f t="shared" si="136"/>
        <v>-2.3666419492591539</v>
      </c>
      <c r="M1103" s="25">
        <f t="shared" si="142"/>
        <v>8.5752040045483161E-2</v>
      </c>
      <c r="N1103" s="25">
        <f t="shared" si="137"/>
        <v>0.9142479599545168</v>
      </c>
      <c r="O1103" s="25">
        <f t="shared" si="138"/>
        <v>-8.9653453342046802E-2</v>
      </c>
      <c r="P1103" s="25">
        <f t="shared" si="139"/>
        <v>0</v>
      </c>
      <c r="Q1103" s="25">
        <f t="shared" si="143"/>
        <v>555.40985013972863</v>
      </c>
      <c r="R1103" s="25">
        <f t="shared" si="140"/>
        <v>5</v>
      </c>
      <c r="S1103" s="26">
        <f t="shared" si="141"/>
        <v>10</v>
      </c>
    </row>
    <row r="1104" spans="2:19" x14ac:dyDescent="0.3">
      <c r="B1104" s="24">
        <v>370015</v>
      </c>
      <c r="C1104" s="25">
        <v>59</v>
      </c>
      <c r="D1104" s="25">
        <v>3</v>
      </c>
      <c r="E1104" s="25">
        <v>7</v>
      </c>
      <c r="F1104" s="25">
        <v>20</v>
      </c>
      <c r="G1104" s="25">
        <v>92</v>
      </c>
      <c r="H1104" s="25">
        <v>7.5</v>
      </c>
      <c r="I1104" s="25">
        <v>3.06</v>
      </c>
      <c r="J1104" s="25">
        <v>3.84</v>
      </c>
      <c r="K1104" s="26">
        <v>0</v>
      </c>
      <c r="L1104" s="25">
        <f t="shared" si="136"/>
        <v>-1.7576394586609032</v>
      </c>
      <c r="M1104" s="25">
        <f t="shared" si="142"/>
        <v>0.14708622749280809</v>
      </c>
      <c r="N1104" s="25">
        <f t="shared" si="137"/>
        <v>0.85291377250719191</v>
      </c>
      <c r="O1104" s="25">
        <f t="shared" si="138"/>
        <v>-0.15909682393049937</v>
      </c>
      <c r="P1104" s="25">
        <f t="shared" si="139"/>
        <v>0</v>
      </c>
      <c r="Q1104" s="25">
        <f t="shared" si="143"/>
        <v>537.83775317625577</v>
      </c>
      <c r="R1104" s="25">
        <f t="shared" si="140"/>
        <v>6</v>
      </c>
      <c r="S1104" s="26">
        <f t="shared" si="141"/>
        <v>12</v>
      </c>
    </row>
    <row r="1105" spans="2:19" x14ac:dyDescent="0.3">
      <c r="B1105" s="24">
        <v>370057</v>
      </c>
      <c r="C1105" s="25">
        <v>64</v>
      </c>
      <c r="D1105" s="25">
        <v>2</v>
      </c>
      <c r="E1105" s="25">
        <v>42</v>
      </c>
      <c r="F1105" s="25">
        <v>22</v>
      </c>
      <c r="G1105" s="25">
        <v>267</v>
      </c>
      <c r="H1105" s="25">
        <v>13.2</v>
      </c>
      <c r="I1105" s="25">
        <v>16.95</v>
      </c>
      <c r="J1105" s="25">
        <v>18.29</v>
      </c>
      <c r="K1105" s="26">
        <v>0</v>
      </c>
      <c r="L1105" s="25">
        <f t="shared" si="136"/>
        <v>-2.2459267882907974</v>
      </c>
      <c r="M1105" s="25">
        <f t="shared" si="142"/>
        <v>9.5701391336616717E-2</v>
      </c>
      <c r="N1105" s="25">
        <f t="shared" si="137"/>
        <v>0.9042986086633833</v>
      </c>
      <c r="O1105" s="25">
        <f t="shared" si="138"/>
        <v>-0.10059565381547374</v>
      </c>
      <c r="P1105" s="25">
        <f t="shared" si="139"/>
        <v>0</v>
      </c>
      <c r="Q1105" s="25">
        <f t="shared" si="143"/>
        <v>551.92674695666381</v>
      </c>
      <c r="R1105" s="25">
        <f t="shared" si="140"/>
        <v>6</v>
      </c>
      <c r="S1105" s="26">
        <f t="shared" si="141"/>
        <v>11</v>
      </c>
    </row>
    <row r="1106" spans="2:19" x14ac:dyDescent="0.3">
      <c r="B1106" s="24">
        <v>370068</v>
      </c>
      <c r="C1106" s="25">
        <v>32</v>
      </c>
      <c r="D1106" s="25">
        <v>4</v>
      </c>
      <c r="E1106" s="25">
        <v>7</v>
      </c>
      <c r="F1106" s="25">
        <v>6</v>
      </c>
      <c r="G1106" s="25">
        <v>71</v>
      </c>
      <c r="H1106" s="25">
        <v>19.5</v>
      </c>
      <c r="I1106" s="25">
        <v>4.13</v>
      </c>
      <c r="J1106" s="25">
        <v>9.7200000000000006</v>
      </c>
      <c r="K1106" s="26">
        <v>1</v>
      </c>
      <c r="L1106" s="25">
        <f t="shared" si="136"/>
        <v>1.0737992179105342</v>
      </c>
      <c r="M1106" s="25">
        <f t="shared" si="142"/>
        <v>0.74531875036852779</v>
      </c>
      <c r="N1106" s="25">
        <f t="shared" si="137"/>
        <v>0.74531875036852779</v>
      </c>
      <c r="O1106" s="25">
        <f t="shared" si="138"/>
        <v>-0.29394329926184504</v>
      </c>
      <c r="P1106" s="25">
        <f t="shared" si="139"/>
        <v>1</v>
      </c>
      <c r="Q1106" s="25">
        <f t="shared" si="143"/>
        <v>456.13970474633123</v>
      </c>
      <c r="R1106" s="25">
        <f t="shared" si="140"/>
        <v>8</v>
      </c>
      <c r="S1106" s="26">
        <f t="shared" si="141"/>
        <v>16</v>
      </c>
    </row>
    <row r="1107" spans="2:19" x14ac:dyDescent="0.3">
      <c r="B1107" s="24">
        <v>370095</v>
      </c>
      <c r="C1107" s="25">
        <v>32</v>
      </c>
      <c r="D1107" s="25">
        <v>3</v>
      </c>
      <c r="E1107" s="25">
        <v>4</v>
      </c>
      <c r="F1107" s="25">
        <v>4</v>
      </c>
      <c r="G1107" s="25">
        <v>37</v>
      </c>
      <c r="H1107" s="25">
        <v>3.1</v>
      </c>
      <c r="I1107" s="25">
        <v>0.32</v>
      </c>
      <c r="J1107" s="25">
        <v>0.83</v>
      </c>
      <c r="K1107" s="26">
        <v>0</v>
      </c>
      <c r="L1107" s="25">
        <f t="shared" si="136"/>
        <v>-1.7986767488001769</v>
      </c>
      <c r="M1107" s="25">
        <f t="shared" si="142"/>
        <v>0.14201221974722866</v>
      </c>
      <c r="N1107" s="25">
        <f t="shared" si="137"/>
        <v>0.85798778025277134</v>
      </c>
      <c r="O1107" s="25">
        <f t="shared" si="138"/>
        <v>-0.15316542172523201</v>
      </c>
      <c r="P1107" s="25">
        <f t="shared" si="139"/>
        <v>0</v>
      </c>
      <c r="Q1107" s="25">
        <f t="shared" si="143"/>
        <v>539.02183904220544</v>
      </c>
      <c r="R1107" s="25">
        <f t="shared" si="140"/>
        <v>6</v>
      </c>
      <c r="S1107" s="26">
        <f t="shared" si="141"/>
        <v>12</v>
      </c>
    </row>
    <row r="1108" spans="2:19" x14ac:dyDescent="0.3">
      <c r="B1108" s="24">
        <v>370103</v>
      </c>
      <c r="C1108" s="25">
        <v>22</v>
      </c>
      <c r="D1108" s="25">
        <v>4</v>
      </c>
      <c r="E1108" s="25">
        <v>0</v>
      </c>
      <c r="F1108" s="25">
        <v>1</v>
      </c>
      <c r="G1108" s="25">
        <v>28</v>
      </c>
      <c r="H1108" s="25">
        <v>19.8</v>
      </c>
      <c r="I1108" s="25">
        <v>0.44</v>
      </c>
      <c r="J1108" s="25">
        <v>5.0999999999999996</v>
      </c>
      <c r="K1108" s="26">
        <v>1</v>
      </c>
      <c r="L1108" s="25">
        <f t="shared" si="136"/>
        <v>1.1925438366514929</v>
      </c>
      <c r="M1108" s="25">
        <f t="shared" si="142"/>
        <v>0.7671957186414613</v>
      </c>
      <c r="N1108" s="25">
        <f t="shared" si="137"/>
        <v>0.7671957186414613</v>
      </c>
      <c r="O1108" s="25">
        <f t="shared" si="138"/>
        <v>-0.26501333592709631</v>
      </c>
      <c r="P1108" s="25">
        <f t="shared" si="139"/>
        <v>1</v>
      </c>
      <c r="Q1108" s="25">
        <f t="shared" si="143"/>
        <v>452.71345939164149</v>
      </c>
      <c r="R1108" s="25">
        <f t="shared" si="140"/>
        <v>8</v>
      </c>
      <c r="S1108" s="26">
        <f t="shared" si="141"/>
        <v>16</v>
      </c>
    </row>
    <row r="1109" spans="2:19" x14ac:dyDescent="0.3">
      <c r="B1109" s="24">
        <v>370112</v>
      </c>
      <c r="C1109" s="25">
        <v>21</v>
      </c>
      <c r="D1109" s="25">
        <v>2</v>
      </c>
      <c r="E1109" s="25">
        <v>3</v>
      </c>
      <c r="F1109" s="25">
        <v>1</v>
      </c>
      <c r="G1109" s="25">
        <v>15</v>
      </c>
      <c r="H1109" s="25">
        <v>11.8</v>
      </c>
      <c r="I1109" s="25">
        <v>0.42</v>
      </c>
      <c r="J1109" s="25">
        <v>1.35</v>
      </c>
      <c r="K1109" s="26">
        <v>1</v>
      </c>
      <c r="L1109" s="25">
        <f t="shared" si="136"/>
        <v>-0.26137097313283492</v>
      </c>
      <c r="M1109" s="25">
        <f t="shared" si="142"/>
        <v>0.43502672254880131</v>
      </c>
      <c r="N1109" s="25">
        <f t="shared" si="137"/>
        <v>0.43502672254880131</v>
      </c>
      <c r="O1109" s="25">
        <f t="shared" si="138"/>
        <v>-0.83234781863359886</v>
      </c>
      <c r="P1109" s="25">
        <f t="shared" si="139"/>
        <v>1</v>
      </c>
      <c r="Q1109" s="25">
        <f t="shared" si="143"/>
        <v>494.66457192167746</v>
      </c>
      <c r="R1109" s="25">
        <f t="shared" si="140"/>
        <v>7</v>
      </c>
      <c r="S1109" s="26">
        <f t="shared" si="141"/>
        <v>14</v>
      </c>
    </row>
    <row r="1110" spans="2:19" x14ac:dyDescent="0.3">
      <c r="B1110" s="24">
        <v>370157</v>
      </c>
      <c r="C1110" s="25">
        <v>66</v>
      </c>
      <c r="D1110" s="25">
        <v>2</v>
      </c>
      <c r="E1110" s="25">
        <v>18</v>
      </c>
      <c r="F1110" s="25">
        <v>24</v>
      </c>
      <c r="G1110" s="25">
        <v>70</v>
      </c>
      <c r="H1110" s="25">
        <v>2.8</v>
      </c>
      <c r="I1110" s="25">
        <v>1</v>
      </c>
      <c r="J1110" s="25">
        <v>0.96</v>
      </c>
      <c r="K1110" s="26">
        <v>0</v>
      </c>
      <c r="L1110" s="25">
        <f t="shared" si="136"/>
        <v>-5.9957880846118128</v>
      </c>
      <c r="M1110" s="25">
        <f t="shared" si="142"/>
        <v>2.4830336853966396E-3</v>
      </c>
      <c r="N1110" s="25">
        <f t="shared" si="137"/>
        <v>0.9975169663146034</v>
      </c>
      <c r="O1110" s="25">
        <f t="shared" si="138"/>
        <v>-2.4861215260720115E-3</v>
      </c>
      <c r="P1110" s="25">
        <f t="shared" si="139"/>
        <v>0</v>
      </c>
      <c r="Q1110" s="25">
        <f t="shared" si="143"/>
        <v>660.12486981458073</v>
      </c>
      <c r="R1110" s="25">
        <f t="shared" si="140"/>
        <v>2</v>
      </c>
      <c r="S1110" s="26">
        <f t="shared" si="141"/>
        <v>2</v>
      </c>
    </row>
    <row r="1111" spans="2:19" x14ac:dyDescent="0.3">
      <c r="B1111" s="24">
        <v>370165</v>
      </c>
      <c r="C1111" s="25">
        <v>18</v>
      </c>
      <c r="D1111" s="25">
        <v>2</v>
      </c>
      <c r="E1111" s="25">
        <v>0</v>
      </c>
      <c r="F1111" s="25">
        <v>0</v>
      </c>
      <c r="G1111" s="25">
        <v>22</v>
      </c>
      <c r="H1111" s="25">
        <v>4.4000000000000004</v>
      </c>
      <c r="I1111" s="25">
        <v>0.15</v>
      </c>
      <c r="J1111" s="25">
        <v>0.82</v>
      </c>
      <c r="K1111" s="26">
        <v>1</v>
      </c>
      <c r="L1111" s="25">
        <f t="shared" si="136"/>
        <v>-0.36216984593937274</v>
      </c>
      <c r="M1111" s="25">
        <f t="shared" si="142"/>
        <v>0.4104344090951384</v>
      </c>
      <c r="N1111" s="25">
        <f t="shared" si="137"/>
        <v>0.4104344090951384</v>
      </c>
      <c r="O1111" s="25">
        <f t="shared" si="138"/>
        <v>-0.89053914581577909</v>
      </c>
      <c r="P1111" s="25">
        <f t="shared" si="139"/>
        <v>1</v>
      </c>
      <c r="Q1111" s="25">
        <f t="shared" si="143"/>
        <v>497.57301251775004</v>
      </c>
      <c r="R1111" s="25">
        <f t="shared" si="140"/>
        <v>7</v>
      </c>
      <c r="S1111" s="26">
        <f t="shared" si="141"/>
        <v>14</v>
      </c>
    </row>
    <row r="1112" spans="2:19" x14ac:dyDescent="0.3">
      <c r="B1112" s="24">
        <v>370182</v>
      </c>
      <c r="C1112" s="25">
        <v>40</v>
      </c>
      <c r="D1112" s="25">
        <v>2</v>
      </c>
      <c r="E1112" s="25">
        <v>16</v>
      </c>
      <c r="F1112" s="25">
        <v>11</v>
      </c>
      <c r="G1112" s="25">
        <v>53</v>
      </c>
      <c r="H1112" s="25">
        <v>1.2</v>
      </c>
      <c r="I1112" s="25">
        <v>0.42</v>
      </c>
      <c r="J1112" s="25">
        <v>0.21</v>
      </c>
      <c r="K1112" s="26">
        <v>0</v>
      </c>
      <c r="L1112" s="25">
        <f t="shared" si="136"/>
        <v>-5.0149801476144278</v>
      </c>
      <c r="M1112" s="25">
        <f t="shared" si="142"/>
        <v>6.5939944337257902E-3</v>
      </c>
      <c r="N1112" s="25">
        <f t="shared" si="137"/>
        <v>0.99340600556627423</v>
      </c>
      <c r="O1112" s="25">
        <f t="shared" si="138"/>
        <v>-6.6158308608085222E-3</v>
      </c>
      <c r="P1112" s="25">
        <f t="shared" si="139"/>
        <v>0</v>
      </c>
      <c r="Q1112" s="25">
        <f t="shared" si="143"/>
        <v>631.82473568125192</v>
      </c>
      <c r="R1112" s="25">
        <f t="shared" si="140"/>
        <v>3</v>
      </c>
      <c r="S1112" s="26">
        <f t="shared" si="141"/>
        <v>4</v>
      </c>
    </row>
    <row r="1113" spans="2:19" x14ac:dyDescent="0.3">
      <c r="B1113" s="24">
        <v>370209</v>
      </c>
      <c r="C1113" s="25">
        <v>21</v>
      </c>
      <c r="D1113" s="25">
        <v>3</v>
      </c>
      <c r="E1113" s="25">
        <v>0</v>
      </c>
      <c r="F1113" s="25">
        <v>0</v>
      </c>
      <c r="G1113" s="25">
        <v>27</v>
      </c>
      <c r="H1113" s="25">
        <v>2.2999999999999998</v>
      </c>
      <c r="I1113" s="25">
        <v>0.22</v>
      </c>
      <c r="J1113" s="25">
        <v>0.4</v>
      </c>
      <c r="K1113" s="26">
        <v>0</v>
      </c>
      <c r="L1113" s="25">
        <f t="shared" si="136"/>
        <v>-0.66589318147580134</v>
      </c>
      <c r="M1113" s="25">
        <f t="shared" si="142"/>
        <v>0.33941703520856237</v>
      </c>
      <c r="N1113" s="25">
        <f t="shared" si="137"/>
        <v>0.66058296479143763</v>
      </c>
      <c r="O1113" s="25">
        <f t="shared" si="138"/>
        <v>-0.4146325538368521</v>
      </c>
      <c r="P1113" s="25">
        <f t="shared" si="139"/>
        <v>0</v>
      </c>
      <c r="Q1113" s="25">
        <f t="shared" si="143"/>
        <v>506.33661526898459</v>
      </c>
      <c r="R1113" s="25">
        <f t="shared" si="140"/>
        <v>7</v>
      </c>
      <c r="S1113" s="26">
        <f t="shared" si="141"/>
        <v>14</v>
      </c>
    </row>
    <row r="1114" spans="2:19" x14ac:dyDescent="0.3">
      <c r="B1114" s="24">
        <v>370216</v>
      </c>
      <c r="C1114" s="25">
        <v>35</v>
      </c>
      <c r="D1114" s="25">
        <v>3</v>
      </c>
      <c r="E1114" s="25">
        <v>2</v>
      </c>
      <c r="F1114" s="25">
        <v>7</v>
      </c>
      <c r="G1114" s="25">
        <v>27</v>
      </c>
      <c r="H1114" s="25">
        <v>0.8</v>
      </c>
      <c r="I1114" s="25">
        <v>0.1</v>
      </c>
      <c r="J1114" s="25">
        <v>0.11</v>
      </c>
      <c r="K1114" s="26">
        <v>0</v>
      </c>
      <c r="L1114" s="25">
        <f t="shared" si="136"/>
        <v>-1.8623905342638982</v>
      </c>
      <c r="M1114" s="25">
        <f t="shared" si="142"/>
        <v>0.13442465896583486</v>
      </c>
      <c r="N1114" s="25">
        <f t="shared" si="137"/>
        <v>0.86557534103416511</v>
      </c>
      <c r="O1114" s="25">
        <f t="shared" si="138"/>
        <v>-0.14436085901039172</v>
      </c>
      <c r="P1114" s="25">
        <f t="shared" si="139"/>
        <v>0</v>
      </c>
      <c r="Q1114" s="25">
        <f t="shared" si="143"/>
        <v>540.86023023659709</v>
      </c>
      <c r="R1114" s="25">
        <f t="shared" si="140"/>
        <v>6</v>
      </c>
      <c r="S1114" s="26">
        <f t="shared" si="141"/>
        <v>11</v>
      </c>
    </row>
    <row r="1115" spans="2:19" x14ac:dyDescent="0.3">
      <c r="B1115" s="24">
        <v>370237</v>
      </c>
      <c r="C1115" s="25">
        <v>18</v>
      </c>
      <c r="D1115" s="25">
        <v>2</v>
      </c>
      <c r="E1115" s="25">
        <v>0</v>
      </c>
      <c r="F1115" s="25">
        <v>0</v>
      </c>
      <c r="G1115" s="25">
        <v>19</v>
      </c>
      <c r="H1115" s="25">
        <v>14.9</v>
      </c>
      <c r="I1115" s="25">
        <v>0.14000000000000001</v>
      </c>
      <c r="J1115" s="25">
        <v>2.7</v>
      </c>
      <c r="K1115" s="26">
        <v>1</v>
      </c>
      <c r="L1115" s="25">
        <f t="shared" si="136"/>
        <v>0.72575092124299623</v>
      </c>
      <c r="M1115" s="25">
        <f t="shared" si="142"/>
        <v>0.67387214981325705</v>
      </c>
      <c r="N1115" s="25">
        <f t="shared" si="137"/>
        <v>0.67387214981325705</v>
      </c>
      <c r="O1115" s="25">
        <f t="shared" si="138"/>
        <v>-0.39471487476737416</v>
      </c>
      <c r="P1115" s="25">
        <f t="shared" si="139"/>
        <v>1</v>
      </c>
      <c r="Q1115" s="25">
        <f t="shared" si="143"/>
        <v>466.18225549354668</v>
      </c>
      <c r="R1115" s="25">
        <f t="shared" si="140"/>
        <v>8</v>
      </c>
      <c r="S1115" s="26">
        <f t="shared" si="141"/>
        <v>15</v>
      </c>
    </row>
    <row r="1116" spans="2:19" x14ac:dyDescent="0.3">
      <c r="B1116" s="24">
        <v>370290</v>
      </c>
      <c r="C1116" s="25">
        <v>27</v>
      </c>
      <c r="D1116" s="25">
        <v>3</v>
      </c>
      <c r="E1116" s="25">
        <v>3</v>
      </c>
      <c r="F1116" s="25">
        <v>2</v>
      </c>
      <c r="G1116" s="25">
        <v>38</v>
      </c>
      <c r="H1116" s="25">
        <v>9.6999999999999993</v>
      </c>
      <c r="I1116" s="25">
        <v>0.44</v>
      </c>
      <c r="J1116" s="25">
        <v>3.24</v>
      </c>
      <c r="K1116" s="26">
        <v>1</v>
      </c>
      <c r="L1116" s="25">
        <f t="shared" si="136"/>
        <v>-0.62409867924142648</v>
      </c>
      <c r="M1116" s="25">
        <f t="shared" si="142"/>
        <v>0.34884984571429423</v>
      </c>
      <c r="N1116" s="25">
        <f t="shared" si="137"/>
        <v>0.34884984571429423</v>
      </c>
      <c r="O1116" s="25">
        <f t="shared" si="138"/>
        <v>-1.0531136908664627</v>
      </c>
      <c r="P1116" s="25">
        <f t="shared" si="139"/>
        <v>0</v>
      </c>
      <c r="Q1116" s="25">
        <f t="shared" si="143"/>
        <v>505.13068088096418</v>
      </c>
      <c r="R1116" s="25">
        <f t="shared" si="140"/>
        <v>7</v>
      </c>
      <c r="S1116" s="26">
        <f t="shared" si="141"/>
        <v>14</v>
      </c>
    </row>
    <row r="1117" spans="2:19" x14ac:dyDescent="0.3">
      <c r="B1117" s="24">
        <v>370297</v>
      </c>
      <c r="C1117" s="25">
        <v>54</v>
      </c>
      <c r="D1117" s="25">
        <v>3</v>
      </c>
      <c r="E1117" s="25">
        <v>15</v>
      </c>
      <c r="F1117" s="25">
        <v>11</v>
      </c>
      <c r="G1117" s="25">
        <v>93</v>
      </c>
      <c r="H1117" s="25">
        <v>13.7</v>
      </c>
      <c r="I1117" s="25">
        <v>7.99</v>
      </c>
      <c r="J1117" s="25">
        <v>4.75</v>
      </c>
      <c r="K1117" s="26">
        <v>1</v>
      </c>
      <c r="L1117" s="25">
        <f t="shared" si="136"/>
        <v>-0.19012490049398717</v>
      </c>
      <c r="M1117" s="25">
        <f t="shared" si="142"/>
        <v>0.4526114370363255</v>
      </c>
      <c r="N1117" s="25">
        <f t="shared" si="137"/>
        <v>0.4526114370363255</v>
      </c>
      <c r="O1117" s="25">
        <f t="shared" si="138"/>
        <v>-0.79272127646802248</v>
      </c>
      <c r="P1117" s="25">
        <f t="shared" si="139"/>
        <v>1</v>
      </c>
      <c r="Q1117" s="25">
        <f t="shared" si="143"/>
        <v>492.60884486636343</v>
      </c>
      <c r="R1117" s="25">
        <f t="shared" si="140"/>
        <v>7</v>
      </c>
      <c r="S1117" s="26">
        <f t="shared" si="141"/>
        <v>14</v>
      </c>
    </row>
    <row r="1118" spans="2:19" x14ac:dyDescent="0.3">
      <c r="B1118" s="24">
        <v>370384</v>
      </c>
      <c r="C1118" s="25">
        <v>58</v>
      </c>
      <c r="D1118" s="25">
        <v>2</v>
      </c>
      <c r="E1118" s="25">
        <v>2</v>
      </c>
      <c r="F1118" s="25">
        <v>20</v>
      </c>
      <c r="G1118" s="25">
        <v>31</v>
      </c>
      <c r="H1118" s="25">
        <v>3.3</v>
      </c>
      <c r="I1118" s="25">
        <v>0.5</v>
      </c>
      <c r="J1118" s="25">
        <v>0.52</v>
      </c>
      <c r="K1118" s="26">
        <v>0</v>
      </c>
      <c r="L1118" s="25">
        <f t="shared" si="136"/>
        <v>-2.2795244144440665</v>
      </c>
      <c r="M1118" s="25">
        <f t="shared" si="142"/>
        <v>9.2832996814812732E-2</v>
      </c>
      <c r="N1118" s="25">
        <f t="shared" si="137"/>
        <v>0.90716700318518728</v>
      </c>
      <c r="O1118" s="25">
        <f t="shared" si="138"/>
        <v>-9.7428718820498875E-2</v>
      </c>
      <c r="P1118" s="25">
        <f t="shared" si="139"/>
        <v>0</v>
      </c>
      <c r="Q1118" s="25">
        <f t="shared" si="143"/>
        <v>552.8961695019276</v>
      </c>
      <c r="R1118" s="25">
        <f t="shared" si="140"/>
        <v>6</v>
      </c>
      <c r="S1118" s="26">
        <f t="shared" si="141"/>
        <v>11</v>
      </c>
    </row>
    <row r="1119" spans="2:19" x14ac:dyDescent="0.3">
      <c r="B1119" s="24">
        <v>370404</v>
      </c>
      <c r="C1119" s="25">
        <v>43</v>
      </c>
      <c r="D1119" s="25">
        <v>3</v>
      </c>
      <c r="E1119" s="25">
        <v>3</v>
      </c>
      <c r="F1119" s="25">
        <v>12</v>
      </c>
      <c r="G1119" s="25">
        <v>38</v>
      </c>
      <c r="H1119" s="25">
        <v>6</v>
      </c>
      <c r="I1119" s="25">
        <v>0.62</v>
      </c>
      <c r="J1119" s="25">
        <v>1.66</v>
      </c>
      <c r="K1119" s="26">
        <v>0</v>
      </c>
      <c r="L1119" s="25">
        <f t="shared" si="136"/>
        <v>-1.618532017254539</v>
      </c>
      <c r="M1119" s="25">
        <f t="shared" si="142"/>
        <v>0.16540742246420789</v>
      </c>
      <c r="N1119" s="25">
        <f t="shared" si="137"/>
        <v>0.83459257753579208</v>
      </c>
      <c r="O1119" s="25">
        <f t="shared" si="138"/>
        <v>-0.18081160430325388</v>
      </c>
      <c r="P1119" s="25">
        <f t="shared" si="139"/>
        <v>0</v>
      </c>
      <c r="Q1119" s="25">
        <f t="shared" si="143"/>
        <v>533.82396097266076</v>
      </c>
      <c r="R1119" s="25">
        <f t="shared" si="140"/>
        <v>6</v>
      </c>
      <c r="S1119" s="26">
        <f t="shared" si="141"/>
        <v>12</v>
      </c>
    </row>
    <row r="1120" spans="2:19" x14ac:dyDescent="0.3">
      <c r="B1120" s="24">
        <v>370440</v>
      </c>
      <c r="C1120" s="25">
        <v>42</v>
      </c>
      <c r="D1120" s="25">
        <v>4</v>
      </c>
      <c r="E1120" s="25">
        <v>6</v>
      </c>
      <c r="F1120" s="25">
        <v>14</v>
      </c>
      <c r="G1120" s="25">
        <v>49</v>
      </c>
      <c r="H1120" s="25">
        <v>14.7</v>
      </c>
      <c r="I1120" s="25">
        <v>2.85</v>
      </c>
      <c r="J1120" s="25">
        <v>4.3600000000000003</v>
      </c>
      <c r="K1120" s="26">
        <v>0</v>
      </c>
      <c r="L1120" s="25">
        <f t="shared" si="136"/>
        <v>-0.40077468501708424</v>
      </c>
      <c r="M1120" s="25">
        <f t="shared" si="142"/>
        <v>0.40112622772555567</v>
      </c>
      <c r="N1120" s="25">
        <f t="shared" si="137"/>
        <v>0.59887377227444438</v>
      </c>
      <c r="O1120" s="25">
        <f t="shared" si="138"/>
        <v>-0.51270443383406117</v>
      </c>
      <c r="P1120" s="25">
        <f t="shared" si="139"/>
        <v>1</v>
      </c>
      <c r="Q1120" s="25">
        <f t="shared" si="143"/>
        <v>498.68691268401443</v>
      </c>
      <c r="R1120" s="25">
        <f t="shared" si="140"/>
        <v>7</v>
      </c>
      <c r="S1120" s="26">
        <f t="shared" si="141"/>
        <v>14</v>
      </c>
    </row>
    <row r="1121" spans="2:19" x14ac:dyDescent="0.3">
      <c r="B1121" s="24">
        <v>370446</v>
      </c>
      <c r="C1121" s="25">
        <v>26</v>
      </c>
      <c r="D1121" s="25">
        <v>4</v>
      </c>
      <c r="E1121" s="25">
        <v>0</v>
      </c>
      <c r="F1121" s="25">
        <v>3</v>
      </c>
      <c r="G1121" s="25">
        <v>26</v>
      </c>
      <c r="H1121" s="25">
        <v>3.3</v>
      </c>
      <c r="I1121" s="25">
        <v>0.41</v>
      </c>
      <c r="J1121" s="25">
        <v>0.45</v>
      </c>
      <c r="K1121" s="26">
        <v>0</v>
      </c>
      <c r="L1121" s="25">
        <f t="shared" si="136"/>
        <v>-0.73437535517467756</v>
      </c>
      <c r="M1121" s="25">
        <f t="shared" si="142"/>
        <v>0.32423532115976844</v>
      </c>
      <c r="N1121" s="25">
        <f t="shared" si="137"/>
        <v>0.67576467884023161</v>
      </c>
      <c r="O1121" s="25">
        <f t="shared" si="138"/>
        <v>-0.39191037176741522</v>
      </c>
      <c r="P1121" s="25">
        <f t="shared" si="139"/>
        <v>0</v>
      </c>
      <c r="Q1121" s="25">
        <f t="shared" si="143"/>
        <v>508.3125930606746</v>
      </c>
      <c r="R1121" s="25">
        <f t="shared" si="140"/>
        <v>7</v>
      </c>
      <c r="S1121" s="26">
        <f t="shared" si="141"/>
        <v>14</v>
      </c>
    </row>
    <row r="1122" spans="2:19" x14ac:dyDescent="0.3">
      <c r="B1122" s="24">
        <v>370500</v>
      </c>
      <c r="C1122" s="25">
        <v>31</v>
      </c>
      <c r="D1122" s="25">
        <v>4</v>
      </c>
      <c r="E1122" s="25">
        <v>8</v>
      </c>
      <c r="F1122" s="25">
        <v>6</v>
      </c>
      <c r="G1122" s="25">
        <v>47</v>
      </c>
      <c r="H1122" s="25">
        <v>24.6</v>
      </c>
      <c r="I1122" s="25">
        <v>5.98</v>
      </c>
      <c r="J1122" s="25">
        <v>5.58</v>
      </c>
      <c r="K1122" s="26">
        <v>1</v>
      </c>
      <c r="L1122" s="25">
        <f t="shared" si="136"/>
        <v>2.1442409925563441</v>
      </c>
      <c r="M1122" s="25">
        <f t="shared" si="142"/>
        <v>0.89512939182612228</v>
      </c>
      <c r="N1122" s="25">
        <f t="shared" si="137"/>
        <v>0.89512939182612228</v>
      </c>
      <c r="O1122" s="25">
        <f t="shared" si="138"/>
        <v>-0.11078699928402543</v>
      </c>
      <c r="P1122" s="25">
        <f t="shared" si="139"/>
        <v>1</v>
      </c>
      <c r="Q1122" s="25">
        <f t="shared" si="143"/>
        <v>425.25328482487851</v>
      </c>
      <c r="R1122" s="25">
        <f t="shared" si="140"/>
        <v>8</v>
      </c>
      <c r="S1122" s="26">
        <f t="shared" si="141"/>
        <v>16</v>
      </c>
    </row>
    <row r="1123" spans="2:19" x14ac:dyDescent="0.3">
      <c r="B1123" s="24">
        <v>370619</v>
      </c>
      <c r="C1123" s="25">
        <v>18</v>
      </c>
      <c r="D1123" s="25">
        <v>2</v>
      </c>
      <c r="E1123" s="25">
        <v>0</v>
      </c>
      <c r="F1123" s="25">
        <v>0</v>
      </c>
      <c r="G1123" s="25">
        <v>22</v>
      </c>
      <c r="H1123" s="25">
        <v>10.199999999999999</v>
      </c>
      <c r="I1123" s="25">
        <v>0.52</v>
      </c>
      <c r="J1123" s="25">
        <v>1.72</v>
      </c>
      <c r="K1123" s="26">
        <v>1</v>
      </c>
      <c r="L1123" s="25">
        <f t="shared" si="136"/>
        <v>0.41355795103005949</v>
      </c>
      <c r="M1123" s="25">
        <f t="shared" si="142"/>
        <v>0.6019407011302853</v>
      </c>
      <c r="N1123" s="25">
        <f t="shared" si="137"/>
        <v>0.6019407011302853</v>
      </c>
      <c r="O1123" s="25">
        <f t="shared" si="138"/>
        <v>-0.50759634163090395</v>
      </c>
      <c r="P1123" s="25">
        <f t="shared" si="139"/>
        <v>1</v>
      </c>
      <c r="Q1123" s="25">
        <f t="shared" si="143"/>
        <v>475.19024023677377</v>
      </c>
      <c r="R1123" s="25">
        <f t="shared" si="140"/>
        <v>7</v>
      </c>
      <c r="S1123" s="26">
        <f t="shared" si="141"/>
        <v>15</v>
      </c>
    </row>
    <row r="1124" spans="2:19" x14ac:dyDescent="0.3">
      <c r="B1124" s="24">
        <v>370648</v>
      </c>
      <c r="C1124" s="25">
        <v>33</v>
      </c>
      <c r="D1124" s="25">
        <v>4</v>
      </c>
      <c r="E1124" s="25">
        <v>4</v>
      </c>
      <c r="F1124" s="25">
        <v>4</v>
      </c>
      <c r="G1124" s="25">
        <v>136</v>
      </c>
      <c r="H1124" s="25">
        <v>10.1</v>
      </c>
      <c r="I1124" s="25">
        <v>5.56</v>
      </c>
      <c r="J1124" s="25">
        <v>8.17</v>
      </c>
      <c r="K1124" s="26">
        <v>1</v>
      </c>
      <c r="L1124" s="25">
        <f t="shared" si="136"/>
        <v>1.5124376940101434</v>
      </c>
      <c r="M1124" s="25">
        <f t="shared" si="142"/>
        <v>0.81942219202572286</v>
      </c>
      <c r="N1124" s="25">
        <f t="shared" si="137"/>
        <v>0.81942219202572286</v>
      </c>
      <c r="O1124" s="25">
        <f t="shared" si="138"/>
        <v>-0.19915583097308609</v>
      </c>
      <c r="P1124" s="25">
        <f t="shared" si="139"/>
        <v>1</v>
      </c>
      <c r="Q1124" s="25">
        <f t="shared" si="143"/>
        <v>443.48327402080071</v>
      </c>
      <c r="R1124" s="25">
        <f t="shared" si="140"/>
        <v>8</v>
      </c>
      <c r="S1124" s="26">
        <f t="shared" si="141"/>
        <v>16</v>
      </c>
    </row>
    <row r="1125" spans="2:19" x14ac:dyDescent="0.3">
      <c r="B1125" s="24">
        <v>370650</v>
      </c>
      <c r="C1125" s="25">
        <v>46</v>
      </c>
      <c r="D1125" s="25">
        <v>3</v>
      </c>
      <c r="E1125" s="25">
        <v>0</v>
      </c>
      <c r="F1125" s="25">
        <v>7</v>
      </c>
      <c r="G1125" s="25">
        <v>34</v>
      </c>
      <c r="H1125" s="25">
        <v>3.9</v>
      </c>
      <c r="I1125" s="25">
        <v>0.08</v>
      </c>
      <c r="J1125" s="25">
        <v>1.24</v>
      </c>
      <c r="K1125" s="26">
        <v>0</v>
      </c>
      <c r="L1125" s="25">
        <f t="shared" si="136"/>
        <v>-1.3181787821695707</v>
      </c>
      <c r="M1125" s="25">
        <f t="shared" si="142"/>
        <v>0.21112145624569154</v>
      </c>
      <c r="N1125" s="25">
        <f t="shared" si="137"/>
        <v>0.78887854375430844</v>
      </c>
      <c r="O1125" s="25">
        <f t="shared" si="138"/>
        <v>-0.23714290692580964</v>
      </c>
      <c r="P1125" s="25">
        <f t="shared" si="139"/>
        <v>0</v>
      </c>
      <c r="Q1125" s="25">
        <f t="shared" si="143"/>
        <v>525.15759876284255</v>
      </c>
      <c r="R1125" s="25">
        <f t="shared" si="140"/>
        <v>6</v>
      </c>
      <c r="S1125" s="26">
        <f t="shared" si="141"/>
        <v>13</v>
      </c>
    </row>
    <row r="1126" spans="2:19" x14ac:dyDescent="0.3">
      <c r="B1126" s="24">
        <v>370667</v>
      </c>
      <c r="C1126" s="25">
        <v>35</v>
      </c>
      <c r="D1126" s="25">
        <v>4</v>
      </c>
      <c r="E1126" s="25">
        <v>6</v>
      </c>
      <c r="F1126" s="25">
        <v>9</v>
      </c>
      <c r="G1126" s="25">
        <v>81</v>
      </c>
      <c r="H1126" s="25">
        <v>6.8</v>
      </c>
      <c r="I1126" s="25">
        <v>2.84</v>
      </c>
      <c r="J1126" s="25">
        <v>2.67</v>
      </c>
      <c r="K1126" s="26">
        <v>0</v>
      </c>
      <c r="L1126" s="25">
        <f t="shared" si="136"/>
        <v>-0.91388068156651814</v>
      </c>
      <c r="M1126" s="25">
        <f t="shared" si="142"/>
        <v>0.28620638661792502</v>
      </c>
      <c r="N1126" s="25">
        <f t="shared" si="137"/>
        <v>0.71379361338207503</v>
      </c>
      <c r="O1126" s="25">
        <f t="shared" si="138"/>
        <v>-0.33716141531539734</v>
      </c>
      <c r="P1126" s="25">
        <f t="shared" si="139"/>
        <v>0</v>
      </c>
      <c r="Q1126" s="25">
        <f t="shared" si="143"/>
        <v>513.4920217978522</v>
      </c>
      <c r="R1126" s="25">
        <f t="shared" si="140"/>
        <v>7</v>
      </c>
      <c r="S1126" s="26">
        <f t="shared" si="141"/>
        <v>13</v>
      </c>
    </row>
    <row r="1127" spans="2:19" x14ac:dyDescent="0.3">
      <c r="B1127" s="24">
        <v>370672</v>
      </c>
      <c r="C1127" s="25">
        <v>68</v>
      </c>
      <c r="D1127" s="25">
        <v>3</v>
      </c>
      <c r="E1127" s="25">
        <v>38</v>
      </c>
      <c r="F1127" s="25">
        <v>25</v>
      </c>
      <c r="G1127" s="25">
        <v>154</v>
      </c>
      <c r="H1127" s="25">
        <v>6.2</v>
      </c>
      <c r="I1127" s="25">
        <v>3.02</v>
      </c>
      <c r="J1127" s="25">
        <v>6.53</v>
      </c>
      <c r="K1127" s="26">
        <v>0</v>
      </c>
      <c r="L1127" s="25">
        <f t="shared" si="136"/>
        <v>-9.1955842306708302</v>
      </c>
      <c r="M1127" s="25">
        <f t="shared" si="142"/>
        <v>1.0147625658922838E-4</v>
      </c>
      <c r="N1127" s="25">
        <f t="shared" si="137"/>
        <v>0.99989852374341082</v>
      </c>
      <c r="O1127" s="25">
        <f t="shared" si="138"/>
        <v>-1.0148140565285067E-4</v>
      </c>
      <c r="P1127" s="25">
        <f t="shared" si="139"/>
        <v>0</v>
      </c>
      <c r="Q1127" s="25">
        <f t="shared" si="143"/>
        <v>752.45146783335304</v>
      </c>
      <c r="R1127" s="25">
        <f t="shared" si="140"/>
        <v>1</v>
      </c>
      <c r="S1127" s="26">
        <f t="shared" si="141"/>
        <v>1</v>
      </c>
    </row>
    <row r="1128" spans="2:19" x14ac:dyDescent="0.3">
      <c r="B1128" s="24">
        <v>370695</v>
      </c>
      <c r="C1128" s="25">
        <v>24</v>
      </c>
      <c r="D1128" s="25">
        <v>4</v>
      </c>
      <c r="E1128" s="25">
        <v>0</v>
      </c>
      <c r="F1128" s="25">
        <v>2</v>
      </c>
      <c r="G1128" s="25">
        <v>45</v>
      </c>
      <c r="H1128" s="25">
        <v>6.7</v>
      </c>
      <c r="I1128" s="25">
        <v>0.82</v>
      </c>
      <c r="J1128" s="25">
        <v>2.19</v>
      </c>
      <c r="K1128" s="26">
        <v>0</v>
      </c>
      <c r="L1128" s="25">
        <f t="shared" si="136"/>
        <v>-7.770163330988844E-2</v>
      </c>
      <c r="M1128" s="25">
        <f t="shared" si="142"/>
        <v>0.48058435925484794</v>
      </c>
      <c r="N1128" s="25">
        <f t="shared" si="137"/>
        <v>0.51941564074515201</v>
      </c>
      <c r="O1128" s="25">
        <f t="shared" si="138"/>
        <v>-0.65505086710493088</v>
      </c>
      <c r="P1128" s="25">
        <f t="shared" si="139"/>
        <v>1</v>
      </c>
      <c r="Q1128" s="25">
        <f t="shared" si="143"/>
        <v>489.36499515736017</v>
      </c>
      <c r="R1128" s="25">
        <f t="shared" si="140"/>
        <v>7</v>
      </c>
      <c r="S1128" s="26">
        <f t="shared" si="141"/>
        <v>15</v>
      </c>
    </row>
    <row r="1129" spans="2:19" x14ac:dyDescent="0.3">
      <c r="B1129" s="24">
        <v>370721</v>
      </c>
      <c r="C1129" s="25">
        <v>46</v>
      </c>
      <c r="D1129" s="25">
        <v>4</v>
      </c>
      <c r="E1129" s="25">
        <v>1</v>
      </c>
      <c r="F1129" s="25">
        <v>10</v>
      </c>
      <c r="G1129" s="25">
        <v>58</v>
      </c>
      <c r="H1129" s="25">
        <v>7.6</v>
      </c>
      <c r="I1129" s="25">
        <v>0.33</v>
      </c>
      <c r="J1129" s="25">
        <v>4.08</v>
      </c>
      <c r="K1129" s="26">
        <v>0</v>
      </c>
      <c r="L1129" s="25">
        <f t="shared" si="136"/>
        <v>-1.131826304180614</v>
      </c>
      <c r="M1129" s="25">
        <f t="shared" si="142"/>
        <v>0.24382422043551835</v>
      </c>
      <c r="N1129" s="25">
        <f t="shared" si="137"/>
        <v>0.75617577956448168</v>
      </c>
      <c r="O1129" s="25">
        <f t="shared" si="138"/>
        <v>-0.27948141717805047</v>
      </c>
      <c r="P1129" s="25">
        <f t="shared" si="139"/>
        <v>0</v>
      </c>
      <c r="Q1129" s="25">
        <f t="shared" si="143"/>
        <v>519.78060299819697</v>
      </c>
      <c r="R1129" s="25">
        <f t="shared" si="140"/>
        <v>6</v>
      </c>
      <c r="S1129" s="26">
        <f t="shared" si="141"/>
        <v>13</v>
      </c>
    </row>
    <row r="1130" spans="2:19" x14ac:dyDescent="0.3">
      <c r="B1130" s="24">
        <v>370722</v>
      </c>
      <c r="C1130" s="25">
        <v>38</v>
      </c>
      <c r="D1130" s="25">
        <v>3</v>
      </c>
      <c r="E1130" s="25">
        <v>12</v>
      </c>
      <c r="F1130" s="25">
        <v>9</v>
      </c>
      <c r="G1130" s="25">
        <v>86</v>
      </c>
      <c r="H1130" s="25">
        <v>2.4</v>
      </c>
      <c r="I1130" s="25">
        <v>0.87</v>
      </c>
      <c r="J1130" s="25">
        <v>1.19</v>
      </c>
      <c r="K1130" s="26">
        <v>0</v>
      </c>
      <c r="L1130" s="25">
        <f t="shared" si="136"/>
        <v>-3.6904176378103033</v>
      </c>
      <c r="M1130" s="25">
        <f t="shared" si="142"/>
        <v>2.4353669032262586E-2</v>
      </c>
      <c r="N1130" s="25">
        <f t="shared" si="137"/>
        <v>0.97564633096773745</v>
      </c>
      <c r="O1130" s="25">
        <f t="shared" si="138"/>
        <v>-2.4655124051144679E-2</v>
      </c>
      <c r="P1130" s="25">
        <f t="shared" si="139"/>
        <v>0</v>
      </c>
      <c r="Q1130" s="25">
        <f t="shared" si="143"/>
        <v>593.60594147961467</v>
      </c>
      <c r="R1130" s="25">
        <f t="shared" si="140"/>
        <v>4</v>
      </c>
      <c r="S1130" s="26">
        <f t="shared" si="141"/>
        <v>7</v>
      </c>
    </row>
    <row r="1131" spans="2:19" x14ac:dyDescent="0.3">
      <c r="B1131" s="24">
        <v>370730</v>
      </c>
      <c r="C1131" s="25">
        <v>43</v>
      </c>
      <c r="D1131" s="25">
        <v>2</v>
      </c>
      <c r="E1131" s="25">
        <v>13</v>
      </c>
      <c r="F1131" s="25">
        <v>10</v>
      </c>
      <c r="G1131" s="25">
        <v>62</v>
      </c>
      <c r="H1131" s="25">
        <v>21.9</v>
      </c>
      <c r="I1131" s="25">
        <v>7.9</v>
      </c>
      <c r="J1131" s="25">
        <v>5.68</v>
      </c>
      <c r="K1131" s="26">
        <v>1</v>
      </c>
      <c r="L1131" s="25">
        <f t="shared" si="136"/>
        <v>1.3767683717821986</v>
      </c>
      <c r="M1131" s="25">
        <f t="shared" si="142"/>
        <v>0.79847148507959154</v>
      </c>
      <c r="N1131" s="25">
        <f t="shared" si="137"/>
        <v>0.79847148507959154</v>
      </c>
      <c r="O1131" s="25">
        <f t="shared" si="138"/>
        <v>-0.22505602257260926</v>
      </c>
      <c r="P1131" s="25">
        <f t="shared" si="139"/>
        <v>1</v>
      </c>
      <c r="Q1131" s="25">
        <f t="shared" si="143"/>
        <v>447.39786307743361</v>
      </c>
      <c r="R1131" s="25">
        <f t="shared" si="140"/>
        <v>8</v>
      </c>
      <c r="S1131" s="26">
        <f t="shared" si="141"/>
        <v>16</v>
      </c>
    </row>
    <row r="1132" spans="2:19" x14ac:dyDescent="0.3">
      <c r="B1132" s="24">
        <v>370733</v>
      </c>
      <c r="C1132" s="25">
        <v>20</v>
      </c>
      <c r="D1132" s="25">
        <v>3</v>
      </c>
      <c r="E1132" s="25">
        <v>0</v>
      </c>
      <c r="F1132" s="25">
        <v>0</v>
      </c>
      <c r="G1132" s="25">
        <v>27</v>
      </c>
      <c r="H1132" s="25">
        <v>1</v>
      </c>
      <c r="I1132" s="25">
        <v>0.11</v>
      </c>
      <c r="J1132" s="25">
        <v>0.16</v>
      </c>
      <c r="K1132" s="26">
        <v>1</v>
      </c>
      <c r="L1132" s="25">
        <f t="shared" si="136"/>
        <v>-0.83194972311323001</v>
      </c>
      <c r="M1132" s="25">
        <f t="shared" si="142"/>
        <v>0.30323296937471528</v>
      </c>
      <c r="N1132" s="25">
        <f t="shared" si="137"/>
        <v>0.30323296937471528</v>
      </c>
      <c r="O1132" s="25">
        <f t="shared" si="138"/>
        <v>-1.1932538930822167</v>
      </c>
      <c r="P1132" s="25">
        <f t="shared" si="139"/>
        <v>0</v>
      </c>
      <c r="Q1132" s="25">
        <f t="shared" si="143"/>
        <v>511.12799411573678</v>
      </c>
      <c r="R1132" s="25">
        <f t="shared" si="140"/>
        <v>7</v>
      </c>
      <c r="S1132" s="26">
        <f t="shared" si="141"/>
        <v>13</v>
      </c>
    </row>
    <row r="1133" spans="2:19" x14ac:dyDescent="0.3">
      <c r="B1133" s="24">
        <v>370775</v>
      </c>
      <c r="C1133" s="25">
        <v>23</v>
      </c>
      <c r="D1133" s="25">
        <v>4</v>
      </c>
      <c r="E1133" s="25">
        <v>0</v>
      </c>
      <c r="F1133" s="25">
        <v>1</v>
      </c>
      <c r="G1133" s="25">
        <v>24</v>
      </c>
      <c r="H1133" s="25">
        <v>26.9</v>
      </c>
      <c r="I1133" s="25">
        <v>0.4</v>
      </c>
      <c r="J1133" s="25">
        <v>6.06</v>
      </c>
      <c r="K1133" s="26">
        <v>1</v>
      </c>
      <c r="L1133" s="25">
        <f t="shared" si="136"/>
        <v>1.8825791651921786</v>
      </c>
      <c r="M1133" s="25">
        <f t="shared" si="142"/>
        <v>0.86790709390459664</v>
      </c>
      <c r="N1133" s="25">
        <f t="shared" si="137"/>
        <v>0.86790709390459664</v>
      </c>
      <c r="O1133" s="25">
        <f t="shared" si="138"/>
        <v>-0.14167060472252987</v>
      </c>
      <c r="P1133" s="25">
        <f t="shared" si="139"/>
        <v>1</v>
      </c>
      <c r="Q1133" s="25">
        <f t="shared" si="143"/>
        <v>432.80324902546141</v>
      </c>
      <c r="R1133" s="25">
        <f t="shared" si="140"/>
        <v>8</v>
      </c>
      <c r="S1133" s="26">
        <f t="shared" si="141"/>
        <v>16</v>
      </c>
    </row>
    <row r="1134" spans="2:19" x14ac:dyDescent="0.3">
      <c r="B1134" s="24">
        <v>370788</v>
      </c>
      <c r="C1134" s="25">
        <v>45</v>
      </c>
      <c r="D1134" s="25">
        <v>1</v>
      </c>
      <c r="E1134" s="25">
        <v>8</v>
      </c>
      <c r="F1134" s="25">
        <v>12</v>
      </c>
      <c r="G1134" s="25">
        <v>41</v>
      </c>
      <c r="H1134" s="25">
        <v>14.8</v>
      </c>
      <c r="I1134" s="25">
        <v>0.26</v>
      </c>
      <c r="J1134" s="25">
        <v>5.81</v>
      </c>
      <c r="K1134" s="26">
        <v>0</v>
      </c>
      <c r="L1134" s="25">
        <f t="shared" si="136"/>
        <v>-1.8749476298745475</v>
      </c>
      <c r="M1134" s="25">
        <f t="shared" si="142"/>
        <v>0.13297027779075474</v>
      </c>
      <c r="N1134" s="25">
        <f t="shared" si="137"/>
        <v>0.86702972220924523</v>
      </c>
      <c r="O1134" s="25">
        <f t="shared" si="138"/>
        <v>-0.14268202111763514</v>
      </c>
      <c r="P1134" s="25">
        <f t="shared" si="139"/>
        <v>0</v>
      </c>
      <c r="Q1134" s="25">
        <f t="shared" si="143"/>
        <v>541.22255141763719</v>
      </c>
      <c r="R1134" s="25">
        <f t="shared" si="140"/>
        <v>6</v>
      </c>
      <c r="S1134" s="26">
        <f t="shared" si="141"/>
        <v>11</v>
      </c>
    </row>
    <row r="1135" spans="2:19" x14ac:dyDescent="0.3">
      <c r="B1135" s="24">
        <v>370813</v>
      </c>
      <c r="C1135" s="25">
        <v>37</v>
      </c>
      <c r="D1135" s="25">
        <v>1</v>
      </c>
      <c r="E1135" s="25">
        <v>7</v>
      </c>
      <c r="F1135" s="25">
        <v>2</v>
      </c>
      <c r="G1135" s="25">
        <v>29</v>
      </c>
      <c r="H1135" s="25">
        <v>4.3</v>
      </c>
      <c r="I1135" s="25">
        <v>0.17</v>
      </c>
      <c r="J1135" s="25">
        <v>1.08</v>
      </c>
      <c r="K1135" s="26">
        <v>0</v>
      </c>
      <c r="L1135" s="25">
        <f t="shared" si="136"/>
        <v>-2.3603967183632375</v>
      </c>
      <c r="M1135" s="25">
        <f t="shared" si="142"/>
        <v>8.6242925939942275E-2</v>
      </c>
      <c r="N1135" s="25">
        <f t="shared" si="137"/>
        <v>0.91375707406005768</v>
      </c>
      <c r="O1135" s="25">
        <f t="shared" si="138"/>
        <v>-9.0190526158723472E-2</v>
      </c>
      <c r="P1135" s="25">
        <f t="shared" si="139"/>
        <v>0</v>
      </c>
      <c r="Q1135" s="25">
        <f t="shared" si="143"/>
        <v>555.22965087198099</v>
      </c>
      <c r="R1135" s="25">
        <f t="shared" si="140"/>
        <v>5</v>
      </c>
      <c r="S1135" s="26">
        <f t="shared" si="141"/>
        <v>10</v>
      </c>
    </row>
    <row r="1136" spans="2:19" x14ac:dyDescent="0.3">
      <c r="B1136" s="24">
        <v>370841</v>
      </c>
      <c r="C1136" s="25">
        <v>51</v>
      </c>
      <c r="D1136" s="25">
        <v>3</v>
      </c>
      <c r="E1136" s="25">
        <v>29</v>
      </c>
      <c r="F1136" s="25">
        <v>14</v>
      </c>
      <c r="G1136" s="25">
        <v>285</v>
      </c>
      <c r="H1136" s="25">
        <v>16.600000000000001</v>
      </c>
      <c r="I1136" s="25">
        <v>14.81</v>
      </c>
      <c r="J1136" s="25">
        <v>32.5</v>
      </c>
      <c r="K1136" s="26">
        <v>0</v>
      </c>
      <c r="L1136" s="25">
        <f t="shared" si="136"/>
        <v>0.86943626894011516</v>
      </c>
      <c r="M1136" s="25">
        <f t="shared" si="142"/>
        <v>0.70462838375313308</v>
      </c>
      <c r="N1136" s="25">
        <f t="shared" si="137"/>
        <v>0.29537161624686692</v>
      </c>
      <c r="O1136" s="25">
        <f t="shared" si="138"/>
        <v>-1.2195209993278455</v>
      </c>
      <c r="P1136" s="25">
        <f t="shared" si="139"/>
        <v>1</v>
      </c>
      <c r="Q1136" s="25">
        <f t="shared" si="143"/>
        <v>462.03637283962883</v>
      </c>
      <c r="R1136" s="25">
        <f t="shared" si="140"/>
        <v>8</v>
      </c>
      <c r="S1136" s="26">
        <f t="shared" si="141"/>
        <v>16</v>
      </c>
    </row>
    <row r="1137" spans="2:19" x14ac:dyDescent="0.3">
      <c r="B1137" s="24">
        <v>370856</v>
      </c>
      <c r="C1137" s="25">
        <v>18</v>
      </c>
      <c r="D1137" s="25">
        <v>2</v>
      </c>
      <c r="E1137" s="25">
        <v>0</v>
      </c>
      <c r="F1137" s="25">
        <v>0</v>
      </c>
      <c r="G1137" s="25">
        <v>31</v>
      </c>
      <c r="H1137" s="25">
        <v>9.1</v>
      </c>
      <c r="I1137" s="25">
        <v>0.49</v>
      </c>
      <c r="J1137" s="25">
        <v>2.33</v>
      </c>
      <c r="K1137" s="26">
        <v>1</v>
      </c>
      <c r="L1137" s="25">
        <f t="shared" si="136"/>
        <v>0.30708540517624267</v>
      </c>
      <c r="M1137" s="25">
        <f t="shared" si="142"/>
        <v>0.57617368264346669</v>
      </c>
      <c r="N1137" s="25">
        <f t="shared" si="137"/>
        <v>0.57617368264346669</v>
      </c>
      <c r="O1137" s="25">
        <f t="shared" si="138"/>
        <v>-0.55134613137086386</v>
      </c>
      <c r="P1137" s="25">
        <f t="shared" si="139"/>
        <v>1</v>
      </c>
      <c r="Q1137" s="25">
        <f t="shared" si="143"/>
        <v>478.26238842758522</v>
      </c>
      <c r="R1137" s="25">
        <f t="shared" si="140"/>
        <v>7</v>
      </c>
      <c r="S1137" s="26">
        <f t="shared" si="141"/>
        <v>15</v>
      </c>
    </row>
    <row r="1138" spans="2:19" x14ac:dyDescent="0.3">
      <c r="B1138" s="24">
        <v>370878</v>
      </c>
      <c r="C1138" s="25">
        <v>33</v>
      </c>
      <c r="D1138" s="25">
        <v>4</v>
      </c>
      <c r="E1138" s="25">
        <v>2</v>
      </c>
      <c r="F1138" s="25">
        <v>6</v>
      </c>
      <c r="G1138" s="25">
        <v>66</v>
      </c>
      <c r="H1138" s="25">
        <v>3.1</v>
      </c>
      <c r="I1138" s="25">
        <v>0.83</v>
      </c>
      <c r="J1138" s="25">
        <v>1.21</v>
      </c>
      <c r="K1138" s="26">
        <v>0</v>
      </c>
      <c r="L1138" s="25">
        <f t="shared" si="136"/>
        <v>-1.2288048342716258</v>
      </c>
      <c r="M1138" s="25">
        <f t="shared" si="142"/>
        <v>0.22639067614009079</v>
      </c>
      <c r="N1138" s="25">
        <f t="shared" si="137"/>
        <v>0.77360932385990921</v>
      </c>
      <c r="O1138" s="25">
        <f t="shared" si="138"/>
        <v>-0.25668828235633911</v>
      </c>
      <c r="P1138" s="25">
        <f t="shared" si="139"/>
        <v>0</v>
      </c>
      <c r="Q1138" s="25">
        <f t="shared" si="143"/>
        <v>522.57881180759</v>
      </c>
      <c r="R1138" s="25">
        <f t="shared" si="140"/>
        <v>6</v>
      </c>
      <c r="S1138" s="26">
        <f t="shared" si="141"/>
        <v>13</v>
      </c>
    </row>
    <row r="1139" spans="2:19" x14ac:dyDescent="0.3">
      <c r="B1139" s="24">
        <v>370896</v>
      </c>
      <c r="C1139" s="25">
        <v>37</v>
      </c>
      <c r="D1139" s="25">
        <v>4</v>
      </c>
      <c r="E1139" s="25">
        <v>8</v>
      </c>
      <c r="F1139" s="25">
        <v>7</v>
      </c>
      <c r="G1139" s="25">
        <v>62</v>
      </c>
      <c r="H1139" s="25">
        <v>23.9</v>
      </c>
      <c r="I1139" s="25">
        <v>5.81</v>
      </c>
      <c r="J1139" s="25">
        <v>9.01</v>
      </c>
      <c r="K1139" s="26">
        <v>1</v>
      </c>
      <c r="L1139" s="25">
        <f t="shared" si="136"/>
        <v>1.921353232324418</v>
      </c>
      <c r="M1139" s="25">
        <f t="shared" si="142"/>
        <v>0.87228926068045765</v>
      </c>
      <c r="N1139" s="25">
        <f t="shared" si="137"/>
        <v>0.87228926068045765</v>
      </c>
      <c r="O1139" s="25">
        <f t="shared" si="138"/>
        <v>-0.13663418911656441</v>
      </c>
      <c r="P1139" s="25">
        <f t="shared" si="139"/>
        <v>1</v>
      </c>
      <c r="Q1139" s="25">
        <f t="shared" si="143"/>
        <v>431.68446596983449</v>
      </c>
      <c r="R1139" s="25">
        <f t="shared" si="140"/>
        <v>8</v>
      </c>
      <c r="S1139" s="26">
        <f t="shared" si="141"/>
        <v>16</v>
      </c>
    </row>
    <row r="1140" spans="2:19" x14ac:dyDescent="0.3">
      <c r="B1140" s="24">
        <v>370900</v>
      </c>
      <c r="C1140" s="25">
        <v>59</v>
      </c>
      <c r="D1140" s="25">
        <v>3</v>
      </c>
      <c r="E1140" s="25">
        <v>22</v>
      </c>
      <c r="F1140" s="25">
        <v>22</v>
      </c>
      <c r="G1140" s="25">
        <v>84</v>
      </c>
      <c r="H1140" s="25">
        <v>16</v>
      </c>
      <c r="I1140" s="25">
        <v>1.85</v>
      </c>
      <c r="J1140" s="25">
        <v>11.59</v>
      </c>
      <c r="K1140" s="26">
        <v>0</v>
      </c>
      <c r="L1140" s="25">
        <f t="shared" si="136"/>
        <v>-4.7497517306461363</v>
      </c>
      <c r="M1140" s="25">
        <f t="shared" si="142"/>
        <v>8.5795969320939577E-3</v>
      </c>
      <c r="N1140" s="25">
        <f t="shared" si="137"/>
        <v>0.99142040306790602</v>
      </c>
      <c r="O1140" s="25">
        <f t="shared" si="138"/>
        <v>-8.6166135510390082E-3</v>
      </c>
      <c r="P1140" s="25">
        <f t="shared" si="139"/>
        <v>0</v>
      </c>
      <c r="Q1140" s="25">
        <f t="shared" si="143"/>
        <v>624.17186146089057</v>
      </c>
      <c r="R1140" s="25">
        <f t="shared" si="140"/>
        <v>3</v>
      </c>
      <c r="S1140" s="26">
        <f t="shared" si="141"/>
        <v>5</v>
      </c>
    </row>
    <row r="1141" spans="2:19" x14ac:dyDescent="0.3">
      <c r="B1141" s="24">
        <v>370913</v>
      </c>
      <c r="C1141" s="25">
        <v>57</v>
      </c>
      <c r="D1141" s="25">
        <v>2</v>
      </c>
      <c r="E1141" s="25">
        <v>36</v>
      </c>
      <c r="F1141" s="25">
        <v>18</v>
      </c>
      <c r="G1141" s="25">
        <v>172</v>
      </c>
      <c r="H1141" s="25">
        <v>9.1999999999999993</v>
      </c>
      <c r="I1141" s="25">
        <v>3.45</v>
      </c>
      <c r="J1141" s="25">
        <v>12.37</v>
      </c>
      <c r="K1141" s="26">
        <v>0</v>
      </c>
      <c r="L1141" s="25">
        <f t="shared" si="136"/>
        <v>-7.5706476299922185</v>
      </c>
      <c r="M1141" s="25">
        <f t="shared" si="142"/>
        <v>5.1509312118073883E-4</v>
      </c>
      <c r="N1141" s="25">
        <f t="shared" si="137"/>
        <v>0.9994849068788193</v>
      </c>
      <c r="O1141" s="25">
        <f t="shared" si="138"/>
        <v>-5.1522582721504268E-4</v>
      </c>
      <c r="P1141" s="25">
        <f t="shared" si="139"/>
        <v>0</v>
      </c>
      <c r="Q1141" s="25">
        <f t="shared" si="143"/>
        <v>705.56570965103242</v>
      </c>
      <c r="R1141" s="25">
        <f t="shared" si="140"/>
        <v>1</v>
      </c>
      <c r="S1141" s="26">
        <f t="shared" si="141"/>
        <v>1</v>
      </c>
    </row>
    <row r="1142" spans="2:19" x14ac:dyDescent="0.3">
      <c r="B1142" s="24">
        <v>370923</v>
      </c>
      <c r="C1142" s="25">
        <v>19</v>
      </c>
      <c r="D1142" s="25">
        <v>2</v>
      </c>
      <c r="E1142" s="25">
        <v>0</v>
      </c>
      <c r="F1142" s="25">
        <v>0</v>
      </c>
      <c r="G1142" s="25">
        <v>39</v>
      </c>
      <c r="H1142" s="25">
        <v>4.4000000000000004</v>
      </c>
      <c r="I1142" s="25">
        <v>0.73</v>
      </c>
      <c r="J1142" s="25">
        <v>0.99</v>
      </c>
      <c r="K1142" s="26">
        <v>0</v>
      </c>
      <c r="L1142" s="25">
        <f t="shared" si="136"/>
        <v>-0.1009766188072248</v>
      </c>
      <c r="M1142" s="25">
        <f t="shared" si="142"/>
        <v>0.47477727315067147</v>
      </c>
      <c r="N1142" s="25">
        <f t="shared" si="137"/>
        <v>0.52522272684932858</v>
      </c>
      <c r="O1142" s="25">
        <f t="shared" si="138"/>
        <v>-0.643932864737776</v>
      </c>
      <c r="P1142" s="25">
        <f t="shared" si="139"/>
        <v>1</v>
      </c>
      <c r="Q1142" s="25">
        <f t="shared" si="143"/>
        <v>490.03656926140178</v>
      </c>
      <c r="R1142" s="25">
        <f t="shared" si="140"/>
        <v>7</v>
      </c>
      <c r="S1142" s="26">
        <f t="shared" si="141"/>
        <v>15</v>
      </c>
    </row>
    <row r="1143" spans="2:19" x14ac:dyDescent="0.3">
      <c r="B1143" s="24">
        <v>370970</v>
      </c>
      <c r="C1143" s="25">
        <v>44</v>
      </c>
      <c r="D1143" s="25">
        <v>2</v>
      </c>
      <c r="E1143" s="25">
        <v>15</v>
      </c>
      <c r="F1143" s="25">
        <v>17</v>
      </c>
      <c r="G1143" s="25">
        <v>59</v>
      </c>
      <c r="H1143" s="25">
        <v>18.3</v>
      </c>
      <c r="I1143" s="25">
        <v>5.85</v>
      </c>
      <c r="J1143" s="25">
        <v>4.95</v>
      </c>
      <c r="K1143" s="26">
        <v>1</v>
      </c>
      <c r="L1143" s="25">
        <f t="shared" si="136"/>
        <v>-0.6741734725738372</v>
      </c>
      <c r="M1143" s="25">
        <f t="shared" si="142"/>
        <v>0.33756296128476926</v>
      </c>
      <c r="N1143" s="25">
        <f t="shared" si="137"/>
        <v>0.33756296128476926</v>
      </c>
      <c r="O1143" s="25">
        <f t="shared" si="138"/>
        <v>-1.0860032341133328</v>
      </c>
      <c r="P1143" s="25">
        <f t="shared" si="139"/>
        <v>0</v>
      </c>
      <c r="Q1143" s="25">
        <f t="shared" si="143"/>
        <v>506.57553396029823</v>
      </c>
      <c r="R1143" s="25">
        <f t="shared" si="140"/>
        <v>7</v>
      </c>
      <c r="S1143" s="26">
        <f t="shared" si="141"/>
        <v>14</v>
      </c>
    </row>
    <row r="1144" spans="2:19" x14ac:dyDescent="0.3">
      <c r="B1144" s="24">
        <v>371071</v>
      </c>
      <c r="C1144" s="25">
        <v>32</v>
      </c>
      <c r="D1144" s="25">
        <v>2</v>
      </c>
      <c r="E1144" s="25">
        <v>0</v>
      </c>
      <c r="F1144" s="25">
        <v>4</v>
      </c>
      <c r="G1144" s="25">
        <v>35</v>
      </c>
      <c r="H1144" s="25">
        <v>18.100000000000001</v>
      </c>
      <c r="I1144" s="25">
        <v>1.1399999999999999</v>
      </c>
      <c r="J1144" s="25">
        <v>5.19</v>
      </c>
      <c r="K1144" s="26">
        <v>1</v>
      </c>
      <c r="L1144" s="25">
        <f t="shared" si="136"/>
        <v>1.1517173056694452</v>
      </c>
      <c r="M1144" s="25">
        <f t="shared" si="142"/>
        <v>0.75982445003700938</v>
      </c>
      <c r="N1144" s="25">
        <f t="shared" si="137"/>
        <v>0.75982445003700938</v>
      </c>
      <c r="O1144" s="25">
        <f t="shared" si="138"/>
        <v>-0.27466785917672715</v>
      </c>
      <c r="P1144" s="25">
        <f t="shared" si="139"/>
        <v>1</v>
      </c>
      <c r="Q1144" s="25">
        <f t="shared" si="143"/>
        <v>453.89146403394437</v>
      </c>
      <c r="R1144" s="25">
        <f t="shared" si="140"/>
        <v>8</v>
      </c>
      <c r="S1144" s="26">
        <f t="shared" si="141"/>
        <v>16</v>
      </c>
    </row>
    <row r="1145" spans="2:19" x14ac:dyDescent="0.3">
      <c r="B1145" s="24">
        <v>371139</v>
      </c>
      <c r="C1145" s="25">
        <v>38</v>
      </c>
      <c r="D1145" s="25">
        <v>3</v>
      </c>
      <c r="E1145" s="25">
        <v>6</v>
      </c>
      <c r="F1145" s="25">
        <v>11</v>
      </c>
      <c r="G1145" s="25">
        <v>37</v>
      </c>
      <c r="H1145" s="25">
        <v>19.100000000000001</v>
      </c>
      <c r="I1145" s="25">
        <v>2.37</v>
      </c>
      <c r="J1145" s="25">
        <v>4.6900000000000004</v>
      </c>
      <c r="K1145" s="26">
        <v>1</v>
      </c>
      <c r="L1145" s="25">
        <f t="shared" si="136"/>
        <v>5.3378601555211957E-2</v>
      </c>
      <c r="M1145" s="25">
        <f t="shared" si="142"/>
        <v>0.51334148274300562</v>
      </c>
      <c r="N1145" s="25">
        <f t="shared" si="137"/>
        <v>0.51334148274300562</v>
      </c>
      <c r="O1145" s="25">
        <f t="shared" si="138"/>
        <v>-0.66681399689519838</v>
      </c>
      <c r="P1145" s="25">
        <f t="shared" si="139"/>
        <v>1</v>
      </c>
      <c r="Q1145" s="25">
        <f t="shared" si="143"/>
        <v>485.58281916858607</v>
      </c>
      <c r="R1145" s="25">
        <f t="shared" si="140"/>
        <v>7</v>
      </c>
      <c r="S1145" s="26">
        <f t="shared" si="141"/>
        <v>15</v>
      </c>
    </row>
    <row r="1146" spans="2:19" x14ac:dyDescent="0.3">
      <c r="B1146" s="24">
        <v>371228</v>
      </c>
      <c r="C1146" s="25">
        <v>19</v>
      </c>
      <c r="D1146" s="25">
        <v>2</v>
      </c>
      <c r="E1146" s="25">
        <v>0</v>
      </c>
      <c r="F1146" s="25">
        <v>0</v>
      </c>
      <c r="G1146" s="25">
        <v>17</v>
      </c>
      <c r="H1146" s="25">
        <v>12.4</v>
      </c>
      <c r="I1146" s="25">
        <v>0.34</v>
      </c>
      <c r="J1146" s="25">
        <v>1.77</v>
      </c>
      <c r="K1146" s="26">
        <v>1</v>
      </c>
      <c r="L1146" s="25">
        <f t="shared" si="136"/>
        <v>0.52601253848800411</v>
      </c>
      <c r="M1146" s="25">
        <f t="shared" si="142"/>
        <v>0.62855262068773254</v>
      </c>
      <c r="N1146" s="25">
        <f t="shared" si="137"/>
        <v>0.62855262068773254</v>
      </c>
      <c r="O1146" s="25">
        <f t="shared" si="138"/>
        <v>-0.4643355302119116</v>
      </c>
      <c r="P1146" s="25">
        <f t="shared" si="139"/>
        <v>1</v>
      </c>
      <c r="Q1146" s="25">
        <f t="shared" si="143"/>
        <v>471.94548681572098</v>
      </c>
      <c r="R1146" s="25">
        <f t="shared" si="140"/>
        <v>7</v>
      </c>
      <c r="S1146" s="26">
        <f t="shared" si="141"/>
        <v>15</v>
      </c>
    </row>
    <row r="1147" spans="2:19" x14ac:dyDescent="0.3">
      <c r="B1147" s="24">
        <v>371240</v>
      </c>
      <c r="C1147" s="25">
        <v>21</v>
      </c>
      <c r="D1147" s="25">
        <v>3</v>
      </c>
      <c r="E1147" s="25">
        <v>0</v>
      </c>
      <c r="F1147" s="25">
        <v>1</v>
      </c>
      <c r="G1147" s="25">
        <v>35</v>
      </c>
      <c r="H1147" s="25">
        <v>22.7</v>
      </c>
      <c r="I1147" s="25">
        <v>2.13</v>
      </c>
      <c r="J1147" s="25">
        <v>5.82</v>
      </c>
      <c r="K1147" s="26">
        <v>1</v>
      </c>
      <c r="L1147" s="25">
        <f t="shared" si="136"/>
        <v>2.3767261611048327</v>
      </c>
      <c r="M1147" s="25">
        <f t="shared" si="142"/>
        <v>0.91503525284354259</v>
      </c>
      <c r="N1147" s="25">
        <f t="shared" si="137"/>
        <v>0.91503525284354259</v>
      </c>
      <c r="O1147" s="25">
        <f t="shared" si="138"/>
        <v>-8.8792686750927677E-2</v>
      </c>
      <c r="P1147" s="25">
        <f t="shared" si="139"/>
        <v>1</v>
      </c>
      <c r="Q1147" s="25">
        <f t="shared" si="143"/>
        <v>418.54518102009723</v>
      </c>
      <c r="R1147" s="25">
        <f t="shared" si="140"/>
        <v>8</v>
      </c>
      <c r="S1147" s="26">
        <f t="shared" si="141"/>
        <v>16</v>
      </c>
    </row>
    <row r="1148" spans="2:19" x14ac:dyDescent="0.3">
      <c r="B1148" s="24">
        <v>371311</v>
      </c>
      <c r="C1148" s="25">
        <v>28</v>
      </c>
      <c r="D1148" s="25">
        <v>1</v>
      </c>
      <c r="E1148" s="25">
        <v>7</v>
      </c>
      <c r="F1148" s="25">
        <v>3</v>
      </c>
      <c r="G1148" s="25">
        <v>43</v>
      </c>
      <c r="H1148" s="25">
        <v>23.4</v>
      </c>
      <c r="I1148" s="25">
        <v>0.27</v>
      </c>
      <c r="J1148" s="25">
        <v>9.7899999999999991</v>
      </c>
      <c r="K1148" s="26">
        <v>1</v>
      </c>
      <c r="L1148" s="25">
        <f t="shared" si="136"/>
        <v>-2.6297494161156842E-2</v>
      </c>
      <c r="M1148" s="25">
        <f t="shared" si="142"/>
        <v>0.49342600531367137</v>
      </c>
      <c r="N1148" s="25">
        <f t="shared" si="137"/>
        <v>0.49342600531367137</v>
      </c>
      <c r="O1148" s="25">
        <f t="shared" si="138"/>
        <v>-0.70638236992463332</v>
      </c>
      <c r="P1148" s="25">
        <f t="shared" si="139"/>
        <v>1</v>
      </c>
      <c r="Q1148" s="25">
        <f t="shared" si="143"/>
        <v>487.8817852667766</v>
      </c>
      <c r="R1148" s="25">
        <f t="shared" si="140"/>
        <v>7</v>
      </c>
      <c r="S1148" s="26">
        <f t="shared" si="141"/>
        <v>15</v>
      </c>
    </row>
    <row r="1149" spans="2:19" x14ac:dyDescent="0.3">
      <c r="B1149" s="24">
        <v>371316</v>
      </c>
      <c r="C1149" s="25">
        <v>19</v>
      </c>
      <c r="D1149" s="25">
        <v>2</v>
      </c>
      <c r="E1149" s="25">
        <v>0</v>
      </c>
      <c r="F1149" s="25">
        <v>0</v>
      </c>
      <c r="G1149" s="25">
        <v>30</v>
      </c>
      <c r="H1149" s="25">
        <v>24.3</v>
      </c>
      <c r="I1149" s="25">
        <v>0.53</v>
      </c>
      <c r="J1149" s="25">
        <v>6.76</v>
      </c>
      <c r="K1149" s="26">
        <v>1</v>
      </c>
      <c r="L1149" s="25">
        <f t="shared" si="136"/>
        <v>1.929884179547716</v>
      </c>
      <c r="M1149" s="25">
        <f t="shared" si="142"/>
        <v>0.87323659975189116</v>
      </c>
      <c r="N1149" s="25">
        <f t="shared" si="137"/>
        <v>0.87323659975189116</v>
      </c>
      <c r="O1149" s="25">
        <f t="shared" si="138"/>
        <v>-0.13554874067272221</v>
      </c>
      <c r="P1149" s="25">
        <f t="shared" si="139"/>
        <v>1</v>
      </c>
      <c r="Q1149" s="25">
        <f t="shared" si="143"/>
        <v>431.43831487174816</v>
      </c>
      <c r="R1149" s="25">
        <f t="shared" si="140"/>
        <v>8</v>
      </c>
      <c r="S1149" s="26">
        <f t="shared" si="141"/>
        <v>16</v>
      </c>
    </row>
    <row r="1150" spans="2:19" x14ac:dyDescent="0.3">
      <c r="B1150" s="24">
        <v>371328</v>
      </c>
      <c r="C1150" s="25">
        <v>48</v>
      </c>
      <c r="D1150" s="25">
        <v>1</v>
      </c>
      <c r="E1150" s="25">
        <v>0</v>
      </c>
      <c r="F1150" s="25">
        <v>12</v>
      </c>
      <c r="G1150" s="25">
        <v>28</v>
      </c>
      <c r="H1150" s="25">
        <v>2.6</v>
      </c>
      <c r="I1150" s="25">
        <v>0.12</v>
      </c>
      <c r="J1150" s="25">
        <v>0.61</v>
      </c>
      <c r="K1150" s="26">
        <v>0</v>
      </c>
      <c r="L1150" s="25">
        <f t="shared" si="136"/>
        <v>-1.5451544410235041</v>
      </c>
      <c r="M1150" s="25">
        <f t="shared" si="142"/>
        <v>0.17578721961508309</v>
      </c>
      <c r="N1150" s="25">
        <f t="shared" si="137"/>
        <v>0.82421278038491685</v>
      </c>
      <c r="O1150" s="25">
        <f t="shared" si="138"/>
        <v>-0.19332655378546554</v>
      </c>
      <c r="P1150" s="25">
        <f t="shared" si="139"/>
        <v>0</v>
      </c>
      <c r="Q1150" s="25">
        <f t="shared" si="143"/>
        <v>531.70673172584804</v>
      </c>
      <c r="R1150" s="25">
        <f t="shared" si="140"/>
        <v>6</v>
      </c>
      <c r="S1150" s="26">
        <f t="shared" si="141"/>
        <v>12</v>
      </c>
    </row>
    <row r="1151" spans="2:19" x14ac:dyDescent="0.3">
      <c r="B1151" s="24">
        <v>371340</v>
      </c>
      <c r="C1151" s="25">
        <v>46</v>
      </c>
      <c r="D1151" s="25">
        <v>1</v>
      </c>
      <c r="E1151" s="25">
        <v>15</v>
      </c>
      <c r="F1151" s="25">
        <v>13</v>
      </c>
      <c r="G1151" s="25">
        <v>95</v>
      </c>
      <c r="H1151" s="25">
        <v>15.4</v>
      </c>
      <c r="I1151" s="25">
        <v>6.69</v>
      </c>
      <c r="J1151" s="25">
        <v>7.94</v>
      </c>
      <c r="K1151" s="26">
        <v>0</v>
      </c>
      <c r="L1151" s="25">
        <f t="shared" si="136"/>
        <v>-0.34148362857030407</v>
      </c>
      <c r="M1151" s="25">
        <f t="shared" si="142"/>
        <v>0.41544913102283704</v>
      </c>
      <c r="N1151" s="25">
        <f t="shared" si="137"/>
        <v>0.58455086897716302</v>
      </c>
      <c r="O1151" s="25">
        <f t="shared" si="138"/>
        <v>-0.53691147195584732</v>
      </c>
      <c r="P1151" s="25">
        <f t="shared" si="139"/>
        <v>1</v>
      </c>
      <c r="Q1151" s="25">
        <f t="shared" si="143"/>
        <v>496.9761344704047</v>
      </c>
      <c r="R1151" s="25">
        <f t="shared" si="140"/>
        <v>7</v>
      </c>
      <c r="S1151" s="26">
        <f t="shared" si="141"/>
        <v>14</v>
      </c>
    </row>
    <row r="1152" spans="2:19" x14ac:dyDescent="0.3">
      <c r="B1152" s="24">
        <v>371388</v>
      </c>
      <c r="C1152" s="25">
        <v>30</v>
      </c>
      <c r="D1152" s="25">
        <v>2</v>
      </c>
      <c r="E1152" s="25">
        <v>6</v>
      </c>
      <c r="F1152" s="25">
        <v>5</v>
      </c>
      <c r="G1152" s="25">
        <v>32</v>
      </c>
      <c r="H1152" s="25">
        <v>1.5</v>
      </c>
      <c r="I1152" s="25">
        <v>0.19</v>
      </c>
      <c r="J1152" s="25">
        <v>0.28999999999999998</v>
      </c>
      <c r="K1152" s="26">
        <v>0</v>
      </c>
      <c r="L1152" s="25">
        <f t="shared" si="136"/>
        <v>-2.4227867608524414</v>
      </c>
      <c r="M1152" s="25">
        <f t="shared" si="142"/>
        <v>8.1451514574972614E-2</v>
      </c>
      <c r="N1152" s="25">
        <f t="shared" si="137"/>
        <v>0.91854848542502743</v>
      </c>
      <c r="O1152" s="25">
        <f t="shared" si="138"/>
        <v>-8.4960588104466273E-2</v>
      </c>
      <c r="P1152" s="25">
        <f t="shared" si="139"/>
        <v>0</v>
      </c>
      <c r="Q1152" s="25">
        <f t="shared" si="143"/>
        <v>557.02984691896029</v>
      </c>
      <c r="R1152" s="25">
        <f t="shared" si="140"/>
        <v>5</v>
      </c>
      <c r="S1152" s="26">
        <f t="shared" si="141"/>
        <v>10</v>
      </c>
    </row>
    <row r="1153" spans="2:19" x14ac:dyDescent="0.3">
      <c r="B1153" s="24">
        <v>371395</v>
      </c>
      <c r="C1153" s="25">
        <v>52</v>
      </c>
      <c r="D1153" s="25">
        <v>1</v>
      </c>
      <c r="E1153" s="25">
        <v>30</v>
      </c>
      <c r="F1153" s="25">
        <v>13</v>
      </c>
      <c r="G1153" s="25">
        <v>125</v>
      </c>
      <c r="H1153" s="25">
        <v>15.7</v>
      </c>
      <c r="I1153" s="25">
        <v>8.32</v>
      </c>
      <c r="J1153" s="25">
        <v>11.3</v>
      </c>
      <c r="K1153" s="26">
        <v>0</v>
      </c>
      <c r="L1153" s="25">
        <f t="shared" si="136"/>
        <v>-2.9715466327721223</v>
      </c>
      <c r="M1153" s="25">
        <f t="shared" si="142"/>
        <v>4.8727980998095034E-2</v>
      </c>
      <c r="N1153" s="25">
        <f t="shared" si="137"/>
        <v>0.95127201900190494</v>
      </c>
      <c r="O1153" s="25">
        <f t="shared" si="138"/>
        <v>-4.9955222634554604E-2</v>
      </c>
      <c r="P1153" s="25">
        <f t="shared" si="139"/>
        <v>0</v>
      </c>
      <c r="Q1153" s="25">
        <f t="shared" si="143"/>
        <v>572.86370938734353</v>
      </c>
      <c r="R1153" s="25">
        <f t="shared" si="140"/>
        <v>5</v>
      </c>
      <c r="S1153" s="26">
        <f t="shared" si="141"/>
        <v>9</v>
      </c>
    </row>
    <row r="1154" spans="2:19" x14ac:dyDescent="0.3">
      <c r="B1154" s="24">
        <v>371420</v>
      </c>
      <c r="C1154" s="25">
        <v>33</v>
      </c>
      <c r="D1154" s="25">
        <v>2</v>
      </c>
      <c r="E1154" s="25">
        <v>3</v>
      </c>
      <c r="F1154" s="25">
        <v>3</v>
      </c>
      <c r="G1154" s="25">
        <v>36</v>
      </c>
      <c r="H1154" s="25">
        <v>18</v>
      </c>
      <c r="I1154" s="25">
        <v>2.1800000000000002</v>
      </c>
      <c r="J1154" s="25">
        <v>4.3</v>
      </c>
      <c r="K1154" s="26">
        <v>0</v>
      </c>
      <c r="L1154" s="25">
        <f t="shared" si="136"/>
        <v>0.94452693917909913</v>
      </c>
      <c r="M1154" s="25">
        <f t="shared" si="142"/>
        <v>0.72001317040689206</v>
      </c>
      <c r="N1154" s="25">
        <f t="shared" si="137"/>
        <v>0.27998682959310794</v>
      </c>
      <c r="O1154" s="25">
        <f t="shared" si="138"/>
        <v>-1.2730127140866414</v>
      </c>
      <c r="P1154" s="25">
        <f t="shared" si="139"/>
        <v>1</v>
      </c>
      <c r="Q1154" s="25">
        <f t="shared" si="143"/>
        <v>459.86971414962017</v>
      </c>
      <c r="R1154" s="25">
        <f t="shared" si="140"/>
        <v>8</v>
      </c>
      <c r="S1154" s="26">
        <f t="shared" si="141"/>
        <v>16</v>
      </c>
    </row>
    <row r="1155" spans="2:19" x14ac:dyDescent="0.3">
      <c r="B1155" s="24">
        <v>371423</v>
      </c>
      <c r="C1155" s="25">
        <v>36</v>
      </c>
      <c r="D1155" s="25">
        <v>4</v>
      </c>
      <c r="E1155" s="25">
        <v>10</v>
      </c>
      <c r="F1155" s="25">
        <v>7</v>
      </c>
      <c r="G1155" s="25">
        <v>51</v>
      </c>
      <c r="H1155" s="25">
        <v>13.2</v>
      </c>
      <c r="I1155" s="25">
        <v>3.45</v>
      </c>
      <c r="J1155" s="25">
        <v>3.28</v>
      </c>
      <c r="K1155" s="26">
        <v>0</v>
      </c>
      <c r="L1155" s="25">
        <f t="shared" si="136"/>
        <v>-0.84001568354584522</v>
      </c>
      <c r="M1155" s="25">
        <f t="shared" si="142"/>
        <v>0.30153148087171672</v>
      </c>
      <c r="N1155" s="25">
        <f t="shared" si="137"/>
        <v>0.69846851912828334</v>
      </c>
      <c r="O1155" s="25">
        <f t="shared" si="138"/>
        <v>-0.35886517055161682</v>
      </c>
      <c r="P1155" s="25">
        <f t="shared" si="139"/>
        <v>0</v>
      </c>
      <c r="Q1155" s="25">
        <f t="shared" si="143"/>
        <v>511.36072853146345</v>
      </c>
      <c r="R1155" s="25">
        <f t="shared" si="140"/>
        <v>7</v>
      </c>
      <c r="S1155" s="26">
        <f t="shared" si="141"/>
        <v>13</v>
      </c>
    </row>
    <row r="1156" spans="2:19" x14ac:dyDescent="0.3">
      <c r="B1156" s="24">
        <v>371426</v>
      </c>
      <c r="C1156" s="25">
        <v>71</v>
      </c>
      <c r="D1156" s="25">
        <v>2</v>
      </c>
      <c r="E1156" s="25">
        <v>13</v>
      </c>
      <c r="F1156" s="25">
        <v>10</v>
      </c>
      <c r="G1156" s="25">
        <v>59</v>
      </c>
      <c r="H1156" s="25">
        <v>24.4</v>
      </c>
      <c r="I1156" s="25">
        <v>2.66</v>
      </c>
      <c r="J1156" s="25">
        <v>11.73</v>
      </c>
      <c r="K1156" s="26">
        <v>0</v>
      </c>
      <c r="L1156" s="25">
        <f t="shared" si="136"/>
        <v>-1.3098390718387123</v>
      </c>
      <c r="M1156" s="25">
        <f t="shared" si="142"/>
        <v>0.21251377447312117</v>
      </c>
      <c r="N1156" s="25">
        <f t="shared" si="137"/>
        <v>0.78748622552687886</v>
      </c>
      <c r="O1156" s="25">
        <f t="shared" si="138"/>
        <v>-0.2389093998297647</v>
      </c>
      <c r="P1156" s="25">
        <f t="shared" si="139"/>
        <v>0</v>
      </c>
      <c r="Q1156" s="25">
        <f t="shared" si="143"/>
        <v>524.91696559492698</v>
      </c>
      <c r="R1156" s="25">
        <f t="shared" si="140"/>
        <v>6</v>
      </c>
      <c r="S1156" s="26">
        <f t="shared" si="141"/>
        <v>13</v>
      </c>
    </row>
    <row r="1157" spans="2:19" x14ac:dyDescent="0.3">
      <c r="B1157" s="24">
        <v>371473</v>
      </c>
      <c r="C1157" s="25">
        <v>40</v>
      </c>
      <c r="D1157" s="25">
        <v>4</v>
      </c>
      <c r="E1157" s="25">
        <v>12</v>
      </c>
      <c r="F1157" s="25">
        <v>10</v>
      </c>
      <c r="G1157" s="25">
        <v>87</v>
      </c>
      <c r="H1157" s="25">
        <v>5.8</v>
      </c>
      <c r="I1157" s="25">
        <v>0.54</v>
      </c>
      <c r="J1157" s="25">
        <v>4.5</v>
      </c>
      <c r="K1157" s="26">
        <v>0</v>
      </c>
      <c r="L1157" s="25">
        <f t="shared" ref="L1157:L1220" si="144">$Y$4+SUMPRODUCT($Z$4:$AG$4,C1157:J1157)</f>
        <v>-3.5537772287020597</v>
      </c>
      <c r="M1157" s="25">
        <f t="shared" si="142"/>
        <v>2.7820231442175866E-2</v>
      </c>
      <c r="N1157" s="25">
        <f t="shared" ref="N1157:N1220" si="145">IF(K1157=1,M1157,(1-M1157))</f>
        <v>0.97217976855782418</v>
      </c>
      <c r="O1157" s="25">
        <f t="shared" ref="O1157:O1220" si="146">LN(N1157)</f>
        <v>-2.8214544546349193E-2</v>
      </c>
      <c r="P1157" s="25">
        <f t="shared" ref="P1157:P1220" si="147">IF(M1157&gt;0.4,1,0)</f>
        <v>0</v>
      </c>
      <c r="Q1157" s="25">
        <f t="shared" si="143"/>
        <v>589.66333277924639</v>
      </c>
      <c r="R1157" s="25">
        <f t="shared" ref="R1157:R1220" si="148">VLOOKUP(M1157,$U$9:$W$16,3,TRUE)</f>
        <v>4</v>
      </c>
      <c r="S1157" s="26">
        <f t="shared" ref="S1157:S1220" si="149">VLOOKUP(M1157,$U$21:$W$37,3,TRUE)</f>
        <v>8</v>
      </c>
    </row>
    <row r="1158" spans="2:19" x14ac:dyDescent="0.3">
      <c r="B1158" s="24">
        <v>371580</v>
      </c>
      <c r="C1158" s="25">
        <v>32</v>
      </c>
      <c r="D1158" s="25">
        <v>4</v>
      </c>
      <c r="E1158" s="25">
        <v>5</v>
      </c>
      <c r="F1158" s="25">
        <v>5</v>
      </c>
      <c r="G1158" s="25">
        <v>87</v>
      </c>
      <c r="H1158" s="25">
        <v>10.4</v>
      </c>
      <c r="I1158" s="25">
        <v>0.46</v>
      </c>
      <c r="J1158" s="25">
        <v>8.59</v>
      </c>
      <c r="K1158" s="26">
        <v>0</v>
      </c>
      <c r="L1158" s="25">
        <f t="shared" si="144"/>
        <v>-1.111182022907373</v>
      </c>
      <c r="M1158" s="25">
        <f t="shared" ref="M1158:M1221" si="150">EXP(L1158)/(1+EXP(L1158))</f>
        <v>0.24765058863275055</v>
      </c>
      <c r="N1158" s="25">
        <f t="shared" si="145"/>
        <v>0.75234941136724942</v>
      </c>
      <c r="O1158" s="25">
        <f t="shared" si="146"/>
        <v>-0.28455442016972798</v>
      </c>
      <c r="P1158" s="25">
        <f t="shared" si="147"/>
        <v>0</v>
      </c>
      <c r="Q1158" s="25">
        <f t="shared" si="143"/>
        <v>519.18493497076702</v>
      </c>
      <c r="R1158" s="25">
        <f t="shared" si="148"/>
        <v>6</v>
      </c>
      <c r="S1158" s="26">
        <f t="shared" si="149"/>
        <v>13</v>
      </c>
    </row>
    <row r="1159" spans="2:19" x14ac:dyDescent="0.3">
      <c r="B1159" s="24">
        <v>371656</v>
      </c>
      <c r="C1159" s="25">
        <v>32</v>
      </c>
      <c r="D1159" s="25">
        <v>2</v>
      </c>
      <c r="E1159" s="25">
        <v>12</v>
      </c>
      <c r="F1159" s="25">
        <v>7</v>
      </c>
      <c r="G1159" s="25">
        <v>75</v>
      </c>
      <c r="H1159" s="25">
        <v>7.1</v>
      </c>
      <c r="I1159" s="25">
        <v>1.55</v>
      </c>
      <c r="J1159" s="25">
        <v>3.78</v>
      </c>
      <c r="K1159" s="26">
        <v>0</v>
      </c>
      <c r="L1159" s="25">
        <f t="shared" si="144"/>
        <v>-2.5891834973298646</v>
      </c>
      <c r="M1159" s="25">
        <f t="shared" si="150"/>
        <v>6.9837804660896508E-2</v>
      </c>
      <c r="N1159" s="25">
        <f t="shared" si="145"/>
        <v>0.93016219533910349</v>
      </c>
      <c r="O1159" s="25">
        <f t="shared" si="146"/>
        <v>-7.2396304450939725E-2</v>
      </c>
      <c r="P1159" s="25">
        <f t="shared" si="147"/>
        <v>0</v>
      </c>
      <c r="Q1159" s="25">
        <f t="shared" si="143"/>
        <v>561.83104171360617</v>
      </c>
      <c r="R1159" s="25">
        <f t="shared" si="148"/>
        <v>5</v>
      </c>
      <c r="S1159" s="26">
        <f t="shared" si="149"/>
        <v>10</v>
      </c>
    </row>
    <row r="1160" spans="2:19" x14ac:dyDescent="0.3">
      <c r="B1160" s="24">
        <v>371660</v>
      </c>
      <c r="C1160" s="25">
        <v>25</v>
      </c>
      <c r="D1160" s="25">
        <v>3</v>
      </c>
      <c r="E1160" s="25">
        <v>1</v>
      </c>
      <c r="F1160" s="25">
        <v>3</v>
      </c>
      <c r="G1160" s="25">
        <v>16</v>
      </c>
      <c r="H1160" s="25">
        <v>4.5</v>
      </c>
      <c r="I1160" s="25">
        <v>0.39</v>
      </c>
      <c r="J1160" s="25">
        <v>0.33</v>
      </c>
      <c r="K1160" s="26">
        <v>0</v>
      </c>
      <c r="L1160" s="25">
        <f t="shared" si="144"/>
        <v>-0.78075046227152756</v>
      </c>
      <c r="M1160" s="25">
        <f t="shared" si="150"/>
        <v>0.3141581668026911</v>
      </c>
      <c r="N1160" s="25">
        <f t="shared" si="145"/>
        <v>0.68584183319730885</v>
      </c>
      <c r="O1160" s="25">
        <f t="shared" si="146"/>
        <v>-0.37710824169250257</v>
      </c>
      <c r="P1160" s="25">
        <f t="shared" si="147"/>
        <v>0</v>
      </c>
      <c r="Q1160" s="25">
        <f t="shared" si="143"/>
        <v>509.65069576333644</v>
      </c>
      <c r="R1160" s="25">
        <f t="shared" si="148"/>
        <v>7</v>
      </c>
      <c r="S1160" s="26">
        <f t="shared" si="149"/>
        <v>14</v>
      </c>
    </row>
    <row r="1161" spans="2:19" x14ac:dyDescent="0.3">
      <c r="B1161" s="24">
        <v>371716</v>
      </c>
      <c r="C1161" s="25">
        <v>36</v>
      </c>
      <c r="D1161" s="25">
        <v>4</v>
      </c>
      <c r="E1161" s="25">
        <v>8</v>
      </c>
      <c r="F1161" s="25">
        <v>6</v>
      </c>
      <c r="G1161" s="25">
        <v>100</v>
      </c>
      <c r="H1161" s="25">
        <v>19.899999999999999</v>
      </c>
      <c r="I1161" s="25">
        <v>11.56</v>
      </c>
      <c r="J1161" s="25">
        <v>8.34</v>
      </c>
      <c r="K1161" s="26">
        <v>1</v>
      </c>
      <c r="L1161" s="25">
        <f t="shared" si="144"/>
        <v>4.292529663415527</v>
      </c>
      <c r="M1161" s="25">
        <f t="shared" si="150"/>
        <v>0.98651405663262159</v>
      </c>
      <c r="N1161" s="25">
        <f t="shared" si="145"/>
        <v>0.98651405663262159</v>
      </c>
      <c r="O1161" s="25">
        <f t="shared" si="146"/>
        <v>-1.3577704626941817E-2</v>
      </c>
      <c r="P1161" s="25">
        <f t="shared" si="147"/>
        <v>1</v>
      </c>
      <c r="Q1161" s="25">
        <f t="shared" ref="Q1161:Q1224" si="151">28.8539*LN((1-M1161)/(M1161))+487.123</f>
        <v>363.26677834477476</v>
      </c>
      <c r="R1161" s="25">
        <f t="shared" si="148"/>
        <v>8</v>
      </c>
      <c r="S1161" s="26">
        <f t="shared" si="149"/>
        <v>17</v>
      </c>
    </row>
    <row r="1162" spans="2:19" x14ac:dyDescent="0.3">
      <c r="B1162" s="24">
        <v>371741</v>
      </c>
      <c r="C1162" s="25">
        <v>22</v>
      </c>
      <c r="D1162" s="25">
        <v>2</v>
      </c>
      <c r="E1162" s="25">
        <v>0</v>
      </c>
      <c r="F1162" s="25">
        <v>1</v>
      </c>
      <c r="G1162" s="25">
        <v>18</v>
      </c>
      <c r="H1162" s="25">
        <v>3.5</v>
      </c>
      <c r="I1162" s="25">
        <v>0.33</v>
      </c>
      <c r="J1162" s="25">
        <v>0.3</v>
      </c>
      <c r="K1162" s="26">
        <v>0</v>
      </c>
      <c r="L1162" s="25">
        <f t="shared" si="144"/>
        <v>-0.49949332269003272</v>
      </c>
      <c r="M1162" s="25">
        <f t="shared" si="150"/>
        <v>0.37765974723283163</v>
      </c>
      <c r="N1162" s="25">
        <f t="shared" si="145"/>
        <v>0.62234025276716842</v>
      </c>
      <c r="O1162" s="25">
        <f t="shared" si="146"/>
        <v>-0.47426830563712341</v>
      </c>
      <c r="P1162" s="25">
        <f t="shared" si="147"/>
        <v>0</v>
      </c>
      <c r="Q1162" s="25">
        <f t="shared" si="151"/>
        <v>501.53533038356591</v>
      </c>
      <c r="R1162" s="25">
        <f t="shared" si="148"/>
        <v>7</v>
      </c>
      <c r="S1162" s="26">
        <f t="shared" si="149"/>
        <v>14</v>
      </c>
    </row>
    <row r="1163" spans="2:19" x14ac:dyDescent="0.3">
      <c r="B1163" s="24">
        <v>371761</v>
      </c>
      <c r="C1163" s="25">
        <v>35</v>
      </c>
      <c r="D1163" s="25">
        <v>2</v>
      </c>
      <c r="E1163" s="25">
        <v>9</v>
      </c>
      <c r="F1163" s="25">
        <v>9</v>
      </c>
      <c r="G1163" s="25">
        <v>43</v>
      </c>
      <c r="H1163" s="25">
        <v>14.9</v>
      </c>
      <c r="I1163" s="25">
        <v>2.52</v>
      </c>
      <c r="J1163" s="25">
        <v>3.89</v>
      </c>
      <c r="K1163" s="26">
        <v>0</v>
      </c>
      <c r="L1163" s="25">
        <f t="shared" si="144"/>
        <v>-0.80812631686304681</v>
      </c>
      <c r="M1163" s="25">
        <f t="shared" si="150"/>
        <v>0.30828990987031191</v>
      </c>
      <c r="N1163" s="25">
        <f t="shared" si="145"/>
        <v>0.69171009012968809</v>
      </c>
      <c r="O1163" s="25">
        <f t="shared" si="146"/>
        <v>-0.36858835604569451</v>
      </c>
      <c r="P1163" s="25">
        <f t="shared" si="147"/>
        <v>0</v>
      </c>
      <c r="Q1163" s="25">
        <f t="shared" si="151"/>
        <v>510.44059593413465</v>
      </c>
      <c r="R1163" s="25">
        <f t="shared" si="148"/>
        <v>7</v>
      </c>
      <c r="S1163" s="26">
        <f t="shared" si="149"/>
        <v>13</v>
      </c>
    </row>
    <row r="1164" spans="2:19" x14ac:dyDescent="0.3">
      <c r="B1164" s="24">
        <v>371783</v>
      </c>
      <c r="C1164" s="25">
        <v>26</v>
      </c>
      <c r="D1164" s="25">
        <v>3</v>
      </c>
      <c r="E1164" s="25">
        <v>4</v>
      </c>
      <c r="F1164" s="25">
        <v>1</v>
      </c>
      <c r="G1164" s="25">
        <v>23</v>
      </c>
      <c r="H1164" s="25">
        <v>8.1999999999999993</v>
      </c>
      <c r="I1164" s="25">
        <v>0.35</v>
      </c>
      <c r="J1164" s="25">
        <v>1.54</v>
      </c>
      <c r="K1164" s="26">
        <v>0</v>
      </c>
      <c r="L1164" s="25">
        <f t="shared" si="144"/>
        <v>-1.0342933137185504</v>
      </c>
      <c r="M1164" s="25">
        <f t="shared" si="150"/>
        <v>0.26225260279339907</v>
      </c>
      <c r="N1164" s="25">
        <f t="shared" si="145"/>
        <v>0.73774739720660087</v>
      </c>
      <c r="O1164" s="25">
        <f t="shared" si="146"/>
        <v>-0.30415379318076291</v>
      </c>
      <c r="P1164" s="25">
        <f t="shared" si="147"/>
        <v>0</v>
      </c>
      <c r="Q1164" s="25">
        <f t="shared" si="151"/>
        <v>516.9663958447037</v>
      </c>
      <c r="R1164" s="25">
        <f t="shared" si="148"/>
        <v>7</v>
      </c>
      <c r="S1164" s="26">
        <f t="shared" si="149"/>
        <v>13</v>
      </c>
    </row>
    <row r="1165" spans="2:19" x14ac:dyDescent="0.3">
      <c r="B1165" s="24">
        <v>371803</v>
      </c>
      <c r="C1165" s="25">
        <v>51</v>
      </c>
      <c r="D1165" s="25">
        <v>1</v>
      </c>
      <c r="E1165" s="25">
        <v>23</v>
      </c>
      <c r="F1165" s="25">
        <v>10</v>
      </c>
      <c r="G1165" s="25">
        <v>47</v>
      </c>
      <c r="H1165" s="25">
        <v>2.2000000000000002</v>
      </c>
      <c r="I1165" s="25">
        <v>0.34</v>
      </c>
      <c r="J1165" s="25">
        <v>0.69</v>
      </c>
      <c r="K1165" s="26">
        <v>0</v>
      </c>
      <c r="L1165" s="25">
        <f t="shared" si="144"/>
        <v>-6.6778048633375766</v>
      </c>
      <c r="M1165" s="25">
        <f t="shared" si="150"/>
        <v>1.2569556786175421E-3</v>
      </c>
      <c r="N1165" s="25">
        <f t="shared" si="145"/>
        <v>0.9987430443213825</v>
      </c>
      <c r="O1165" s="25">
        <f t="shared" si="146"/>
        <v>-1.2577463100016863E-3</v>
      </c>
      <c r="P1165" s="25">
        <f t="shared" si="147"/>
        <v>0</v>
      </c>
      <c r="Q1165" s="25">
        <f t="shared" si="151"/>
        <v>679.80371374625611</v>
      </c>
      <c r="R1165" s="25">
        <f t="shared" si="148"/>
        <v>1</v>
      </c>
      <c r="S1165" s="26">
        <f t="shared" si="149"/>
        <v>1</v>
      </c>
    </row>
    <row r="1166" spans="2:19" x14ac:dyDescent="0.3">
      <c r="B1166" s="24">
        <v>371809</v>
      </c>
      <c r="C1166" s="25">
        <v>20</v>
      </c>
      <c r="D1166" s="25">
        <v>3</v>
      </c>
      <c r="E1166" s="25">
        <v>0</v>
      </c>
      <c r="F1166" s="25">
        <v>1</v>
      </c>
      <c r="G1166" s="25">
        <v>31</v>
      </c>
      <c r="H1166" s="25">
        <v>18.3</v>
      </c>
      <c r="I1166" s="25">
        <v>1.95</v>
      </c>
      <c r="J1166" s="25">
        <v>3.72</v>
      </c>
      <c r="K1166" s="26">
        <v>1</v>
      </c>
      <c r="L1166" s="25">
        <f t="shared" si="144"/>
        <v>1.8210234653793396</v>
      </c>
      <c r="M1166" s="25">
        <f t="shared" si="150"/>
        <v>0.86068888945242172</v>
      </c>
      <c r="N1166" s="25">
        <f t="shared" si="145"/>
        <v>0.86068888945242172</v>
      </c>
      <c r="O1166" s="25">
        <f t="shared" si="146"/>
        <v>-0.15002217614428748</v>
      </c>
      <c r="P1166" s="25">
        <f t="shared" si="147"/>
        <v>1</v>
      </c>
      <c r="Q1166" s="25">
        <f t="shared" si="151"/>
        <v>434.57937103229108</v>
      </c>
      <c r="R1166" s="25">
        <f t="shared" si="148"/>
        <v>8</v>
      </c>
      <c r="S1166" s="26">
        <f t="shared" si="149"/>
        <v>16</v>
      </c>
    </row>
    <row r="1167" spans="2:19" x14ac:dyDescent="0.3">
      <c r="B1167" s="24">
        <v>371811</v>
      </c>
      <c r="C1167" s="25">
        <v>39</v>
      </c>
      <c r="D1167" s="25">
        <v>2</v>
      </c>
      <c r="E1167" s="25">
        <v>7</v>
      </c>
      <c r="F1167" s="25">
        <v>10</v>
      </c>
      <c r="G1167" s="25">
        <v>56</v>
      </c>
      <c r="H1167" s="25">
        <v>10.9</v>
      </c>
      <c r="I1167" s="25">
        <v>4.07</v>
      </c>
      <c r="J1167" s="25">
        <v>2.0299999999999998</v>
      </c>
      <c r="K1167" s="26">
        <v>1</v>
      </c>
      <c r="L1167" s="25">
        <f t="shared" si="144"/>
        <v>-0.18272583014139571</v>
      </c>
      <c r="M1167" s="25">
        <f t="shared" si="150"/>
        <v>0.45444522332732568</v>
      </c>
      <c r="N1167" s="25">
        <f t="shared" si="145"/>
        <v>0.45444522332732568</v>
      </c>
      <c r="O1167" s="25">
        <f t="shared" si="146"/>
        <v>-0.78867789335976723</v>
      </c>
      <c r="P1167" s="25">
        <f t="shared" si="147"/>
        <v>1</v>
      </c>
      <c r="Q1167" s="25">
        <f t="shared" si="151"/>
        <v>492.39535283031682</v>
      </c>
      <c r="R1167" s="25">
        <f t="shared" si="148"/>
        <v>7</v>
      </c>
      <c r="S1167" s="26">
        <f t="shared" si="149"/>
        <v>14</v>
      </c>
    </row>
    <row r="1168" spans="2:19" x14ac:dyDescent="0.3">
      <c r="B1168" s="24">
        <v>371824</v>
      </c>
      <c r="C1168" s="25">
        <v>33</v>
      </c>
      <c r="D1168" s="25">
        <v>2</v>
      </c>
      <c r="E1168" s="25">
        <v>6</v>
      </c>
      <c r="F1168" s="25">
        <v>8</v>
      </c>
      <c r="G1168" s="25">
        <v>41</v>
      </c>
      <c r="H1168" s="25">
        <v>2.1</v>
      </c>
      <c r="I1168" s="25">
        <v>0.02</v>
      </c>
      <c r="J1168" s="25">
        <v>0.84</v>
      </c>
      <c r="K1168" s="26">
        <v>0</v>
      </c>
      <c r="L1168" s="25">
        <f t="shared" si="144"/>
        <v>-2.5902617607893097</v>
      </c>
      <c r="M1168" s="25">
        <f t="shared" si="150"/>
        <v>6.9767792623196379E-2</v>
      </c>
      <c r="N1168" s="25">
        <f t="shared" si="145"/>
        <v>0.93023220737680368</v>
      </c>
      <c r="O1168" s="25">
        <f t="shared" si="146"/>
        <v>-7.2321038649633254E-2</v>
      </c>
      <c r="P1168" s="25">
        <f t="shared" si="147"/>
        <v>0</v>
      </c>
      <c r="Q1168" s="25">
        <f t="shared" si="151"/>
        <v>561.86215381963871</v>
      </c>
      <c r="R1168" s="25">
        <f t="shared" si="148"/>
        <v>5</v>
      </c>
      <c r="S1168" s="26">
        <f t="shared" si="149"/>
        <v>10</v>
      </c>
    </row>
    <row r="1169" spans="2:19" x14ac:dyDescent="0.3">
      <c r="B1169" s="24">
        <v>371907</v>
      </c>
      <c r="C1169" s="25">
        <v>25</v>
      </c>
      <c r="D1169" s="25">
        <v>2</v>
      </c>
      <c r="E1169" s="25">
        <v>6</v>
      </c>
      <c r="F1169" s="25">
        <v>0</v>
      </c>
      <c r="G1169" s="25">
        <v>18</v>
      </c>
      <c r="H1169" s="25">
        <v>16.3</v>
      </c>
      <c r="I1169" s="25">
        <v>1.86</v>
      </c>
      <c r="J1169" s="25">
        <v>1.07</v>
      </c>
      <c r="K1169" s="26">
        <v>1</v>
      </c>
      <c r="L1169" s="25">
        <f t="shared" si="144"/>
        <v>0.13018192720944671</v>
      </c>
      <c r="M1169" s="25">
        <f t="shared" si="150"/>
        <v>0.53249959630149379</v>
      </c>
      <c r="N1169" s="25">
        <f t="shared" si="145"/>
        <v>0.53249959630149379</v>
      </c>
      <c r="O1169" s="25">
        <f t="shared" si="146"/>
        <v>-0.63017313951810472</v>
      </c>
      <c r="P1169" s="25">
        <f t="shared" si="147"/>
        <v>1</v>
      </c>
      <c r="Q1169" s="25">
        <f t="shared" si="151"/>
        <v>483.36674369049132</v>
      </c>
      <c r="R1169" s="25">
        <f t="shared" si="148"/>
        <v>7</v>
      </c>
      <c r="S1169" s="26">
        <f t="shared" si="149"/>
        <v>15</v>
      </c>
    </row>
    <row r="1170" spans="2:19" x14ac:dyDescent="0.3">
      <c r="B1170" s="24">
        <v>371910</v>
      </c>
      <c r="C1170" s="25">
        <v>43</v>
      </c>
      <c r="D1170" s="25">
        <v>3</v>
      </c>
      <c r="E1170" s="25">
        <v>8</v>
      </c>
      <c r="F1170" s="25">
        <v>9</v>
      </c>
      <c r="G1170" s="25">
        <v>49</v>
      </c>
      <c r="H1170" s="25">
        <v>6</v>
      </c>
      <c r="I1170" s="25">
        <v>0.87</v>
      </c>
      <c r="J1170" s="25">
        <v>2.0699999999999998</v>
      </c>
      <c r="K1170" s="26">
        <v>0</v>
      </c>
      <c r="L1170" s="25">
        <f t="shared" si="144"/>
        <v>-2.5208415022951129</v>
      </c>
      <c r="M1170" s="25">
        <f t="shared" si="150"/>
        <v>7.4409967513497002E-2</v>
      </c>
      <c r="N1170" s="25">
        <f t="shared" si="145"/>
        <v>0.92559003248650296</v>
      </c>
      <c r="O1170" s="25">
        <f t="shared" si="146"/>
        <v>-7.7323871865814173E-2</v>
      </c>
      <c r="P1170" s="25">
        <f t="shared" si="147"/>
        <v>0</v>
      </c>
      <c r="Q1170" s="25">
        <f t="shared" si="151"/>
        <v>559.85910862307298</v>
      </c>
      <c r="R1170" s="25">
        <f t="shared" si="148"/>
        <v>5</v>
      </c>
      <c r="S1170" s="26">
        <f t="shared" si="149"/>
        <v>10</v>
      </c>
    </row>
    <row r="1171" spans="2:19" x14ac:dyDescent="0.3">
      <c r="B1171" s="24">
        <v>371939</v>
      </c>
      <c r="C1171" s="25">
        <v>33</v>
      </c>
      <c r="D1171" s="25">
        <v>5</v>
      </c>
      <c r="E1171" s="25">
        <v>0</v>
      </c>
      <c r="F1171" s="25">
        <v>5</v>
      </c>
      <c r="G1171" s="25">
        <v>46</v>
      </c>
      <c r="H1171" s="25">
        <v>15.7</v>
      </c>
      <c r="I1171" s="25">
        <v>0.75</v>
      </c>
      <c r="J1171" s="25">
        <v>6.47</v>
      </c>
      <c r="K1171" s="26">
        <v>0</v>
      </c>
      <c r="L1171" s="25">
        <f t="shared" si="144"/>
        <v>0.54804049902191276</v>
      </c>
      <c r="M1171" s="25">
        <f t="shared" si="150"/>
        <v>0.6336808524295291</v>
      </c>
      <c r="N1171" s="25">
        <f t="shared" si="145"/>
        <v>0.3663191475704709</v>
      </c>
      <c r="O1171" s="25">
        <f t="shared" si="146"/>
        <v>-1.0042503376438914</v>
      </c>
      <c r="P1171" s="25">
        <f t="shared" si="147"/>
        <v>1</v>
      </c>
      <c r="Q1171" s="25">
        <f t="shared" si="151"/>
        <v>471.30989424527161</v>
      </c>
      <c r="R1171" s="25">
        <f t="shared" si="148"/>
        <v>7</v>
      </c>
      <c r="S1171" s="26">
        <f t="shared" si="149"/>
        <v>15</v>
      </c>
    </row>
    <row r="1172" spans="2:19" x14ac:dyDescent="0.3">
      <c r="B1172" s="24">
        <v>371987</v>
      </c>
      <c r="C1172" s="25">
        <v>36</v>
      </c>
      <c r="D1172" s="25">
        <v>4</v>
      </c>
      <c r="E1172" s="25">
        <v>8</v>
      </c>
      <c r="F1172" s="25">
        <v>8</v>
      </c>
      <c r="G1172" s="25">
        <v>58</v>
      </c>
      <c r="H1172" s="25">
        <v>17.2</v>
      </c>
      <c r="I1172" s="25">
        <v>1.28</v>
      </c>
      <c r="J1172" s="25">
        <v>8.6999999999999993</v>
      </c>
      <c r="K1172" s="26">
        <v>0</v>
      </c>
      <c r="L1172" s="25">
        <f t="shared" si="144"/>
        <v>-0.91178059522474797</v>
      </c>
      <c r="M1172" s="25">
        <f t="shared" si="150"/>
        <v>0.28663561062513326</v>
      </c>
      <c r="N1172" s="25">
        <f t="shared" si="145"/>
        <v>0.71336438937486668</v>
      </c>
      <c r="O1172" s="25">
        <f t="shared" si="146"/>
        <v>-0.33776292407521336</v>
      </c>
      <c r="P1172" s="25">
        <f t="shared" si="147"/>
        <v>0</v>
      </c>
      <c r="Q1172" s="25">
        <f t="shared" si="151"/>
        <v>513.43142611655537</v>
      </c>
      <c r="R1172" s="25">
        <f t="shared" si="148"/>
        <v>7</v>
      </c>
      <c r="S1172" s="26">
        <f t="shared" si="149"/>
        <v>13</v>
      </c>
    </row>
    <row r="1173" spans="2:19" x14ac:dyDescent="0.3">
      <c r="B1173" s="24">
        <v>371988</v>
      </c>
      <c r="C1173" s="25">
        <v>33</v>
      </c>
      <c r="D1173" s="25">
        <v>4</v>
      </c>
      <c r="E1173" s="25">
        <v>5</v>
      </c>
      <c r="F1173" s="25">
        <v>7</v>
      </c>
      <c r="G1173" s="25">
        <v>35</v>
      </c>
      <c r="H1173" s="25">
        <v>5.2</v>
      </c>
      <c r="I1173" s="25">
        <v>0.57999999999999996</v>
      </c>
      <c r="J1173" s="25">
        <v>1.24</v>
      </c>
      <c r="K1173" s="26">
        <v>0</v>
      </c>
      <c r="L1173" s="25">
        <f t="shared" si="144"/>
        <v>-1.855426490303683</v>
      </c>
      <c r="M1173" s="25">
        <f t="shared" si="150"/>
        <v>0.13523702290305553</v>
      </c>
      <c r="N1173" s="25">
        <f t="shared" si="145"/>
        <v>0.8647629770969445</v>
      </c>
      <c r="O1173" s="25">
        <f t="shared" si="146"/>
        <v>-0.14529982451603168</v>
      </c>
      <c r="P1173" s="25">
        <f t="shared" si="147"/>
        <v>0</v>
      </c>
      <c r="Q1173" s="25">
        <f t="shared" si="151"/>
        <v>540.65929040857338</v>
      </c>
      <c r="R1173" s="25">
        <f t="shared" si="148"/>
        <v>6</v>
      </c>
      <c r="S1173" s="26">
        <f t="shared" si="149"/>
        <v>11</v>
      </c>
    </row>
    <row r="1174" spans="2:19" x14ac:dyDescent="0.3">
      <c r="B1174" s="24">
        <v>372012</v>
      </c>
      <c r="C1174" s="25">
        <v>25</v>
      </c>
      <c r="D1174" s="25">
        <v>2</v>
      </c>
      <c r="E1174" s="25">
        <v>5</v>
      </c>
      <c r="F1174" s="25">
        <v>2</v>
      </c>
      <c r="G1174" s="25">
        <v>18</v>
      </c>
      <c r="H1174" s="25">
        <v>12.6</v>
      </c>
      <c r="I1174" s="25">
        <v>0.11</v>
      </c>
      <c r="J1174" s="25">
        <v>2.15</v>
      </c>
      <c r="K1174" s="26">
        <v>1</v>
      </c>
      <c r="L1174" s="25">
        <f t="shared" si="144"/>
        <v>-0.87921156502153708</v>
      </c>
      <c r="M1174" s="25">
        <f t="shared" si="150"/>
        <v>0.29334118864300646</v>
      </c>
      <c r="N1174" s="25">
        <f t="shared" si="145"/>
        <v>0.29334118864300646</v>
      </c>
      <c r="O1174" s="25">
        <f t="shared" si="146"/>
        <v>-1.2264188810717633</v>
      </c>
      <c r="P1174" s="25">
        <f t="shared" si="147"/>
        <v>0</v>
      </c>
      <c r="Q1174" s="25">
        <f t="shared" si="151"/>
        <v>512.49168257597489</v>
      </c>
      <c r="R1174" s="25">
        <f t="shared" si="148"/>
        <v>7</v>
      </c>
      <c r="S1174" s="26">
        <f t="shared" si="149"/>
        <v>13</v>
      </c>
    </row>
    <row r="1175" spans="2:19" x14ac:dyDescent="0.3">
      <c r="B1175" s="24">
        <v>372041</v>
      </c>
      <c r="C1175" s="25">
        <v>40</v>
      </c>
      <c r="D1175" s="25">
        <v>3</v>
      </c>
      <c r="E1175" s="25">
        <v>5</v>
      </c>
      <c r="F1175" s="25">
        <v>9</v>
      </c>
      <c r="G1175" s="25">
        <v>34</v>
      </c>
      <c r="H1175" s="25">
        <v>23.3</v>
      </c>
      <c r="I1175" s="25">
        <v>1.53</v>
      </c>
      <c r="J1175" s="25">
        <v>6.39</v>
      </c>
      <c r="K1175" s="26">
        <v>0</v>
      </c>
      <c r="L1175" s="25">
        <f t="shared" si="144"/>
        <v>0.36414803831572723</v>
      </c>
      <c r="M1175" s="25">
        <f t="shared" si="150"/>
        <v>0.5900441849970508</v>
      </c>
      <c r="N1175" s="25">
        <f t="shared" si="145"/>
        <v>0.4099558150029492</v>
      </c>
      <c r="O1175" s="25">
        <f t="shared" si="146"/>
        <v>-0.89170589337669226</v>
      </c>
      <c r="P1175" s="25">
        <f t="shared" si="147"/>
        <v>1</v>
      </c>
      <c r="Q1175" s="25">
        <f t="shared" si="151"/>
        <v>476.61590891724182</v>
      </c>
      <c r="R1175" s="25">
        <f t="shared" si="148"/>
        <v>7</v>
      </c>
      <c r="S1175" s="26">
        <f t="shared" si="149"/>
        <v>15</v>
      </c>
    </row>
    <row r="1176" spans="2:19" x14ac:dyDescent="0.3">
      <c r="B1176" s="24">
        <v>372048</v>
      </c>
      <c r="C1176" s="25">
        <v>41</v>
      </c>
      <c r="D1176" s="25">
        <v>2</v>
      </c>
      <c r="E1176" s="25">
        <v>14</v>
      </c>
      <c r="F1176" s="25">
        <v>9</v>
      </c>
      <c r="G1176" s="25">
        <v>76</v>
      </c>
      <c r="H1176" s="25">
        <v>18</v>
      </c>
      <c r="I1176" s="25">
        <v>9.18</v>
      </c>
      <c r="J1176" s="25">
        <v>4.5</v>
      </c>
      <c r="K1176" s="26">
        <v>1</v>
      </c>
      <c r="L1176" s="25">
        <f t="shared" si="144"/>
        <v>1.4175658596303249</v>
      </c>
      <c r="M1176" s="25">
        <f t="shared" si="150"/>
        <v>0.80495653635335307</v>
      </c>
      <c r="N1176" s="25">
        <f t="shared" si="145"/>
        <v>0.80495653635335307</v>
      </c>
      <c r="O1176" s="25">
        <f t="shared" si="146"/>
        <v>-0.21696699512883594</v>
      </c>
      <c r="P1176" s="25">
        <f t="shared" si="147"/>
        <v>1</v>
      </c>
      <c r="Q1176" s="25">
        <f t="shared" si="151"/>
        <v>446.22069644281254</v>
      </c>
      <c r="R1176" s="25">
        <f t="shared" si="148"/>
        <v>8</v>
      </c>
      <c r="S1176" s="26">
        <f t="shared" si="149"/>
        <v>16</v>
      </c>
    </row>
    <row r="1177" spans="2:19" x14ac:dyDescent="0.3">
      <c r="B1177" s="24">
        <v>372086</v>
      </c>
      <c r="C1177" s="25">
        <v>28</v>
      </c>
      <c r="D1177" s="25">
        <v>1</v>
      </c>
      <c r="E1177" s="25">
        <v>4</v>
      </c>
      <c r="F1177" s="25">
        <v>4</v>
      </c>
      <c r="G1177" s="25">
        <v>20</v>
      </c>
      <c r="H1177" s="25">
        <v>13.6</v>
      </c>
      <c r="I1177" s="25">
        <v>0.53</v>
      </c>
      <c r="J1177" s="25">
        <v>2.19</v>
      </c>
      <c r="K1177" s="26">
        <v>0</v>
      </c>
      <c r="L1177" s="25">
        <f t="shared" si="144"/>
        <v>-0.42946424071193889</v>
      </c>
      <c r="M1177" s="25">
        <f t="shared" si="150"/>
        <v>0.39425427319335249</v>
      </c>
      <c r="N1177" s="25">
        <f t="shared" si="145"/>
        <v>0.60574572680664751</v>
      </c>
      <c r="O1177" s="25">
        <f t="shared" si="146"/>
        <v>-0.50129497369478782</v>
      </c>
      <c r="P1177" s="25">
        <f t="shared" si="147"/>
        <v>0</v>
      </c>
      <c r="Q1177" s="25">
        <f t="shared" si="151"/>
        <v>499.51471825507821</v>
      </c>
      <c r="R1177" s="25">
        <f t="shared" si="148"/>
        <v>7</v>
      </c>
      <c r="S1177" s="26">
        <f t="shared" si="149"/>
        <v>14</v>
      </c>
    </row>
    <row r="1178" spans="2:19" x14ac:dyDescent="0.3">
      <c r="B1178" s="24">
        <v>372090</v>
      </c>
      <c r="C1178" s="25">
        <v>19</v>
      </c>
      <c r="D1178" s="25">
        <v>2</v>
      </c>
      <c r="E1178" s="25">
        <v>0</v>
      </c>
      <c r="F1178" s="25">
        <v>0</v>
      </c>
      <c r="G1178" s="25">
        <v>20</v>
      </c>
      <c r="H1178" s="25">
        <v>1.2</v>
      </c>
      <c r="I1178" s="25">
        <v>0.03</v>
      </c>
      <c r="J1178" s="25">
        <v>0.21</v>
      </c>
      <c r="K1178" s="26">
        <v>0</v>
      </c>
      <c r="L1178" s="25">
        <f t="shared" si="144"/>
        <v>-0.77519245216389132</v>
      </c>
      <c r="M1178" s="25">
        <f t="shared" si="150"/>
        <v>0.31535694644176943</v>
      </c>
      <c r="N1178" s="25">
        <f t="shared" si="145"/>
        <v>0.68464305355823063</v>
      </c>
      <c r="O1178" s="25">
        <f t="shared" si="146"/>
        <v>-0.37885766623034411</v>
      </c>
      <c r="P1178" s="25">
        <f t="shared" si="147"/>
        <v>0</v>
      </c>
      <c r="Q1178" s="25">
        <f t="shared" si="151"/>
        <v>509.49032549549167</v>
      </c>
      <c r="R1178" s="25">
        <f t="shared" si="148"/>
        <v>7</v>
      </c>
      <c r="S1178" s="26">
        <f t="shared" si="149"/>
        <v>14</v>
      </c>
    </row>
    <row r="1179" spans="2:19" x14ac:dyDescent="0.3">
      <c r="B1179" s="24">
        <v>372091</v>
      </c>
      <c r="C1179" s="25">
        <v>25</v>
      </c>
      <c r="D1179" s="25">
        <v>2</v>
      </c>
      <c r="E1179" s="25">
        <v>7</v>
      </c>
      <c r="F1179" s="25">
        <v>3</v>
      </c>
      <c r="G1179" s="25">
        <v>27</v>
      </c>
      <c r="H1179" s="25">
        <v>7.6</v>
      </c>
      <c r="I1179" s="25">
        <v>0.23</v>
      </c>
      <c r="J1179" s="25">
        <v>1.82</v>
      </c>
      <c r="K1179" s="26">
        <v>0</v>
      </c>
      <c r="L1179" s="25">
        <f t="shared" si="144"/>
        <v>-1.8118567369442915</v>
      </c>
      <c r="M1179" s="25">
        <f t="shared" si="150"/>
        <v>0.14041387197894889</v>
      </c>
      <c r="N1179" s="25">
        <f t="shared" si="145"/>
        <v>0.85958612802105105</v>
      </c>
      <c r="O1179" s="25">
        <f t="shared" si="146"/>
        <v>-0.15130425205798961</v>
      </c>
      <c r="P1179" s="25">
        <f t="shared" si="147"/>
        <v>0</v>
      </c>
      <c r="Q1179" s="25">
        <f t="shared" si="151"/>
        <v>539.40213310211686</v>
      </c>
      <c r="R1179" s="25">
        <f t="shared" si="148"/>
        <v>6</v>
      </c>
      <c r="S1179" s="26">
        <f t="shared" si="149"/>
        <v>12</v>
      </c>
    </row>
    <row r="1180" spans="2:19" x14ac:dyDescent="0.3">
      <c r="B1180" s="24">
        <v>372120</v>
      </c>
      <c r="C1180" s="25">
        <v>46</v>
      </c>
      <c r="D1180" s="25">
        <v>1</v>
      </c>
      <c r="E1180" s="25">
        <v>6</v>
      </c>
      <c r="F1180" s="25">
        <v>5</v>
      </c>
      <c r="G1180" s="25">
        <v>37</v>
      </c>
      <c r="H1180" s="25">
        <v>31.6</v>
      </c>
      <c r="I1180" s="25">
        <v>2.34</v>
      </c>
      <c r="J1180" s="25">
        <v>9.35</v>
      </c>
      <c r="K1180" s="26">
        <v>1</v>
      </c>
      <c r="L1180" s="25">
        <f t="shared" si="144"/>
        <v>1.5311503981783996</v>
      </c>
      <c r="M1180" s="25">
        <f t="shared" si="150"/>
        <v>0.82217456884961027</v>
      </c>
      <c r="N1180" s="25">
        <f t="shared" si="145"/>
        <v>0.82217456884961027</v>
      </c>
      <c r="O1180" s="25">
        <f t="shared" si="146"/>
        <v>-0.19580253561018385</v>
      </c>
      <c r="P1180" s="25">
        <f t="shared" si="147"/>
        <v>1</v>
      </c>
      <c r="Q1180" s="25">
        <f t="shared" si="151"/>
        <v>442.94333952600027</v>
      </c>
      <c r="R1180" s="25">
        <f t="shared" si="148"/>
        <v>8</v>
      </c>
      <c r="S1180" s="26">
        <f t="shared" si="149"/>
        <v>16</v>
      </c>
    </row>
    <row r="1181" spans="2:19" x14ac:dyDescent="0.3">
      <c r="B1181" s="24">
        <v>372126</v>
      </c>
      <c r="C1181" s="25">
        <v>43</v>
      </c>
      <c r="D1181" s="25">
        <v>3</v>
      </c>
      <c r="E1181" s="25">
        <v>13</v>
      </c>
      <c r="F1181" s="25">
        <v>7</v>
      </c>
      <c r="G1181" s="25">
        <v>71</v>
      </c>
      <c r="H1181" s="25">
        <v>4.2</v>
      </c>
      <c r="I1181" s="25">
        <v>1.41</v>
      </c>
      <c r="J1181" s="25">
        <v>1.57</v>
      </c>
      <c r="K1181" s="26">
        <v>0</v>
      </c>
      <c r="L1181" s="25">
        <f t="shared" si="144"/>
        <v>-3.5181217971661751</v>
      </c>
      <c r="M1181" s="25">
        <f t="shared" si="150"/>
        <v>2.8800985586936476E-2</v>
      </c>
      <c r="N1181" s="25">
        <f t="shared" si="145"/>
        <v>0.97119901441306355</v>
      </c>
      <c r="O1181" s="25">
        <f t="shared" si="146"/>
        <v>-2.922387349098534E-2</v>
      </c>
      <c r="P1181" s="25">
        <f t="shared" si="147"/>
        <v>0</v>
      </c>
      <c r="Q1181" s="25">
        <f t="shared" si="151"/>
        <v>588.63453452325314</v>
      </c>
      <c r="R1181" s="25">
        <f t="shared" si="148"/>
        <v>4</v>
      </c>
      <c r="S1181" s="26">
        <f t="shared" si="149"/>
        <v>8</v>
      </c>
    </row>
    <row r="1182" spans="2:19" x14ac:dyDescent="0.3">
      <c r="B1182" s="24">
        <v>372138</v>
      </c>
      <c r="C1182" s="25">
        <v>57</v>
      </c>
      <c r="D1182" s="25">
        <v>1</v>
      </c>
      <c r="E1182" s="25">
        <v>25</v>
      </c>
      <c r="F1182" s="25">
        <v>22</v>
      </c>
      <c r="G1182" s="25">
        <v>61</v>
      </c>
      <c r="H1182" s="25">
        <v>1.6</v>
      </c>
      <c r="I1182" s="25">
        <v>0.18</v>
      </c>
      <c r="J1182" s="25">
        <v>0.8</v>
      </c>
      <c r="K1182" s="26">
        <v>0</v>
      </c>
      <c r="L1182" s="25">
        <f t="shared" si="144"/>
        <v>-7.7805366163408261</v>
      </c>
      <c r="M1182" s="25">
        <f t="shared" si="150"/>
        <v>4.1761344876625593E-4</v>
      </c>
      <c r="N1182" s="25">
        <f t="shared" si="145"/>
        <v>0.99958238655123377</v>
      </c>
      <c r="O1182" s="25">
        <f t="shared" si="146"/>
        <v>-4.177006735475314E-4</v>
      </c>
      <c r="P1182" s="25">
        <f t="shared" si="147"/>
        <v>0</v>
      </c>
      <c r="Q1182" s="25">
        <f t="shared" si="151"/>
        <v>711.62182547423652</v>
      </c>
      <c r="R1182" s="25">
        <f t="shared" si="148"/>
        <v>1</v>
      </c>
      <c r="S1182" s="26">
        <f t="shared" si="149"/>
        <v>1</v>
      </c>
    </row>
    <row r="1183" spans="2:19" x14ac:dyDescent="0.3">
      <c r="B1183" s="24">
        <v>372174</v>
      </c>
      <c r="C1183" s="25">
        <v>70</v>
      </c>
      <c r="D1183" s="25">
        <v>1</v>
      </c>
      <c r="E1183" s="25">
        <v>6</v>
      </c>
      <c r="F1183" s="25">
        <v>22</v>
      </c>
      <c r="G1183" s="25">
        <v>22</v>
      </c>
      <c r="H1183" s="25">
        <v>19.899999999999999</v>
      </c>
      <c r="I1183" s="25">
        <v>0.5</v>
      </c>
      <c r="J1183" s="25">
        <v>3.88</v>
      </c>
      <c r="K1183" s="26">
        <v>0</v>
      </c>
      <c r="L1183" s="25">
        <f t="shared" si="144"/>
        <v>-1.7191719509926977</v>
      </c>
      <c r="M1183" s="25">
        <f t="shared" si="150"/>
        <v>0.15197785234533759</v>
      </c>
      <c r="N1183" s="25">
        <f t="shared" si="145"/>
        <v>0.84802214765466244</v>
      </c>
      <c r="O1183" s="25">
        <f t="shared" si="146"/>
        <v>-0.1648485260139998</v>
      </c>
      <c r="P1183" s="25">
        <f t="shared" si="147"/>
        <v>0</v>
      </c>
      <c r="Q1183" s="25">
        <f t="shared" si="151"/>
        <v>536.72781555674817</v>
      </c>
      <c r="R1183" s="25">
        <f t="shared" si="148"/>
        <v>6</v>
      </c>
      <c r="S1183" s="26">
        <f t="shared" si="149"/>
        <v>12</v>
      </c>
    </row>
    <row r="1184" spans="2:19" x14ac:dyDescent="0.3">
      <c r="B1184" s="24">
        <v>372193</v>
      </c>
      <c r="C1184" s="25">
        <v>32</v>
      </c>
      <c r="D1184" s="25">
        <v>2</v>
      </c>
      <c r="E1184" s="25">
        <v>7</v>
      </c>
      <c r="F1184" s="25">
        <v>2</v>
      </c>
      <c r="G1184" s="25">
        <v>40</v>
      </c>
      <c r="H1184" s="25">
        <v>6.2</v>
      </c>
      <c r="I1184" s="25">
        <v>0.51</v>
      </c>
      <c r="J1184" s="25">
        <v>1.97</v>
      </c>
      <c r="K1184" s="26">
        <v>0</v>
      </c>
      <c r="L1184" s="25">
        <f t="shared" si="144"/>
        <v>-1.9306597431429224</v>
      </c>
      <c r="M1184" s="25">
        <f t="shared" si="150"/>
        <v>0.1266775745179495</v>
      </c>
      <c r="N1184" s="25">
        <f t="shared" si="145"/>
        <v>0.87332242548205052</v>
      </c>
      <c r="O1184" s="25">
        <f t="shared" si="146"/>
        <v>-0.13545046087915275</v>
      </c>
      <c r="P1184" s="25">
        <f t="shared" si="147"/>
        <v>0</v>
      </c>
      <c r="Q1184" s="25">
        <f t="shared" si="151"/>
        <v>542.83006316267154</v>
      </c>
      <c r="R1184" s="25">
        <f t="shared" si="148"/>
        <v>6</v>
      </c>
      <c r="S1184" s="26">
        <f t="shared" si="149"/>
        <v>11</v>
      </c>
    </row>
    <row r="1185" spans="2:19" x14ac:dyDescent="0.3">
      <c r="B1185" s="24">
        <v>372218</v>
      </c>
      <c r="C1185" s="25">
        <v>18</v>
      </c>
      <c r="D1185" s="25">
        <v>2</v>
      </c>
      <c r="E1185" s="25">
        <v>0</v>
      </c>
      <c r="F1185" s="25">
        <v>0</v>
      </c>
      <c r="G1185" s="25">
        <v>22</v>
      </c>
      <c r="H1185" s="25">
        <v>3.4</v>
      </c>
      <c r="I1185" s="25">
        <v>0.37</v>
      </c>
      <c r="J1185" s="25">
        <v>0.38</v>
      </c>
      <c r="K1185" s="26">
        <v>1</v>
      </c>
      <c r="L1185" s="25">
        <f t="shared" si="144"/>
        <v>-0.3686363783239438</v>
      </c>
      <c r="M1185" s="25">
        <f t="shared" si="150"/>
        <v>0.40887056168667613</v>
      </c>
      <c r="N1185" s="25">
        <f t="shared" si="145"/>
        <v>0.40887056168667613</v>
      </c>
      <c r="O1185" s="25">
        <f t="shared" si="146"/>
        <v>-0.89435664812184734</v>
      </c>
      <c r="P1185" s="25">
        <f t="shared" si="147"/>
        <v>1</v>
      </c>
      <c r="Q1185" s="25">
        <f t="shared" si="151"/>
        <v>497.75959719652121</v>
      </c>
      <c r="R1185" s="25">
        <f t="shared" si="148"/>
        <v>7</v>
      </c>
      <c r="S1185" s="26">
        <f t="shared" si="149"/>
        <v>14</v>
      </c>
    </row>
    <row r="1186" spans="2:19" x14ac:dyDescent="0.3">
      <c r="B1186" s="24">
        <v>372221</v>
      </c>
      <c r="C1186" s="25">
        <v>23</v>
      </c>
      <c r="D1186" s="25">
        <v>3</v>
      </c>
      <c r="E1186" s="25">
        <v>1</v>
      </c>
      <c r="F1186" s="25">
        <v>1</v>
      </c>
      <c r="G1186" s="25">
        <v>42</v>
      </c>
      <c r="H1186" s="25">
        <v>1.3</v>
      </c>
      <c r="I1186" s="25">
        <v>0.17</v>
      </c>
      <c r="J1186" s="25">
        <v>0.38</v>
      </c>
      <c r="K1186" s="26">
        <v>0</v>
      </c>
      <c r="L1186" s="25">
        <f t="shared" si="144"/>
        <v>-1.0884131030696644</v>
      </c>
      <c r="M1186" s="25">
        <f t="shared" si="150"/>
        <v>0.25191721919871124</v>
      </c>
      <c r="N1186" s="25">
        <f t="shared" si="145"/>
        <v>0.74808278080128876</v>
      </c>
      <c r="O1186" s="25">
        <f t="shared" si="146"/>
        <v>-0.29024163761063987</v>
      </c>
      <c r="P1186" s="25">
        <f t="shared" si="147"/>
        <v>0</v>
      </c>
      <c r="Q1186" s="25">
        <f t="shared" si="151"/>
        <v>518.52796283466182</v>
      </c>
      <c r="R1186" s="25">
        <f t="shared" si="148"/>
        <v>6</v>
      </c>
      <c r="S1186" s="26">
        <f t="shared" si="149"/>
        <v>13</v>
      </c>
    </row>
    <row r="1187" spans="2:19" x14ac:dyDescent="0.3">
      <c r="B1187" s="24">
        <v>372227</v>
      </c>
      <c r="C1187" s="25">
        <v>36</v>
      </c>
      <c r="D1187" s="25">
        <v>2</v>
      </c>
      <c r="E1187" s="25">
        <v>4</v>
      </c>
      <c r="F1187" s="25">
        <v>9</v>
      </c>
      <c r="G1187" s="25">
        <v>57</v>
      </c>
      <c r="H1187" s="25">
        <v>4.2</v>
      </c>
      <c r="I1187" s="25">
        <v>0.69</v>
      </c>
      <c r="J1187" s="25">
        <v>1.7</v>
      </c>
      <c r="K1187" s="26">
        <v>1</v>
      </c>
      <c r="L1187" s="25">
        <f t="shared" si="144"/>
        <v>-1.6833850808402653</v>
      </c>
      <c r="M1187" s="25">
        <f t="shared" si="150"/>
        <v>0.15664774851069899</v>
      </c>
      <c r="N1187" s="25">
        <f t="shared" si="145"/>
        <v>0.15664774851069899</v>
      </c>
      <c r="O1187" s="25">
        <f t="shared" si="146"/>
        <v>-1.8537556344245441</v>
      </c>
      <c r="P1187" s="25">
        <f t="shared" si="147"/>
        <v>0</v>
      </c>
      <c r="Q1187" s="25">
        <f t="shared" si="151"/>
        <v>535.6952247840569</v>
      </c>
      <c r="R1187" s="25">
        <f t="shared" si="148"/>
        <v>6</v>
      </c>
      <c r="S1187" s="26">
        <f t="shared" si="149"/>
        <v>12</v>
      </c>
    </row>
    <row r="1188" spans="2:19" x14ac:dyDescent="0.3">
      <c r="B1188" s="24">
        <v>372245</v>
      </c>
      <c r="C1188" s="25">
        <v>20</v>
      </c>
      <c r="D1188" s="25">
        <v>3</v>
      </c>
      <c r="E1188" s="25">
        <v>0</v>
      </c>
      <c r="F1188" s="25">
        <v>0</v>
      </c>
      <c r="G1188" s="25">
        <v>27</v>
      </c>
      <c r="H1188" s="25">
        <v>5.0999999999999996</v>
      </c>
      <c r="I1188" s="25">
        <v>0.53</v>
      </c>
      <c r="J1188" s="25">
        <v>0.85</v>
      </c>
      <c r="K1188" s="26">
        <v>0</v>
      </c>
      <c r="L1188" s="25">
        <f t="shared" si="144"/>
        <v>-0.20717612231763941</v>
      </c>
      <c r="M1188" s="25">
        <f t="shared" si="150"/>
        <v>0.44839043607475493</v>
      </c>
      <c r="N1188" s="25">
        <f t="shared" si="145"/>
        <v>0.55160956392524507</v>
      </c>
      <c r="O1188" s="25">
        <f t="shared" si="146"/>
        <v>-0.59491479469762787</v>
      </c>
      <c r="P1188" s="25">
        <f t="shared" si="147"/>
        <v>1</v>
      </c>
      <c r="Q1188" s="25">
        <f t="shared" si="151"/>
        <v>493.10083911574094</v>
      </c>
      <c r="R1188" s="25">
        <f t="shared" si="148"/>
        <v>7</v>
      </c>
      <c r="S1188" s="26">
        <f t="shared" si="149"/>
        <v>14</v>
      </c>
    </row>
    <row r="1189" spans="2:19" x14ac:dyDescent="0.3">
      <c r="B1189" s="24">
        <v>372258</v>
      </c>
      <c r="C1189" s="25">
        <v>29</v>
      </c>
      <c r="D1189" s="25">
        <v>5</v>
      </c>
      <c r="E1189" s="25">
        <v>2</v>
      </c>
      <c r="F1189" s="25">
        <v>3</v>
      </c>
      <c r="G1189" s="25">
        <v>25</v>
      </c>
      <c r="H1189" s="25">
        <v>12</v>
      </c>
      <c r="I1189" s="25">
        <v>1.1299999999999999</v>
      </c>
      <c r="J1189" s="25">
        <v>1.87</v>
      </c>
      <c r="K1189" s="26">
        <v>1</v>
      </c>
      <c r="L1189" s="25">
        <f t="shared" si="144"/>
        <v>-6.178310589832714E-2</v>
      </c>
      <c r="M1189" s="25">
        <f t="shared" si="150"/>
        <v>0.48455913489062186</v>
      </c>
      <c r="N1189" s="25">
        <f t="shared" si="145"/>
        <v>0.48455913489062186</v>
      </c>
      <c r="O1189" s="25">
        <f t="shared" si="146"/>
        <v>-0.72451580166141494</v>
      </c>
      <c r="P1189" s="25">
        <f t="shared" si="147"/>
        <v>1</v>
      </c>
      <c r="Q1189" s="25">
        <f t="shared" si="151"/>
        <v>488.90568355927974</v>
      </c>
      <c r="R1189" s="25">
        <f t="shared" si="148"/>
        <v>7</v>
      </c>
      <c r="S1189" s="26">
        <f t="shared" si="149"/>
        <v>15</v>
      </c>
    </row>
    <row r="1190" spans="2:19" x14ac:dyDescent="0.3">
      <c r="B1190" s="24">
        <v>372266</v>
      </c>
      <c r="C1190" s="25">
        <v>22</v>
      </c>
      <c r="D1190" s="25">
        <v>2</v>
      </c>
      <c r="E1190" s="25">
        <v>0</v>
      </c>
      <c r="F1190" s="25">
        <v>1</v>
      </c>
      <c r="G1190" s="25">
        <v>30</v>
      </c>
      <c r="H1190" s="25">
        <v>11.5</v>
      </c>
      <c r="I1190" s="25">
        <v>1.69</v>
      </c>
      <c r="J1190" s="25">
        <v>1.76</v>
      </c>
      <c r="K1190" s="26">
        <v>1</v>
      </c>
      <c r="L1190" s="25">
        <f t="shared" si="144"/>
        <v>0.9811305742173313</v>
      </c>
      <c r="M1190" s="25">
        <f t="shared" si="150"/>
        <v>0.72733248936918327</v>
      </c>
      <c r="N1190" s="25">
        <f t="shared" si="145"/>
        <v>0.72733248936918327</v>
      </c>
      <c r="O1190" s="25">
        <f t="shared" si="146"/>
        <v>-0.31837156161191399</v>
      </c>
      <c r="P1190" s="25">
        <f t="shared" si="147"/>
        <v>1</v>
      </c>
      <c r="Q1190" s="25">
        <f t="shared" si="151"/>
        <v>458.81355652459052</v>
      </c>
      <c r="R1190" s="25">
        <f t="shared" si="148"/>
        <v>8</v>
      </c>
      <c r="S1190" s="26">
        <f t="shared" si="149"/>
        <v>16</v>
      </c>
    </row>
    <row r="1191" spans="2:19" x14ac:dyDescent="0.3">
      <c r="B1191" s="24">
        <v>372285</v>
      </c>
      <c r="C1191" s="25">
        <v>41</v>
      </c>
      <c r="D1191" s="25">
        <v>4</v>
      </c>
      <c r="E1191" s="25">
        <v>6</v>
      </c>
      <c r="F1191" s="25">
        <v>7</v>
      </c>
      <c r="G1191" s="25">
        <v>87</v>
      </c>
      <c r="H1191" s="25">
        <v>3.7</v>
      </c>
      <c r="I1191" s="25">
        <v>1.02</v>
      </c>
      <c r="J1191" s="25">
        <v>2.2000000000000002</v>
      </c>
      <c r="K1191" s="26">
        <v>0</v>
      </c>
      <c r="L1191" s="25">
        <f t="shared" si="144"/>
        <v>-2.1598353397454608</v>
      </c>
      <c r="M1191" s="25">
        <f t="shared" si="150"/>
        <v>0.10341571790947078</v>
      </c>
      <c r="N1191" s="25">
        <f t="shared" si="145"/>
        <v>0.89658428209052921</v>
      </c>
      <c r="O1191" s="25">
        <f t="shared" si="146"/>
        <v>-0.10916297798491612</v>
      </c>
      <c r="P1191" s="25">
        <f t="shared" si="147"/>
        <v>0</v>
      </c>
      <c r="Q1191" s="25">
        <f t="shared" si="151"/>
        <v>549.44267290948153</v>
      </c>
      <c r="R1191" s="25">
        <f t="shared" si="148"/>
        <v>6</v>
      </c>
      <c r="S1191" s="26">
        <f t="shared" si="149"/>
        <v>11</v>
      </c>
    </row>
    <row r="1192" spans="2:19" x14ac:dyDescent="0.3">
      <c r="B1192" s="24">
        <v>372317</v>
      </c>
      <c r="C1192" s="25">
        <v>26</v>
      </c>
      <c r="D1192" s="25">
        <v>2</v>
      </c>
      <c r="E1192" s="25">
        <v>4</v>
      </c>
      <c r="F1192" s="25">
        <v>3</v>
      </c>
      <c r="G1192" s="25">
        <v>22</v>
      </c>
      <c r="H1192" s="25">
        <v>6.7</v>
      </c>
      <c r="I1192" s="25">
        <v>0.03</v>
      </c>
      <c r="J1192" s="25">
        <v>1.44</v>
      </c>
      <c r="K1192" s="26">
        <v>0</v>
      </c>
      <c r="L1192" s="25">
        <f t="shared" si="144"/>
        <v>-1.3497936341455012</v>
      </c>
      <c r="M1192" s="25">
        <f t="shared" si="150"/>
        <v>0.20590411214047641</v>
      </c>
      <c r="N1192" s="25">
        <f t="shared" si="145"/>
        <v>0.79409588785952356</v>
      </c>
      <c r="O1192" s="25">
        <f t="shared" si="146"/>
        <v>-0.2305510594604247</v>
      </c>
      <c r="P1192" s="25">
        <f t="shared" si="147"/>
        <v>0</v>
      </c>
      <c r="Q1192" s="25">
        <f t="shared" si="151"/>
        <v>526.06981054027085</v>
      </c>
      <c r="R1192" s="25">
        <f t="shared" si="148"/>
        <v>6</v>
      </c>
      <c r="S1192" s="26">
        <f t="shared" si="149"/>
        <v>12</v>
      </c>
    </row>
    <row r="1193" spans="2:19" x14ac:dyDescent="0.3">
      <c r="B1193" s="24">
        <v>372406</v>
      </c>
      <c r="C1193" s="25">
        <v>40</v>
      </c>
      <c r="D1193" s="25">
        <v>1</v>
      </c>
      <c r="E1193" s="25">
        <v>3</v>
      </c>
      <c r="F1193" s="25">
        <v>11</v>
      </c>
      <c r="G1193" s="25">
        <v>21</v>
      </c>
      <c r="H1193" s="25">
        <v>5.3</v>
      </c>
      <c r="I1193" s="25">
        <v>0.09</v>
      </c>
      <c r="J1193" s="25">
        <v>1.02</v>
      </c>
      <c r="K1193" s="26">
        <v>0</v>
      </c>
      <c r="L1193" s="25">
        <f t="shared" si="144"/>
        <v>-1.7549755781952754</v>
      </c>
      <c r="M1193" s="25">
        <f t="shared" si="150"/>
        <v>0.14742073055171989</v>
      </c>
      <c r="N1193" s="25">
        <f t="shared" si="145"/>
        <v>0.85257926944828011</v>
      </c>
      <c r="O1193" s="25">
        <f t="shared" si="146"/>
        <v>-0.15948908945720888</v>
      </c>
      <c r="P1193" s="25">
        <f t="shared" si="147"/>
        <v>0</v>
      </c>
      <c r="Q1193" s="25">
        <f t="shared" si="151"/>
        <v>537.76088983568866</v>
      </c>
      <c r="R1193" s="25">
        <f t="shared" si="148"/>
        <v>6</v>
      </c>
      <c r="S1193" s="26">
        <f t="shared" si="149"/>
        <v>12</v>
      </c>
    </row>
    <row r="1194" spans="2:19" x14ac:dyDescent="0.3">
      <c r="B1194" s="24">
        <v>372407</v>
      </c>
      <c r="C1194" s="25">
        <v>46</v>
      </c>
      <c r="D1194" s="25">
        <v>3</v>
      </c>
      <c r="E1194" s="25">
        <v>12</v>
      </c>
      <c r="F1194" s="25">
        <v>12</v>
      </c>
      <c r="G1194" s="25">
        <v>111</v>
      </c>
      <c r="H1194" s="25">
        <v>5.8</v>
      </c>
      <c r="I1194" s="25">
        <v>1.0900000000000001</v>
      </c>
      <c r="J1194" s="25">
        <v>5.34</v>
      </c>
      <c r="K1194" s="26">
        <v>0</v>
      </c>
      <c r="L1194" s="25">
        <f t="shared" si="144"/>
        <v>-3.4081355304310001</v>
      </c>
      <c r="M1194" s="25">
        <f t="shared" si="150"/>
        <v>3.2042174469333086E-2</v>
      </c>
      <c r="N1194" s="25">
        <f t="shared" si="145"/>
        <v>0.96795782553066689</v>
      </c>
      <c r="O1194" s="25">
        <f t="shared" si="146"/>
        <v>-3.2566761321368397E-2</v>
      </c>
      <c r="P1194" s="25">
        <f t="shared" si="147"/>
        <v>0</v>
      </c>
      <c r="Q1194" s="25">
        <f t="shared" si="151"/>
        <v>585.461001781503</v>
      </c>
      <c r="R1194" s="25">
        <f t="shared" si="148"/>
        <v>5</v>
      </c>
      <c r="S1194" s="26">
        <f t="shared" si="149"/>
        <v>8</v>
      </c>
    </row>
    <row r="1195" spans="2:19" x14ac:dyDescent="0.3">
      <c r="B1195" s="24">
        <v>372420</v>
      </c>
      <c r="C1195" s="25">
        <v>42</v>
      </c>
      <c r="D1195" s="25">
        <v>3</v>
      </c>
      <c r="E1195" s="25">
        <v>19</v>
      </c>
      <c r="F1195" s="25">
        <v>2</v>
      </c>
      <c r="G1195" s="25">
        <v>24</v>
      </c>
      <c r="H1195" s="25">
        <v>15.1</v>
      </c>
      <c r="I1195" s="25">
        <v>2</v>
      </c>
      <c r="J1195" s="25">
        <v>1.62</v>
      </c>
      <c r="K1195" s="26">
        <v>0</v>
      </c>
      <c r="L1195" s="25">
        <f t="shared" si="144"/>
        <v>-3.3348125766047456</v>
      </c>
      <c r="M1195" s="25">
        <f t="shared" si="150"/>
        <v>3.4396031788873044E-2</v>
      </c>
      <c r="N1195" s="25">
        <f t="shared" si="145"/>
        <v>0.96560396821112693</v>
      </c>
      <c r="O1195" s="25">
        <f t="shared" si="146"/>
        <v>-3.5001499626556493E-2</v>
      </c>
      <c r="P1195" s="25">
        <f t="shared" si="147"/>
        <v>0</v>
      </c>
      <c r="Q1195" s="25">
        <f t="shared" si="151"/>
        <v>583.34534860409565</v>
      </c>
      <c r="R1195" s="25">
        <f t="shared" si="148"/>
        <v>5</v>
      </c>
      <c r="S1195" s="26">
        <f t="shared" si="149"/>
        <v>8</v>
      </c>
    </row>
    <row r="1196" spans="2:19" x14ac:dyDescent="0.3">
      <c r="B1196" s="24">
        <v>372447</v>
      </c>
      <c r="C1196" s="25">
        <v>20</v>
      </c>
      <c r="D1196" s="25">
        <v>3</v>
      </c>
      <c r="E1196" s="25">
        <v>0</v>
      </c>
      <c r="F1196" s="25">
        <v>0</v>
      </c>
      <c r="G1196" s="25">
        <v>21</v>
      </c>
      <c r="H1196" s="25">
        <v>15.1</v>
      </c>
      <c r="I1196" s="25">
        <v>1.26</v>
      </c>
      <c r="J1196" s="25">
        <v>1.91</v>
      </c>
      <c r="K1196" s="26">
        <v>1</v>
      </c>
      <c r="L1196" s="25">
        <f t="shared" si="144"/>
        <v>1.1602123946872749</v>
      </c>
      <c r="M1196" s="25">
        <f t="shared" si="150"/>
        <v>0.76137130592245261</v>
      </c>
      <c r="N1196" s="25">
        <f t="shared" si="145"/>
        <v>0.76137130592245261</v>
      </c>
      <c r="O1196" s="25">
        <f t="shared" si="146"/>
        <v>-0.27263412168759177</v>
      </c>
      <c r="P1196" s="25">
        <f t="shared" si="147"/>
        <v>1</v>
      </c>
      <c r="Q1196" s="25">
        <f t="shared" si="151"/>
        <v>453.64634758493281</v>
      </c>
      <c r="R1196" s="25">
        <f t="shared" si="148"/>
        <v>8</v>
      </c>
      <c r="S1196" s="26">
        <f t="shared" si="149"/>
        <v>16</v>
      </c>
    </row>
    <row r="1197" spans="2:19" x14ac:dyDescent="0.3">
      <c r="B1197" s="24">
        <v>372450</v>
      </c>
      <c r="C1197" s="25">
        <v>22</v>
      </c>
      <c r="D1197" s="25">
        <v>4</v>
      </c>
      <c r="E1197" s="25">
        <v>0</v>
      </c>
      <c r="F1197" s="25">
        <v>1</v>
      </c>
      <c r="G1197" s="25">
        <v>51</v>
      </c>
      <c r="H1197" s="25">
        <v>8.6999999999999993</v>
      </c>
      <c r="I1197" s="25">
        <v>1.07</v>
      </c>
      <c r="J1197" s="25">
        <v>3.37</v>
      </c>
      <c r="K1197" s="26">
        <v>1</v>
      </c>
      <c r="L1197" s="25">
        <f t="shared" si="144"/>
        <v>0.34675018238740346</v>
      </c>
      <c r="M1197" s="25">
        <f t="shared" si="150"/>
        <v>0.58582928540797041</v>
      </c>
      <c r="N1197" s="25">
        <f t="shared" si="145"/>
        <v>0.58582928540797041</v>
      </c>
      <c r="O1197" s="25">
        <f t="shared" si="146"/>
        <v>-0.5347268536769737</v>
      </c>
      <c r="P1197" s="25">
        <f t="shared" si="147"/>
        <v>1</v>
      </c>
      <c r="Q1197" s="25">
        <f t="shared" si="151"/>
        <v>477.11790491241209</v>
      </c>
      <c r="R1197" s="25">
        <f t="shared" si="148"/>
        <v>7</v>
      </c>
      <c r="S1197" s="26">
        <f t="shared" si="149"/>
        <v>15</v>
      </c>
    </row>
    <row r="1198" spans="2:19" x14ac:dyDescent="0.3">
      <c r="B1198" s="24">
        <v>372485</v>
      </c>
      <c r="C1198" s="25">
        <v>20</v>
      </c>
      <c r="D1198" s="25">
        <v>3</v>
      </c>
      <c r="E1198" s="25">
        <v>0</v>
      </c>
      <c r="F1198" s="25">
        <v>0</v>
      </c>
      <c r="G1198" s="25">
        <v>13</v>
      </c>
      <c r="H1198" s="25">
        <v>1.1000000000000001</v>
      </c>
      <c r="I1198" s="25">
        <v>0.05</v>
      </c>
      <c r="J1198" s="25">
        <v>0.09</v>
      </c>
      <c r="K1198" s="26">
        <v>0</v>
      </c>
      <c r="L1198" s="25">
        <f t="shared" si="144"/>
        <v>-0.85526321012249173</v>
      </c>
      <c r="M1198" s="25">
        <f t="shared" si="150"/>
        <v>0.29832994589854434</v>
      </c>
      <c r="N1198" s="25">
        <f t="shared" si="145"/>
        <v>0.70167005410145566</v>
      </c>
      <c r="O1198" s="25">
        <f t="shared" si="146"/>
        <v>-0.35429199384738169</v>
      </c>
      <c r="P1198" s="25">
        <f t="shared" si="147"/>
        <v>0</v>
      </c>
      <c r="Q1198" s="25">
        <f t="shared" si="151"/>
        <v>511.80067913855333</v>
      </c>
      <c r="R1198" s="25">
        <f t="shared" si="148"/>
        <v>7</v>
      </c>
      <c r="S1198" s="26">
        <f t="shared" si="149"/>
        <v>13</v>
      </c>
    </row>
    <row r="1199" spans="2:19" x14ac:dyDescent="0.3">
      <c r="B1199" s="24">
        <v>372496</v>
      </c>
      <c r="C1199" s="25">
        <v>24</v>
      </c>
      <c r="D1199" s="25">
        <v>4</v>
      </c>
      <c r="E1199" s="25">
        <v>1</v>
      </c>
      <c r="F1199" s="25">
        <v>2</v>
      </c>
      <c r="G1199" s="25">
        <v>36</v>
      </c>
      <c r="H1199" s="25">
        <v>13</v>
      </c>
      <c r="I1199" s="25">
        <v>1</v>
      </c>
      <c r="J1199" s="25">
        <v>3.68</v>
      </c>
      <c r="K1199" s="26">
        <v>1</v>
      </c>
      <c r="L1199" s="25">
        <f t="shared" si="144"/>
        <v>0.44443365675685603</v>
      </c>
      <c r="M1199" s="25">
        <f t="shared" si="150"/>
        <v>0.60931497383500732</v>
      </c>
      <c r="N1199" s="25">
        <f t="shared" si="145"/>
        <v>0.60931497383500732</v>
      </c>
      <c r="O1199" s="25">
        <f t="shared" si="146"/>
        <v>-0.49541994655779537</v>
      </c>
      <c r="P1199" s="25">
        <f t="shared" si="147"/>
        <v>1</v>
      </c>
      <c r="Q1199" s="25">
        <f t="shared" si="151"/>
        <v>474.29935571130335</v>
      </c>
      <c r="R1199" s="25">
        <f t="shared" si="148"/>
        <v>7</v>
      </c>
      <c r="S1199" s="26">
        <f t="shared" si="149"/>
        <v>15</v>
      </c>
    </row>
    <row r="1200" spans="2:19" x14ac:dyDescent="0.3">
      <c r="B1200" s="24">
        <v>372514</v>
      </c>
      <c r="C1200" s="25">
        <v>72</v>
      </c>
      <c r="D1200" s="25">
        <v>2</v>
      </c>
      <c r="E1200" s="25">
        <v>48</v>
      </c>
      <c r="F1200" s="25">
        <v>30</v>
      </c>
      <c r="G1200" s="25">
        <v>233</v>
      </c>
      <c r="H1200" s="25">
        <v>28.8</v>
      </c>
      <c r="I1200" s="25">
        <v>18.25</v>
      </c>
      <c r="J1200" s="25">
        <v>48.85</v>
      </c>
      <c r="K1200" s="26">
        <v>0</v>
      </c>
      <c r="L1200" s="25">
        <f t="shared" si="144"/>
        <v>-1.1059312880547778</v>
      </c>
      <c r="M1200" s="25">
        <f t="shared" si="150"/>
        <v>0.24863020012087145</v>
      </c>
      <c r="N1200" s="25">
        <f t="shared" si="145"/>
        <v>0.75136979987912855</v>
      </c>
      <c r="O1200" s="25">
        <f t="shared" si="146"/>
        <v>-0.28585733845311012</v>
      </c>
      <c r="P1200" s="25">
        <f t="shared" si="147"/>
        <v>0</v>
      </c>
      <c r="Q1200" s="25">
        <f t="shared" si="151"/>
        <v>519.03343079240369</v>
      </c>
      <c r="R1200" s="25">
        <f t="shared" si="148"/>
        <v>6</v>
      </c>
      <c r="S1200" s="26">
        <f t="shared" si="149"/>
        <v>13</v>
      </c>
    </row>
    <row r="1201" spans="2:19" x14ac:dyDescent="0.3">
      <c r="B1201" s="24">
        <v>372545</v>
      </c>
      <c r="C1201" s="25">
        <v>51</v>
      </c>
      <c r="D1201" s="25">
        <v>2</v>
      </c>
      <c r="E1201" s="25">
        <v>9</v>
      </c>
      <c r="F1201" s="25">
        <v>19</v>
      </c>
      <c r="G1201" s="25">
        <v>82</v>
      </c>
      <c r="H1201" s="25">
        <v>14.6</v>
      </c>
      <c r="I1201" s="25">
        <v>1.5</v>
      </c>
      <c r="J1201" s="25">
        <v>10.48</v>
      </c>
      <c r="K1201" s="26">
        <v>0</v>
      </c>
      <c r="L1201" s="25">
        <f t="shared" si="144"/>
        <v>-1.8182750479734031</v>
      </c>
      <c r="M1201" s="25">
        <f t="shared" si="150"/>
        <v>0.13964098228478838</v>
      </c>
      <c r="N1201" s="25">
        <f t="shared" si="145"/>
        <v>0.86035901771521162</v>
      </c>
      <c r="O1201" s="25">
        <f t="shared" si="146"/>
        <v>-0.15040551438824432</v>
      </c>
      <c r="P1201" s="25">
        <f t="shared" si="147"/>
        <v>0</v>
      </c>
      <c r="Q1201" s="25">
        <f t="shared" si="151"/>
        <v>539.58732640671974</v>
      </c>
      <c r="R1201" s="25">
        <f t="shared" si="148"/>
        <v>6</v>
      </c>
      <c r="S1201" s="26">
        <f t="shared" si="149"/>
        <v>12</v>
      </c>
    </row>
    <row r="1202" spans="2:19" x14ac:dyDescent="0.3">
      <c r="B1202" s="24">
        <v>372551</v>
      </c>
      <c r="C1202" s="25">
        <v>57</v>
      </c>
      <c r="D1202" s="25">
        <v>5</v>
      </c>
      <c r="E1202" s="25">
        <v>31</v>
      </c>
      <c r="F1202" s="25">
        <v>23</v>
      </c>
      <c r="G1202" s="25">
        <v>1079</v>
      </c>
      <c r="H1202" s="25">
        <v>1.4</v>
      </c>
      <c r="I1202" s="25">
        <v>1.96</v>
      </c>
      <c r="J1202" s="25">
        <v>13.14</v>
      </c>
      <c r="K1202" s="26">
        <v>0</v>
      </c>
      <c r="L1202" s="25">
        <f t="shared" si="144"/>
        <v>-8.0258311947713548</v>
      </c>
      <c r="M1202" s="25">
        <f t="shared" si="150"/>
        <v>3.2680135473297215E-4</v>
      </c>
      <c r="N1202" s="25">
        <f t="shared" si="145"/>
        <v>0.99967319864526705</v>
      </c>
      <c r="O1202" s="25">
        <f t="shared" si="146"/>
        <v>-3.2685476593256576E-4</v>
      </c>
      <c r="P1202" s="25">
        <f t="shared" si="147"/>
        <v>0</v>
      </c>
      <c r="Q1202" s="25">
        <f t="shared" si="151"/>
        <v>718.69953071081318</v>
      </c>
      <c r="R1202" s="25">
        <f t="shared" si="148"/>
        <v>1</v>
      </c>
      <c r="S1202" s="26">
        <f t="shared" si="149"/>
        <v>1</v>
      </c>
    </row>
    <row r="1203" spans="2:19" x14ac:dyDescent="0.3">
      <c r="B1203" s="24">
        <v>372571</v>
      </c>
      <c r="C1203" s="25">
        <v>33</v>
      </c>
      <c r="D1203" s="25">
        <v>3</v>
      </c>
      <c r="E1203" s="25">
        <v>3</v>
      </c>
      <c r="F1203" s="25">
        <v>9</v>
      </c>
      <c r="G1203" s="25">
        <v>26</v>
      </c>
      <c r="H1203" s="25">
        <v>12.8</v>
      </c>
      <c r="I1203" s="25">
        <v>0.92</v>
      </c>
      <c r="J1203" s="25">
        <v>2.41</v>
      </c>
      <c r="K1203" s="26">
        <v>0</v>
      </c>
      <c r="L1203" s="25">
        <f t="shared" si="144"/>
        <v>-0.46903641435103305</v>
      </c>
      <c r="M1203" s="25">
        <f t="shared" si="150"/>
        <v>0.3848443367512841</v>
      </c>
      <c r="N1203" s="25">
        <f t="shared" si="145"/>
        <v>0.61515566324871584</v>
      </c>
      <c r="O1203" s="25">
        <f t="shared" si="146"/>
        <v>-0.48587993222927578</v>
      </c>
      <c r="P1203" s="25">
        <f t="shared" si="147"/>
        <v>0</v>
      </c>
      <c r="Q1203" s="25">
        <f t="shared" si="151"/>
        <v>500.65652979604329</v>
      </c>
      <c r="R1203" s="25">
        <f t="shared" si="148"/>
        <v>7</v>
      </c>
      <c r="S1203" s="26">
        <f t="shared" si="149"/>
        <v>14</v>
      </c>
    </row>
    <row r="1204" spans="2:19" x14ac:dyDescent="0.3">
      <c r="B1204" s="24">
        <v>375011</v>
      </c>
      <c r="C1204" s="25">
        <v>48</v>
      </c>
      <c r="D1204" s="25">
        <v>5</v>
      </c>
      <c r="E1204" s="25">
        <v>2</v>
      </c>
      <c r="F1204" s="25">
        <v>6</v>
      </c>
      <c r="G1204" s="25">
        <v>52</v>
      </c>
      <c r="H1204" s="25">
        <v>13.1</v>
      </c>
      <c r="I1204" s="25">
        <v>1.52</v>
      </c>
      <c r="J1204" s="25">
        <v>5.29</v>
      </c>
      <c r="K1204" s="26">
        <v>0</v>
      </c>
      <c r="L1204" s="25">
        <f t="shared" si="144"/>
        <v>-0.18360704832027544</v>
      </c>
      <c r="M1204" s="25">
        <f t="shared" si="150"/>
        <v>0.45422675630398429</v>
      </c>
      <c r="N1204" s="25">
        <f t="shared" si="145"/>
        <v>0.54577324369601565</v>
      </c>
      <c r="O1204" s="25">
        <f t="shared" si="146"/>
        <v>-0.60555169408611786</v>
      </c>
      <c r="P1204" s="25">
        <f t="shared" si="147"/>
        <v>1</v>
      </c>
      <c r="Q1204" s="25">
        <f t="shared" si="151"/>
        <v>492.42077941152837</v>
      </c>
      <c r="R1204" s="25">
        <f t="shared" si="148"/>
        <v>7</v>
      </c>
      <c r="S1204" s="26">
        <f t="shared" si="149"/>
        <v>14</v>
      </c>
    </row>
    <row r="1205" spans="2:19" x14ac:dyDescent="0.3">
      <c r="B1205" s="24">
        <v>375014</v>
      </c>
      <c r="C1205" s="25">
        <v>40</v>
      </c>
      <c r="D1205" s="25">
        <v>1</v>
      </c>
      <c r="E1205" s="25">
        <v>2</v>
      </c>
      <c r="F1205" s="25">
        <v>6</v>
      </c>
      <c r="G1205" s="25">
        <v>30</v>
      </c>
      <c r="H1205" s="25">
        <v>3</v>
      </c>
      <c r="I1205" s="25">
        <v>0.05</v>
      </c>
      <c r="J1205" s="25">
        <v>0.85</v>
      </c>
      <c r="K1205" s="26">
        <v>0</v>
      </c>
      <c r="L1205" s="25">
        <f t="shared" si="144"/>
        <v>-1.6162129730935613</v>
      </c>
      <c r="M1205" s="25">
        <f t="shared" si="150"/>
        <v>0.16572780988131411</v>
      </c>
      <c r="N1205" s="25">
        <f t="shared" si="145"/>
        <v>0.83427219011868592</v>
      </c>
      <c r="O1205" s="25">
        <f t="shared" si="146"/>
        <v>-0.18119556282074661</v>
      </c>
      <c r="P1205" s="25">
        <f t="shared" si="147"/>
        <v>0</v>
      </c>
      <c r="Q1205" s="25">
        <f t="shared" si="151"/>
        <v>533.75704750434431</v>
      </c>
      <c r="R1205" s="25">
        <f t="shared" si="148"/>
        <v>6</v>
      </c>
      <c r="S1205" s="26">
        <f t="shared" si="149"/>
        <v>12</v>
      </c>
    </row>
    <row r="1206" spans="2:19" x14ac:dyDescent="0.3">
      <c r="B1206" s="24">
        <v>375038</v>
      </c>
      <c r="C1206" s="25">
        <v>26</v>
      </c>
      <c r="D1206" s="25">
        <v>1</v>
      </c>
      <c r="E1206" s="25">
        <v>2</v>
      </c>
      <c r="F1206" s="25">
        <v>2</v>
      </c>
      <c r="G1206" s="25">
        <v>23</v>
      </c>
      <c r="H1206" s="25">
        <v>2.5</v>
      </c>
      <c r="I1206" s="25">
        <v>0.03</v>
      </c>
      <c r="J1206" s="25">
        <v>0.54</v>
      </c>
      <c r="K1206" s="26">
        <v>0</v>
      </c>
      <c r="L1206" s="25">
        <f t="shared" si="144"/>
        <v>-1.2521379479014689</v>
      </c>
      <c r="M1206" s="25">
        <f t="shared" si="150"/>
        <v>0.22233026922828109</v>
      </c>
      <c r="N1206" s="25">
        <f t="shared" si="145"/>
        <v>0.77766973077171886</v>
      </c>
      <c r="O1206" s="25">
        <f t="shared" si="146"/>
        <v>-0.25145335551006531</v>
      </c>
      <c r="P1206" s="25">
        <f t="shared" si="147"/>
        <v>0</v>
      </c>
      <c r="Q1206" s="25">
        <f t="shared" si="151"/>
        <v>523.25206313495414</v>
      </c>
      <c r="R1206" s="25">
        <f t="shared" si="148"/>
        <v>6</v>
      </c>
      <c r="S1206" s="26">
        <f t="shared" si="149"/>
        <v>13</v>
      </c>
    </row>
    <row r="1207" spans="2:19" x14ac:dyDescent="0.3">
      <c r="B1207" s="24">
        <v>375102</v>
      </c>
      <c r="C1207" s="25">
        <v>30</v>
      </c>
      <c r="D1207" s="25">
        <v>1</v>
      </c>
      <c r="E1207" s="25">
        <v>0</v>
      </c>
      <c r="F1207" s="25">
        <v>6</v>
      </c>
      <c r="G1207" s="25">
        <v>25</v>
      </c>
      <c r="H1207" s="25">
        <v>5.7</v>
      </c>
      <c r="I1207" s="25">
        <v>0.48</v>
      </c>
      <c r="J1207" s="25">
        <v>0.94</v>
      </c>
      <c r="K1207" s="26">
        <v>0</v>
      </c>
      <c r="L1207" s="25">
        <f t="shared" si="144"/>
        <v>-0.47388744314601555</v>
      </c>
      <c r="M1207" s="25">
        <f t="shared" si="150"/>
        <v>0.38369655163560445</v>
      </c>
      <c r="N1207" s="25">
        <f t="shared" si="145"/>
        <v>0.61630344836439555</v>
      </c>
      <c r="O1207" s="25">
        <f t="shared" si="146"/>
        <v>-0.48401582576041319</v>
      </c>
      <c r="P1207" s="25">
        <f t="shared" si="147"/>
        <v>0</v>
      </c>
      <c r="Q1207" s="25">
        <f t="shared" si="151"/>
        <v>500.79650089579081</v>
      </c>
      <c r="R1207" s="25">
        <f t="shared" si="148"/>
        <v>7</v>
      </c>
      <c r="S1207" s="26">
        <f t="shared" si="149"/>
        <v>14</v>
      </c>
    </row>
    <row r="1208" spans="2:19" x14ac:dyDescent="0.3">
      <c r="B1208" s="24">
        <v>375106</v>
      </c>
      <c r="C1208" s="25">
        <v>39</v>
      </c>
      <c r="D1208" s="25">
        <v>2</v>
      </c>
      <c r="E1208" s="25">
        <v>0</v>
      </c>
      <c r="F1208" s="25">
        <v>4</v>
      </c>
      <c r="G1208" s="25">
        <v>36</v>
      </c>
      <c r="H1208" s="25">
        <v>7.5</v>
      </c>
      <c r="I1208" s="25">
        <v>0.87</v>
      </c>
      <c r="J1208" s="25">
        <v>1.83</v>
      </c>
      <c r="K1208" s="26">
        <v>1</v>
      </c>
      <c r="L1208" s="25">
        <f t="shared" si="144"/>
        <v>-0.2676600289609955</v>
      </c>
      <c r="M1208" s="25">
        <f t="shared" si="150"/>
        <v>0.4334816444526719</v>
      </c>
      <c r="N1208" s="25">
        <f t="shared" si="145"/>
        <v>0.4334816444526719</v>
      </c>
      <c r="O1208" s="25">
        <f t="shared" si="146"/>
        <v>-0.83590582632774701</v>
      </c>
      <c r="P1208" s="25">
        <f t="shared" si="147"/>
        <v>1</v>
      </c>
      <c r="Q1208" s="25">
        <f t="shared" si="151"/>
        <v>494.84603570963765</v>
      </c>
      <c r="R1208" s="25">
        <f t="shared" si="148"/>
        <v>7</v>
      </c>
      <c r="S1208" s="26">
        <f t="shared" si="149"/>
        <v>14</v>
      </c>
    </row>
    <row r="1209" spans="2:19" x14ac:dyDescent="0.3">
      <c r="B1209" s="24">
        <v>375141</v>
      </c>
      <c r="C1209" s="25">
        <v>44</v>
      </c>
      <c r="D1209" s="25">
        <v>3</v>
      </c>
      <c r="E1209" s="25">
        <v>6</v>
      </c>
      <c r="F1209" s="25">
        <v>12</v>
      </c>
      <c r="G1209" s="25">
        <v>39</v>
      </c>
      <c r="H1209" s="25">
        <v>8.9</v>
      </c>
      <c r="I1209" s="25">
        <v>1.82</v>
      </c>
      <c r="J1209" s="25">
        <v>1.65</v>
      </c>
      <c r="K1209" s="26">
        <v>1</v>
      </c>
      <c r="L1209" s="25">
        <f t="shared" si="144"/>
        <v>-1.4615055175202272</v>
      </c>
      <c r="M1209" s="25">
        <f t="shared" si="150"/>
        <v>0.1882371682258962</v>
      </c>
      <c r="N1209" s="25">
        <f t="shared" si="145"/>
        <v>0.1882371682258962</v>
      </c>
      <c r="O1209" s="25">
        <f t="shared" si="146"/>
        <v>-1.6700525781000244</v>
      </c>
      <c r="P1209" s="25">
        <f t="shared" si="147"/>
        <v>0</v>
      </c>
      <c r="Q1209" s="25">
        <f t="shared" si="151"/>
        <v>529.29313405197684</v>
      </c>
      <c r="R1209" s="25">
        <f t="shared" si="148"/>
        <v>6</v>
      </c>
      <c r="S1209" s="26">
        <f t="shared" si="149"/>
        <v>12</v>
      </c>
    </row>
    <row r="1210" spans="2:19" x14ac:dyDescent="0.3">
      <c r="B1210" s="24">
        <v>375217</v>
      </c>
      <c r="C1210" s="25">
        <v>40</v>
      </c>
      <c r="D1210" s="25">
        <v>3</v>
      </c>
      <c r="E1210" s="25">
        <v>15</v>
      </c>
      <c r="F1210" s="25">
        <v>12</v>
      </c>
      <c r="G1210" s="25">
        <v>129</v>
      </c>
      <c r="H1210" s="25">
        <v>11.9</v>
      </c>
      <c r="I1210" s="25">
        <v>4.82</v>
      </c>
      <c r="J1210" s="25">
        <v>10.53</v>
      </c>
      <c r="K1210" s="26">
        <v>0</v>
      </c>
      <c r="L1210" s="25">
        <f t="shared" si="144"/>
        <v>-1.4480773763032904</v>
      </c>
      <c r="M1210" s="25">
        <f t="shared" si="150"/>
        <v>0.19029763603855623</v>
      </c>
      <c r="N1210" s="25">
        <f t="shared" si="145"/>
        <v>0.80970236396144379</v>
      </c>
      <c r="O1210" s="25">
        <f t="shared" si="146"/>
        <v>-0.21108855074209637</v>
      </c>
      <c r="P1210" s="25">
        <f t="shared" si="147"/>
        <v>0</v>
      </c>
      <c r="Q1210" s="25">
        <f t="shared" si="151"/>
        <v>528.9056798081175</v>
      </c>
      <c r="R1210" s="25">
        <f t="shared" si="148"/>
        <v>6</v>
      </c>
      <c r="S1210" s="26">
        <f t="shared" si="149"/>
        <v>12</v>
      </c>
    </row>
    <row r="1211" spans="2:19" x14ac:dyDescent="0.3">
      <c r="B1211" s="24">
        <v>375267</v>
      </c>
      <c r="C1211" s="25">
        <v>60</v>
      </c>
      <c r="D1211" s="25">
        <v>2</v>
      </c>
      <c r="E1211" s="25">
        <v>2</v>
      </c>
      <c r="F1211" s="25">
        <v>18</v>
      </c>
      <c r="G1211" s="25">
        <v>29</v>
      </c>
      <c r="H1211" s="25">
        <v>3.3</v>
      </c>
      <c r="I1211" s="25">
        <v>0.54</v>
      </c>
      <c r="J1211" s="25">
        <v>0.42</v>
      </c>
      <c r="K1211" s="26">
        <v>0</v>
      </c>
      <c r="L1211" s="25">
        <f t="shared" si="144"/>
        <v>-2.2415737127470958</v>
      </c>
      <c r="M1211" s="25">
        <f t="shared" si="150"/>
        <v>9.6078781553766035E-2</v>
      </c>
      <c r="N1211" s="25">
        <f t="shared" si="145"/>
        <v>0.90392121844623396</v>
      </c>
      <c r="O1211" s="25">
        <f t="shared" si="146"/>
        <v>-0.10101307012401203</v>
      </c>
      <c r="P1211" s="25">
        <f t="shared" si="147"/>
        <v>0</v>
      </c>
      <c r="Q1211" s="25">
        <f t="shared" si="151"/>
        <v>551.80114375023345</v>
      </c>
      <c r="R1211" s="25">
        <f t="shared" si="148"/>
        <v>6</v>
      </c>
      <c r="S1211" s="26">
        <f t="shared" si="149"/>
        <v>11</v>
      </c>
    </row>
    <row r="1212" spans="2:19" x14ac:dyDescent="0.3">
      <c r="B1212" s="24">
        <v>375293</v>
      </c>
      <c r="C1212" s="25">
        <v>47</v>
      </c>
      <c r="D1212" s="25">
        <v>2</v>
      </c>
      <c r="E1212" s="25">
        <v>8</v>
      </c>
      <c r="F1212" s="25">
        <v>13</v>
      </c>
      <c r="G1212" s="25">
        <v>49</v>
      </c>
      <c r="H1212" s="25">
        <v>18.399999999999999</v>
      </c>
      <c r="I1212" s="25">
        <v>1.58</v>
      </c>
      <c r="J1212" s="25">
        <v>7.44</v>
      </c>
      <c r="K1212" s="26">
        <v>0</v>
      </c>
      <c r="L1212" s="25">
        <f t="shared" si="144"/>
        <v>-0.97742367294519616</v>
      </c>
      <c r="M1212" s="25">
        <f t="shared" si="150"/>
        <v>0.27340328225756971</v>
      </c>
      <c r="N1212" s="25">
        <f t="shared" si="145"/>
        <v>0.72659671774243029</v>
      </c>
      <c r="O1212" s="25">
        <f t="shared" si="146"/>
        <v>-0.31938367648788324</v>
      </c>
      <c r="P1212" s="25">
        <f t="shared" si="147"/>
        <v>0</v>
      </c>
      <c r="Q1212" s="25">
        <f t="shared" si="151"/>
        <v>515.32548491679336</v>
      </c>
      <c r="R1212" s="25">
        <f t="shared" si="148"/>
        <v>7</v>
      </c>
      <c r="S1212" s="26">
        <f t="shared" si="149"/>
        <v>13</v>
      </c>
    </row>
    <row r="1213" spans="2:19" x14ac:dyDescent="0.3">
      <c r="B1213" s="24">
        <v>375313</v>
      </c>
      <c r="C1213" s="25">
        <v>41</v>
      </c>
      <c r="D1213" s="25">
        <v>4</v>
      </c>
      <c r="E1213" s="25">
        <v>15</v>
      </c>
      <c r="F1213" s="25">
        <v>12</v>
      </c>
      <c r="G1213" s="25">
        <v>127</v>
      </c>
      <c r="H1213" s="25">
        <v>18.2</v>
      </c>
      <c r="I1213" s="25">
        <v>18.12</v>
      </c>
      <c r="J1213" s="25">
        <v>4.99</v>
      </c>
      <c r="K1213" s="26">
        <v>0</v>
      </c>
      <c r="L1213" s="25">
        <f t="shared" si="144"/>
        <v>5.2654041334595423</v>
      </c>
      <c r="M1213" s="25">
        <f t="shared" si="150"/>
        <v>0.99485925944518849</v>
      </c>
      <c r="N1213" s="25">
        <f t="shared" si="145"/>
        <v>5.140740554811507E-3</v>
      </c>
      <c r="O1213" s="25">
        <f t="shared" si="146"/>
        <v>-5.2705581330815532</v>
      </c>
      <c r="P1213" s="25">
        <f t="shared" si="147"/>
        <v>1</v>
      </c>
      <c r="Q1213" s="25">
        <f t="shared" si="151"/>
        <v>335.19555567357156</v>
      </c>
      <c r="R1213" s="25">
        <f t="shared" si="148"/>
        <v>8</v>
      </c>
      <c r="S1213" s="26">
        <f t="shared" si="149"/>
        <v>17</v>
      </c>
    </row>
    <row r="1214" spans="2:19" x14ac:dyDescent="0.3">
      <c r="B1214" s="24">
        <v>375331</v>
      </c>
      <c r="C1214" s="25">
        <v>22</v>
      </c>
      <c r="D1214" s="25">
        <v>1</v>
      </c>
      <c r="E1214" s="25">
        <v>4</v>
      </c>
      <c r="F1214" s="25">
        <v>0</v>
      </c>
      <c r="G1214" s="25">
        <v>27</v>
      </c>
      <c r="H1214" s="25">
        <v>4.0999999999999996</v>
      </c>
      <c r="I1214" s="25">
        <v>0.33</v>
      </c>
      <c r="J1214" s="25">
        <v>0.77</v>
      </c>
      <c r="K1214" s="26">
        <v>0</v>
      </c>
      <c r="L1214" s="25">
        <f t="shared" si="144"/>
        <v>-1.2448869103229792</v>
      </c>
      <c r="M1214" s="25">
        <f t="shared" si="150"/>
        <v>0.22358649392027449</v>
      </c>
      <c r="N1214" s="25">
        <f t="shared" si="145"/>
        <v>0.77641350607972548</v>
      </c>
      <c r="O1214" s="25">
        <f t="shared" si="146"/>
        <v>-0.25307003206356665</v>
      </c>
      <c r="P1214" s="25">
        <f t="shared" si="147"/>
        <v>0</v>
      </c>
      <c r="Q1214" s="25">
        <f t="shared" si="151"/>
        <v>523.04284242176823</v>
      </c>
      <c r="R1214" s="25">
        <f t="shared" si="148"/>
        <v>6</v>
      </c>
      <c r="S1214" s="26">
        <f t="shared" si="149"/>
        <v>13</v>
      </c>
    </row>
    <row r="1215" spans="2:19" x14ac:dyDescent="0.3">
      <c r="B1215" s="24">
        <v>375333</v>
      </c>
      <c r="C1215" s="25">
        <v>42</v>
      </c>
      <c r="D1215" s="25">
        <v>1</v>
      </c>
      <c r="E1215" s="25">
        <v>8</v>
      </c>
      <c r="F1215" s="25">
        <v>10</v>
      </c>
      <c r="G1215" s="25">
        <v>65</v>
      </c>
      <c r="H1215" s="25">
        <v>14.6</v>
      </c>
      <c r="I1215" s="25">
        <v>2.7</v>
      </c>
      <c r="J1215" s="25">
        <v>6.79</v>
      </c>
      <c r="K1215" s="26">
        <v>0</v>
      </c>
      <c r="L1215" s="25">
        <f t="shared" si="144"/>
        <v>-0.57907523754842338</v>
      </c>
      <c r="M1215" s="25">
        <f t="shared" si="150"/>
        <v>0.3591454092405913</v>
      </c>
      <c r="N1215" s="25">
        <f t="shared" si="145"/>
        <v>0.64085459075940876</v>
      </c>
      <c r="O1215" s="25">
        <f t="shared" si="146"/>
        <v>-0.44495269528447245</v>
      </c>
      <c r="P1215" s="25">
        <f t="shared" si="147"/>
        <v>0</v>
      </c>
      <c r="Q1215" s="25">
        <f t="shared" si="151"/>
        <v>503.83157899669845</v>
      </c>
      <c r="R1215" s="25">
        <f t="shared" si="148"/>
        <v>7</v>
      </c>
      <c r="S1215" s="26">
        <f t="shared" si="149"/>
        <v>14</v>
      </c>
    </row>
    <row r="1216" spans="2:19" x14ac:dyDescent="0.3">
      <c r="B1216" s="24">
        <v>375404</v>
      </c>
      <c r="C1216" s="25">
        <v>42</v>
      </c>
      <c r="D1216" s="25">
        <v>2</v>
      </c>
      <c r="E1216" s="25">
        <v>20</v>
      </c>
      <c r="F1216" s="25">
        <v>16</v>
      </c>
      <c r="G1216" s="25">
        <v>117</v>
      </c>
      <c r="H1216" s="25">
        <v>23.3</v>
      </c>
      <c r="I1216" s="25">
        <v>12.73</v>
      </c>
      <c r="J1216" s="25">
        <v>14.53</v>
      </c>
      <c r="K1216" s="26">
        <v>1</v>
      </c>
      <c r="L1216" s="25">
        <f t="shared" si="144"/>
        <v>2.2814598871040932</v>
      </c>
      <c r="M1216" s="25">
        <f t="shared" si="150"/>
        <v>0.90732987067595661</v>
      </c>
      <c r="N1216" s="25">
        <f t="shared" si="145"/>
        <v>0.90732987067595661</v>
      </c>
      <c r="O1216" s="25">
        <f t="shared" si="146"/>
        <v>-9.724920074741436E-2</v>
      </c>
      <c r="P1216" s="25">
        <f t="shared" si="147"/>
        <v>1</v>
      </c>
      <c r="Q1216" s="25">
        <f t="shared" si="151"/>
        <v>421.29398456348719</v>
      </c>
      <c r="R1216" s="25">
        <f t="shared" si="148"/>
        <v>8</v>
      </c>
      <c r="S1216" s="26">
        <f t="shared" si="149"/>
        <v>16</v>
      </c>
    </row>
    <row r="1217" spans="2:19" x14ac:dyDescent="0.3">
      <c r="B1217" s="24">
        <v>375460</v>
      </c>
      <c r="C1217" s="25">
        <v>19</v>
      </c>
      <c r="D1217" s="25">
        <v>2</v>
      </c>
      <c r="E1217" s="25">
        <v>0</v>
      </c>
      <c r="F1217" s="25">
        <v>0</v>
      </c>
      <c r="G1217" s="25">
        <v>28</v>
      </c>
      <c r="H1217" s="25">
        <v>2.8</v>
      </c>
      <c r="I1217" s="25">
        <v>0.24</v>
      </c>
      <c r="J1217" s="25">
        <v>0.54</v>
      </c>
      <c r="K1217" s="26">
        <v>1</v>
      </c>
      <c r="L1217" s="25">
        <f t="shared" si="144"/>
        <v>-0.50624667711626481</v>
      </c>
      <c r="M1217" s="25">
        <f t="shared" si="150"/>
        <v>0.37607380335588425</v>
      </c>
      <c r="N1217" s="25">
        <f t="shared" si="145"/>
        <v>0.37607380335588425</v>
      </c>
      <c r="O1217" s="25">
        <f t="shared" si="146"/>
        <v>-0.9779698693327562</v>
      </c>
      <c r="P1217" s="25">
        <f t="shared" si="147"/>
        <v>0</v>
      </c>
      <c r="Q1217" s="25">
        <f t="shared" si="151"/>
        <v>501.73019099684501</v>
      </c>
      <c r="R1217" s="25">
        <f t="shared" si="148"/>
        <v>7</v>
      </c>
      <c r="S1217" s="26">
        <f t="shared" si="149"/>
        <v>14</v>
      </c>
    </row>
    <row r="1218" spans="2:19" x14ac:dyDescent="0.3">
      <c r="B1218" s="24">
        <v>375511</v>
      </c>
      <c r="C1218" s="25">
        <v>59</v>
      </c>
      <c r="D1218" s="25">
        <v>3</v>
      </c>
      <c r="E1218" s="25">
        <v>11</v>
      </c>
      <c r="F1218" s="25">
        <v>21</v>
      </c>
      <c r="G1218" s="25">
        <v>55</v>
      </c>
      <c r="H1218" s="25">
        <v>10</v>
      </c>
      <c r="I1218" s="25">
        <v>1.4</v>
      </c>
      <c r="J1218" s="25">
        <v>4.0999999999999996</v>
      </c>
      <c r="K1218" s="26">
        <v>0</v>
      </c>
      <c r="L1218" s="25">
        <f t="shared" si="144"/>
        <v>-3.2341560328636079</v>
      </c>
      <c r="M1218" s="25">
        <f t="shared" si="150"/>
        <v>3.7900410232661011E-2</v>
      </c>
      <c r="N1218" s="25">
        <f t="shared" si="145"/>
        <v>0.962099589767339</v>
      </c>
      <c r="O1218" s="25">
        <f t="shared" si="146"/>
        <v>-3.8637310007962986E-2</v>
      </c>
      <c r="P1218" s="25">
        <f t="shared" si="147"/>
        <v>0</v>
      </c>
      <c r="Q1218" s="25">
        <f t="shared" si="151"/>
        <v>580.4410147566432</v>
      </c>
      <c r="R1218" s="25">
        <f t="shared" si="148"/>
        <v>5</v>
      </c>
      <c r="S1218" s="26">
        <f t="shared" si="149"/>
        <v>8</v>
      </c>
    </row>
    <row r="1219" spans="2:19" x14ac:dyDescent="0.3">
      <c r="B1219" s="24">
        <v>375532</v>
      </c>
      <c r="C1219" s="25">
        <v>23</v>
      </c>
      <c r="D1219" s="25">
        <v>2</v>
      </c>
      <c r="E1219" s="25">
        <v>2</v>
      </c>
      <c r="F1219" s="25">
        <v>2</v>
      </c>
      <c r="G1219" s="25">
        <v>25</v>
      </c>
      <c r="H1219" s="25">
        <v>10.6</v>
      </c>
      <c r="I1219" s="25">
        <v>0.5</v>
      </c>
      <c r="J1219" s="25">
        <v>2.15</v>
      </c>
      <c r="K1219" s="26">
        <v>1</v>
      </c>
      <c r="L1219" s="25">
        <f t="shared" si="144"/>
        <v>-0.17023105618853732</v>
      </c>
      <c r="M1219" s="25">
        <f t="shared" si="150"/>
        <v>0.45754471108379668</v>
      </c>
      <c r="N1219" s="25">
        <f t="shared" si="145"/>
        <v>0.45754471108379668</v>
      </c>
      <c r="O1219" s="25">
        <f t="shared" si="146"/>
        <v>-0.78188066989683203</v>
      </c>
      <c r="P1219" s="25">
        <f t="shared" si="147"/>
        <v>1</v>
      </c>
      <c r="Q1219" s="25">
        <f t="shared" si="151"/>
        <v>492.03482987215841</v>
      </c>
      <c r="R1219" s="25">
        <f t="shared" si="148"/>
        <v>7</v>
      </c>
      <c r="S1219" s="26">
        <f t="shared" si="149"/>
        <v>14</v>
      </c>
    </row>
    <row r="1220" spans="2:19" x14ac:dyDescent="0.3">
      <c r="B1220" s="24">
        <v>375716</v>
      </c>
      <c r="C1220" s="25">
        <v>64</v>
      </c>
      <c r="D1220" s="25">
        <v>2</v>
      </c>
      <c r="E1220" s="25">
        <v>24</v>
      </c>
      <c r="F1220" s="25">
        <v>18</v>
      </c>
      <c r="G1220" s="25">
        <v>83</v>
      </c>
      <c r="H1220" s="25">
        <v>8.4</v>
      </c>
      <c r="I1220" s="25">
        <v>0.17</v>
      </c>
      <c r="J1220" s="25">
        <v>6.8</v>
      </c>
      <c r="K1220" s="26">
        <v>0</v>
      </c>
      <c r="L1220" s="25">
        <f t="shared" si="144"/>
        <v>-6.8001693549097171</v>
      </c>
      <c r="M1220" s="25">
        <f t="shared" si="150"/>
        <v>1.1123478449379268E-3</v>
      </c>
      <c r="N1220" s="25">
        <f t="shared" si="145"/>
        <v>0.99888765215506203</v>
      </c>
      <c r="O1220" s="25">
        <f t="shared" si="146"/>
        <v>-1.112966962961018E-3</v>
      </c>
      <c r="P1220" s="25">
        <f t="shared" si="147"/>
        <v>0</v>
      </c>
      <c r="Q1220" s="25">
        <f t="shared" si="151"/>
        <v>683.33440654962942</v>
      </c>
      <c r="R1220" s="25">
        <f t="shared" si="148"/>
        <v>1</v>
      </c>
      <c r="S1220" s="26">
        <f t="shared" si="149"/>
        <v>1</v>
      </c>
    </row>
    <row r="1221" spans="2:19" x14ac:dyDescent="0.3">
      <c r="B1221" s="24">
        <v>375727</v>
      </c>
      <c r="C1221" s="25">
        <v>25</v>
      </c>
      <c r="D1221" s="25">
        <v>4</v>
      </c>
      <c r="E1221" s="25">
        <v>0</v>
      </c>
      <c r="F1221" s="25">
        <v>3</v>
      </c>
      <c r="G1221" s="25">
        <v>42</v>
      </c>
      <c r="H1221" s="25">
        <v>14.3</v>
      </c>
      <c r="I1221" s="25">
        <v>0.76</v>
      </c>
      <c r="J1221" s="25">
        <v>5.24</v>
      </c>
      <c r="K1221" s="26">
        <v>1</v>
      </c>
      <c r="L1221" s="25">
        <f t="shared" ref="L1221:L1284" si="152">$Y$4+SUMPRODUCT($Z$4:$AG$4,C1221:J1221)</f>
        <v>0.67286472706841516</v>
      </c>
      <c r="M1221" s="25">
        <f t="shared" si="150"/>
        <v>0.66214432243856391</v>
      </c>
      <c r="N1221" s="25">
        <f t="shared" ref="N1221:N1284" si="153">IF(K1221=1,M1221,(1-M1221))</f>
        <v>0.66214432243856391</v>
      </c>
      <c r="O1221" s="25">
        <f t="shared" ref="O1221:O1284" si="154">LN(N1221)</f>
        <v>-0.41227173707986847</v>
      </c>
      <c r="P1221" s="25">
        <f t="shared" ref="P1221:P1284" si="155">IF(M1221&gt;0.4,1,0)</f>
        <v>1</v>
      </c>
      <c r="Q1221" s="25">
        <f t="shared" si="151"/>
        <v>467.70822845164065</v>
      </c>
      <c r="R1221" s="25">
        <f t="shared" ref="R1221:R1284" si="156">VLOOKUP(M1221,$U$9:$W$16,3,TRUE)</f>
        <v>7</v>
      </c>
      <c r="S1221" s="26">
        <f t="shared" ref="S1221:S1284" si="157">VLOOKUP(M1221,$U$21:$W$37,3,TRUE)</f>
        <v>15</v>
      </c>
    </row>
    <row r="1222" spans="2:19" x14ac:dyDescent="0.3">
      <c r="B1222" s="24">
        <v>375732</v>
      </c>
      <c r="C1222" s="25">
        <v>31</v>
      </c>
      <c r="D1222" s="25">
        <v>2</v>
      </c>
      <c r="E1222" s="25">
        <v>10</v>
      </c>
      <c r="F1222" s="25">
        <v>5</v>
      </c>
      <c r="G1222" s="25">
        <v>41</v>
      </c>
      <c r="H1222" s="25">
        <v>17.899999999999999</v>
      </c>
      <c r="I1222" s="25">
        <v>0.36</v>
      </c>
      <c r="J1222" s="25">
        <v>6.98</v>
      </c>
      <c r="K1222" s="26">
        <v>0</v>
      </c>
      <c r="L1222" s="25">
        <f t="shared" si="152"/>
        <v>-1.4647922782993232</v>
      </c>
      <c r="M1222" s="25">
        <f t="shared" ref="M1222:M1285" si="158">EXP(L1222)/(1+EXP(L1222))</f>
        <v>0.18773545279414977</v>
      </c>
      <c r="N1222" s="25">
        <f t="shared" si="153"/>
        <v>0.81226454720585028</v>
      </c>
      <c r="O1222" s="25">
        <f t="shared" si="154"/>
        <v>-0.20792919482925445</v>
      </c>
      <c r="P1222" s="25">
        <f t="shared" si="155"/>
        <v>0</v>
      </c>
      <c r="Q1222" s="25">
        <f t="shared" si="151"/>
        <v>529.38796991882089</v>
      </c>
      <c r="R1222" s="25">
        <f t="shared" si="156"/>
        <v>6</v>
      </c>
      <c r="S1222" s="26">
        <f t="shared" si="157"/>
        <v>12</v>
      </c>
    </row>
    <row r="1223" spans="2:19" x14ac:dyDescent="0.3">
      <c r="B1223" s="24">
        <v>375758</v>
      </c>
      <c r="C1223" s="25">
        <v>32</v>
      </c>
      <c r="D1223" s="25">
        <v>2</v>
      </c>
      <c r="E1223" s="25">
        <v>1</v>
      </c>
      <c r="F1223" s="25">
        <v>6</v>
      </c>
      <c r="G1223" s="25">
        <v>129</v>
      </c>
      <c r="H1223" s="25">
        <v>19.899999999999999</v>
      </c>
      <c r="I1223" s="25">
        <v>11.91</v>
      </c>
      <c r="J1223" s="25">
        <v>13.76</v>
      </c>
      <c r="K1223" s="26">
        <v>1</v>
      </c>
      <c r="L1223" s="25">
        <f t="shared" si="152"/>
        <v>6.377959051287883</v>
      </c>
      <c r="M1223" s="25">
        <f t="shared" si="158"/>
        <v>0.9983042941539273</v>
      </c>
      <c r="N1223" s="25">
        <f t="shared" si="153"/>
        <v>0.9983042941539273</v>
      </c>
      <c r="O1223" s="25">
        <f t="shared" si="154"/>
        <v>-1.697145182588605E-3</v>
      </c>
      <c r="P1223" s="25">
        <f t="shared" si="155"/>
        <v>1</v>
      </c>
      <c r="Q1223" s="25">
        <f t="shared" si="151"/>
        <v>303.09400733004452</v>
      </c>
      <c r="R1223" s="25">
        <f t="shared" si="156"/>
        <v>8</v>
      </c>
      <c r="S1223" s="26">
        <f t="shared" si="157"/>
        <v>17</v>
      </c>
    </row>
    <row r="1224" spans="2:19" x14ac:dyDescent="0.3">
      <c r="B1224" s="24">
        <v>375861</v>
      </c>
      <c r="C1224" s="25">
        <v>19</v>
      </c>
      <c r="D1224" s="25">
        <v>2</v>
      </c>
      <c r="E1224" s="25">
        <v>0</v>
      </c>
      <c r="F1224" s="25">
        <v>0</v>
      </c>
      <c r="G1224" s="25">
        <v>35</v>
      </c>
      <c r="H1224" s="25">
        <v>9.3000000000000007</v>
      </c>
      <c r="I1224" s="25">
        <v>0.94</v>
      </c>
      <c r="J1224" s="25">
        <v>2.3199999999999998</v>
      </c>
      <c r="K1224" s="26">
        <v>0</v>
      </c>
      <c r="L1224" s="25">
        <f t="shared" si="152"/>
        <v>0.51922143224375739</v>
      </c>
      <c r="M1224" s="25">
        <f t="shared" si="158"/>
        <v>0.62696569311737926</v>
      </c>
      <c r="N1224" s="25">
        <f t="shared" si="153"/>
        <v>0.37303430688262074</v>
      </c>
      <c r="O1224" s="25">
        <f t="shared" si="154"/>
        <v>-0.98608488801118976</v>
      </c>
      <c r="P1224" s="25">
        <f t="shared" si="155"/>
        <v>1</v>
      </c>
      <c r="Q1224" s="25">
        <f t="shared" si="151"/>
        <v>472.14143671618183</v>
      </c>
      <c r="R1224" s="25">
        <f t="shared" si="156"/>
        <v>7</v>
      </c>
      <c r="S1224" s="26">
        <f t="shared" si="157"/>
        <v>15</v>
      </c>
    </row>
    <row r="1225" spans="2:19" x14ac:dyDescent="0.3">
      <c r="B1225" s="24">
        <v>375890</v>
      </c>
      <c r="C1225" s="25">
        <v>42</v>
      </c>
      <c r="D1225" s="25">
        <v>4</v>
      </c>
      <c r="E1225" s="25">
        <v>12</v>
      </c>
      <c r="F1225" s="25">
        <v>5</v>
      </c>
      <c r="G1225" s="25">
        <v>15</v>
      </c>
      <c r="H1225" s="25">
        <v>14.4</v>
      </c>
      <c r="I1225" s="25">
        <v>0.66</v>
      </c>
      <c r="J1225" s="25">
        <v>1.5</v>
      </c>
      <c r="K1225" s="26">
        <v>0</v>
      </c>
      <c r="L1225" s="25">
        <f t="shared" si="152"/>
        <v>-2.6118066782507703</v>
      </c>
      <c r="M1225" s="25">
        <f t="shared" si="158"/>
        <v>6.8382417215486643E-2</v>
      </c>
      <c r="N1225" s="25">
        <f t="shared" si="153"/>
        <v>0.93161758278451334</v>
      </c>
      <c r="O1225" s="25">
        <f t="shared" si="154"/>
        <v>-7.0832867401117175E-2</v>
      </c>
      <c r="P1225" s="25">
        <f t="shared" si="155"/>
        <v>0</v>
      </c>
      <c r="Q1225" s="25">
        <f t="shared" ref="Q1225:Q1288" si="159">28.8539*LN((1-M1225)/(M1225))+487.123</f>
        <v>562.48380871357995</v>
      </c>
      <c r="R1225" s="25">
        <f t="shared" si="156"/>
        <v>5</v>
      </c>
      <c r="S1225" s="26">
        <f t="shared" si="157"/>
        <v>10</v>
      </c>
    </row>
    <row r="1226" spans="2:19" x14ac:dyDescent="0.3">
      <c r="B1226" s="24">
        <v>375893</v>
      </c>
      <c r="C1226" s="25">
        <v>19</v>
      </c>
      <c r="D1226" s="25">
        <v>1</v>
      </c>
      <c r="E1226" s="25">
        <v>0</v>
      </c>
      <c r="F1226" s="25">
        <v>0</v>
      </c>
      <c r="G1226" s="25">
        <v>20</v>
      </c>
      <c r="H1226" s="25">
        <v>11.7</v>
      </c>
      <c r="I1226" s="25">
        <v>1.17</v>
      </c>
      <c r="J1226" s="25">
        <v>1.17</v>
      </c>
      <c r="K1226" s="26">
        <v>1</v>
      </c>
      <c r="L1226" s="25">
        <f t="shared" si="152"/>
        <v>0.88846848960225078</v>
      </c>
      <c r="M1226" s="25">
        <f t="shared" si="158"/>
        <v>0.70857402150200977</v>
      </c>
      <c r="N1226" s="25">
        <f t="shared" si="153"/>
        <v>0.70857402150200977</v>
      </c>
      <c r="O1226" s="25">
        <f t="shared" si="154"/>
        <v>-0.34450074894733634</v>
      </c>
      <c r="P1226" s="25">
        <f t="shared" si="155"/>
        <v>1</v>
      </c>
      <c r="Q1226" s="25">
        <f t="shared" si="159"/>
        <v>461.48721904786561</v>
      </c>
      <c r="R1226" s="25">
        <f t="shared" si="156"/>
        <v>8</v>
      </c>
      <c r="S1226" s="26">
        <f t="shared" si="157"/>
        <v>16</v>
      </c>
    </row>
    <row r="1227" spans="2:19" x14ac:dyDescent="0.3">
      <c r="B1227" s="24">
        <v>375902</v>
      </c>
      <c r="C1227" s="25">
        <v>38</v>
      </c>
      <c r="D1227" s="25">
        <v>2</v>
      </c>
      <c r="E1227" s="25">
        <v>18</v>
      </c>
      <c r="F1227" s="25">
        <v>5</v>
      </c>
      <c r="G1227" s="25">
        <v>55</v>
      </c>
      <c r="H1227" s="25">
        <v>16.100000000000001</v>
      </c>
      <c r="I1227" s="25">
        <v>2.34</v>
      </c>
      <c r="J1227" s="25">
        <v>6.52</v>
      </c>
      <c r="K1227" s="26">
        <v>0</v>
      </c>
      <c r="L1227" s="25">
        <f t="shared" si="152"/>
        <v>-2.6757421729736155</v>
      </c>
      <c r="M1227" s="25">
        <f t="shared" si="158"/>
        <v>6.4420020548971599E-2</v>
      </c>
      <c r="N1227" s="25">
        <f t="shared" si="153"/>
        <v>0.93557997945102844</v>
      </c>
      <c r="O1227" s="25">
        <f t="shared" si="154"/>
        <v>-6.6588643121173241E-2</v>
      </c>
      <c r="P1227" s="25">
        <f t="shared" si="155"/>
        <v>0</v>
      </c>
      <c r="Q1227" s="25">
        <f t="shared" si="159"/>
        <v>564.32859708476337</v>
      </c>
      <c r="R1227" s="25">
        <f t="shared" si="156"/>
        <v>5</v>
      </c>
      <c r="S1227" s="26">
        <f t="shared" si="157"/>
        <v>10</v>
      </c>
    </row>
    <row r="1228" spans="2:19" x14ac:dyDescent="0.3">
      <c r="B1228" s="24">
        <v>376001</v>
      </c>
      <c r="C1228" s="25">
        <v>28</v>
      </c>
      <c r="D1228" s="25">
        <v>1</v>
      </c>
      <c r="E1228" s="25">
        <v>7</v>
      </c>
      <c r="F1228" s="25">
        <v>5</v>
      </c>
      <c r="G1228" s="25">
        <v>32</v>
      </c>
      <c r="H1228" s="25">
        <v>9.1999999999999993</v>
      </c>
      <c r="I1228" s="25">
        <v>0.95</v>
      </c>
      <c r="J1228" s="25">
        <v>2</v>
      </c>
      <c r="K1228" s="26">
        <v>0</v>
      </c>
      <c r="L1228" s="25">
        <f t="shared" si="152"/>
        <v>-1.3822763066443122</v>
      </c>
      <c r="M1228" s="25">
        <f t="shared" si="158"/>
        <v>0.20064366373289244</v>
      </c>
      <c r="N1228" s="25">
        <f t="shared" si="153"/>
        <v>0.79935633626710756</v>
      </c>
      <c r="O1228" s="25">
        <f t="shared" si="154"/>
        <v>-0.22394845482826417</v>
      </c>
      <c r="P1228" s="25">
        <f t="shared" si="155"/>
        <v>0</v>
      </c>
      <c r="Q1228" s="25">
        <f t="shared" si="159"/>
        <v>527.00706232428433</v>
      </c>
      <c r="R1228" s="25">
        <f t="shared" si="156"/>
        <v>6</v>
      </c>
      <c r="S1228" s="26">
        <f t="shared" si="157"/>
        <v>12</v>
      </c>
    </row>
    <row r="1229" spans="2:19" x14ac:dyDescent="0.3">
      <c r="B1229" s="24">
        <v>376006</v>
      </c>
      <c r="C1229" s="25">
        <v>24</v>
      </c>
      <c r="D1229" s="25">
        <v>2</v>
      </c>
      <c r="E1229" s="25">
        <v>1</v>
      </c>
      <c r="F1229" s="25">
        <v>2</v>
      </c>
      <c r="G1229" s="25">
        <v>19</v>
      </c>
      <c r="H1229" s="25">
        <v>16.3</v>
      </c>
      <c r="I1229" s="25">
        <v>0.19</v>
      </c>
      <c r="J1229" s="25">
        <v>2.91</v>
      </c>
      <c r="K1229" s="26">
        <v>1</v>
      </c>
      <c r="L1229" s="25">
        <f t="shared" si="152"/>
        <v>0.47319624461430282</v>
      </c>
      <c r="M1229" s="25">
        <f t="shared" si="158"/>
        <v>0.61613998508884293</v>
      </c>
      <c r="N1229" s="25">
        <f t="shared" si="153"/>
        <v>0.61613998508884293</v>
      </c>
      <c r="O1229" s="25">
        <f t="shared" si="154"/>
        <v>-0.4842810927448023</v>
      </c>
      <c r="P1229" s="25">
        <f t="shared" si="155"/>
        <v>1</v>
      </c>
      <c r="Q1229" s="25">
        <f t="shared" si="159"/>
        <v>473.46944287752336</v>
      </c>
      <c r="R1229" s="25">
        <f t="shared" si="156"/>
        <v>7</v>
      </c>
      <c r="S1229" s="26">
        <f t="shared" si="157"/>
        <v>15</v>
      </c>
    </row>
    <row r="1230" spans="2:19" x14ac:dyDescent="0.3">
      <c r="B1230" s="24">
        <v>376023</v>
      </c>
      <c r="C1230" s="25">
        <v>38</v>
      </c>
      <c r="D1230" s="25">
        <v>3</v>
      </c>
      <c r="E1230" s="25">
        <v>9</v>
      </c>
      <c r="F1230" s="25">
        <v>9</v>
      </c>
      <c r="G1230" s="25">
        <v>66</v>
      </c>
      <c r="H1230" s="25">
        <v>5.5</v>
      </c>
      <c r="I1230" s="25">
        <v>0.56999999999999995</v>
      </c>
      <c r="J1230" s="25">
        <v>3.06</v>
      </c>
      <c r="K1230" s="26">
        <v>1</v>
      </c>
      <c r="L1230" s="25">
        <f t="shared" si="152"/>
        <v>-2.8023719054366261</v>
      </c>
      <c r="M1230" s="25">
        <f t="shared" si="158"/>
        <v>5.7196137099564726E-2</v>
      </c>
      <c r="N1230" s="25">
        <f t="shared" si="153"/>
        <v>5.7196137099564726E-2</v>
      </c>
      <c r="O1230" s="25">
        <f t="shared" si="154"/>
        <v>-2.8612689161012486</v>
      </c>
      <c r="P1230" s="25">
        <f t="shared" si="155"/>
        <v>0</v>
      </c>
      <c r="Q1230" s="25">
        <f t="shared" si="159"/>
        <v>567.98235872227781</v>
      </c>
      <c r="R1230" s="25">
        <f t="shared" si="156"/>
        <v>5</v>
      </c>
      <c r="S1230" s="26">
        <f t="shared" si="157"/>
        <v>9</v>
      </c>
    </row>
    <row r="1231" spans="2:19" x14ac:dyDescent="0.3">
      <c r="B1231" s="24">
        <v>376027</v>
      </c>
      <c r="C1231" s="25">
        <v>54</v>
      </c>
      <c r="D1231" s="25">
        <v>1</v>
      </c>
      <c r="E1231" s="25">
        <v>22</v>
      </c>
      <c r="F1231" s="25">
        <v>16</v>
      </c>
      <c r="G1231" s="25">
        <v>49</v>
      </c>
      <c r="H1231" s="25">
        <v>5.2</v>
      </c>
      <c r="I1231" s="25">
        <v>0.76</v>
      </c>
      <c r="J1231" s="25">
        <v>1.79</v>
      </c>
      <c r="K1231" s="26">
        <v>0</v>
      </c>
      <c r="L1231" s="25">
        <f t="shared" si="152"/>
        <v>-6.185890047263551</v>
      </c>
      <c r="M1231" s="25">
        <f t="shared" si="158"/>
        <v>2.0540410121440379E-3</v>
      </c>
      <c r="N1231" s="25">
        <f t="shared" si="153"/>
        <v>0.99794595898785599</v>
      </c>
      <c r="O1231" s="25">
        <f t="shared" si="154"/>
        <v>-2.056153447565478E-3</v>
      </c>
      <c r="P1231" s="25">
        <f t="shared" si="155"/>
        <v>0</v>
      </c>
      <c r="Q1231" s="25">
        <f t="shared" si="159"/>
        <v>665.61005283473776</v>
      </c>
      <c r="R1231" s="25">
        <f t="shared" si="156"/>
        <v>2</v>
      </c>
      <c r="S1231" s="26">
        <f t="shared" si="157"/>
        <v>1</v>
      </c>
    </row>
    <row r="1232" spans="2:19" x14ac:dyDescent="0.3">
      <c r="B1232" s="24">
        <v>376070</v>
      </c>
      <c r="C1232" s="25">
        <v>20</v>
      </c>
      <c r="D1232" s="25">
        <v>3</v>
      </c>
      <c r="E1232" s="25">
        <v>0</v>
      </c>
      <c r="F1232" s="25">
        <v>0</v>
      </c>
      <c r="G1232" s="25">
        <v>29</v>
      </c>
      <c r="H1232" s="25">
        <v>11.7</v>
      </c>
      <c r="I1232" s="25">
        <v>1.25</v>
      </c>
      <c r="J1232" s="25">
        <v>2.14</v>
      </c>
      <c r="K1232" s="26">
        <v>1</v>
      </c>
      <c r="L1232" s="25">
        <f t="shared" si="152"/>
        <v>0.82430413230094168</v>
      </c>
      <c r="M1232" s="25">
        <f t="shared" si="158"/>
        <v>0.69514922333386464</v>
      </c>
      <c r="N1232" s="25">
        <f t="shared" si="153"/>
        <v>0.69514922333386464</v>
      </c>
      <c r="O1232" s="25">
        <f t="shared" si="154"/>
        <v>-0.36362874663130346</v>
      </c>
      <c r="P1232" s="25">
        <f t="shared" si="155"/>
        <v>1</v>
      </c>
      <c r="Q1232" s="25">
        <f t="shared" si="159"/>
        <v>463.33861099700187</v>
      </c>
      <c r="R1232" s="25">
        <f t="shared" si="156"/>
        <v>8</v>
      </c>
      <c r="S1232" s="26">
        <f t="shared" si="157"/>
        <v>15</v>
      </c>
    </row>
    <row r="1233" spans="2:19" x14ac:dyDescent="0.3">
      <c r="B1233" s="24">
        <v>376129</v>
      </c>
      <c r="C1233" s="25">
        <v>51</v>
      </c>
      <c r="D1233" s="25">
        <v>3</v>
      </c>
      <c r="E1233" s="25">
        <v>10</v>
      </c>
      <c r="F1233" s="25">
        <v>18</v>
      </c>
      <c r="G1233" s="25">
        <v>57</v>
      </c>
      <c r="H1233" s="25">
        <v>19.5</v>
      </c>
      <c r="I1233" s="25">
        <v>3.58</v>
      </c>
      <c r="J1233" s="25">
        <v>7.54</v>
      </c>
      <c r="K1233" s="26">
        <v>0</v>
      </c>
      <c r="L1233" s="25">
        <f t="shared" si="152"/>
        <v>-0.67128979398792055</v>
      </c>
      <c r="M1233" s="25">
        <f t="shared" si="158"/>
        <v>0.33820809453300832</v>
      </c>
      <c r="N1233" s="25">
        <f t="shared" si="153"/>
        <v>0.66179190546699163</v>
      </c>
      <c r="O1233" s="25">
        <f t="shared" si="154"/>
        <v>-0.41280411465586919</v>
      </c>
      <c r="P1233" s="25">
        <f t="shared" si="155"/>
        <v>0</v>
      </c>
      <c r="Q1233" s="25">
        <f t="shared" si="159"/>
        <v>506.49232858674804</v>
      </c>
      <c r="R1233" s="25">
        <f t="shared" si="156"/>
        <v>7</v>
      </c>
      <c r="S1233" s="26">
        <f t="shared" si="157"/>
        <v>14</v>
      </c>
    </row>
    <row r="1234" spans="2:19" x14ac:dyDescent="0.3">
      <c r="B1234" s="24">
        <v>376169</v>
      </c>
      <c r="C1234" s="25">
        <v>30</v>
      </c>
      <c r="D1234" s="25">
        <v>2</v>
      </c>
      <c r="E1234" s="25">
        <v>0</v>
      </c>
      <c r="F1234" s="25">
        <v>5</v>
      </c>
      <c r="G1234" s="25">
        <v>26</v>
      </c>
      <c r="H1234" s="25">
        <v>3.6</v>
      </c>
      <c r="I1234" s="25">
        <v>0.48</v>
      </c>
      <c r="J1234" s="25">
        <v>0.46</v>
      </c>
      <c r="K1234" s="26">
        <v>1</v>
      </c>
      <c r="L1234" s="25">
        <f t="shared" si="152"/>
        <v>-0.7157880482204797</v>
      </c>
      <c r="M1234" s="25">
        <f t="shared" si="158"/>
        <v>0.32832115685152813</v>
      </c>
      <c r="N1234" s="25">
        <f t="shared" si="153"/>
        <v>0.32832115685152813</v>
      </c>
      <c r="O1234" s="25">
        <f t="shared" si="154"/>
        <v>-1.1137630128972371</v>
      </c>
      <c r="P1234" s="25">
        <f t="shared" si="155"/>
        <v>0</v>
      </c>
      <c r="Q1234" s="25">
        <f t="shared" si="159"/>
        <v>507.77627676454892</v>
      </c>
      <c r="R1234" s="25">
        <f t="shared" si="156"/>
        <v>7</v>
      </c>
      <c r="S1234" s="26">
        <f t="shared" si="157"/>
        <v>14</v>
      </c>
    </row>
    <row r="1235" spans="2:19" x14ac:dyDescent="0.3">
      <c r="B1235" s="24">
        <v>376185</v>
      </c>
      <c r="C1235" s="25">
        <v>26</v>
      </c>
      <c r="D1235" s="25">
        <v>2</v>
      </c>
      <c r="E1235" s="25">
        <v>2</v>
      </c>
      <c r="F1235" s="25">
        <v>2</v>
      </c>
      <c r="G1235" s="25">
        <v>36</v>
      </c>
      <c r="H1235" s="25">
        <v>9.4</v>
      </c>
      <c r="I1235" s="25">
        <v>0.77</v>
      </c>
      <c r="J1235" s="25">
        <v>2.61</v>
      </c>
      <c r="K1235" s="26">
        <v>0</v>
      </c>
      <c r="L1235" s="25">
        <f t="shared" si="152"/>
        <v>-0.21267465531544777</v>
      </c>
      <c r="M1235" s="25">
        <f t="shared" si="158"/>
        <v>0.44703083767495749</v>
      </c>
      <c r="N1235" s="25">
        <f t="shared" si="153"/>
        <v>0.55296916232504256</v>
      </c>
      <c r="O1235" s="25">
        <f t="shared" si="154"/>
        <v>-0.59245304334553561</v>
      </c>
      <c r="P1235" s="25">
        <f t="shared" si="155"/>
        <v>1</v>
      </c>
      <c r="Q1235" s="25">
        <f t="shared" si="159"/>
        <v>493.25949323700638</v>
      </c>
      <c r="R1235" s="25">
        <f t="shared" si="156"/>
        <v>7</v>
      </c>
      <c r="S1235" s="26">
        <f t="shared" si="157"/>
        <v>14</v>
      </c>
    </row>
    <row r="1236" spans="2:19" x14ac:dyDescent="0.3">
      <c r="B1236" s="24">
        <v>376190</v>
      </c>
      <c r="C1236" s="25">
        <v>25</v>
      </c>
      <c r="D1236" s="25">
        <v>1</v>
      </c>
      <c r="E1236" s="25">
        <v>0</v>
      </c>
      <c r="F1236" s="25">
        <v>1</v>
      </c>
      <c r="G1236" s="25">
        <v>19</v>
      </c>
      <c r="H1236" s="25">
        <v>8</v>
      </c>
      <c r="I1236" s="25">
        <v>0.85</v>
      </c>
      <c r="J1236" s="25">
        <v>0.67</v>
      </c>
      <c r="K1236" s="26">
        <v>0</v>
      </c>
      <c r="L1236" s="25">
        <f t="shared" si="152"/>
        <v>0.1933002005829994</v>
      </c>
      <c r="M1236" s="25">
        <f t="shared" si="158"/>
        <v>0.54817513827187991</v>
      </c>
      <c r="N1236" s="25">
        <f t="shared" si="153"/>
        <v>0.45182486172812009</v>
      </c>
      <c r="O1236" s="25">
        <f t="shared" si="154"/>
        <v>-0.79446064829020524</v>
      </c>
      <c r="P1236" s="25">
        <f t="shared" si="155"/>
        <v>1</v>
      </c>
      <c r="Q1236" s="25">
        <f t="shared" si="159"/>
        <v>481.54553534239818</v>
      </c>
      <c r="R1236" s="25">
        <f t="shared" si="156"/>
        <v>7</v>
      </c>
      <c r="S1236" s="26">
        <f t="shared" si="157"/>
        <v>15</v>
      </c>
    </row>
    <row r="1237" spans="2:19" x14ac:dyDescent="0.3">
      <c r="B1237" s="24">
        <v>376202</v>
      </c>
      <c r="C1237" s="25">
        <v>29</v>
      </c>
      <c r="D1237" s="25">
        <v>2</v>
      </c>
      <c r="E1237" s="25">
        <v>5</v>
      </c>
      <c r="F1237" s="25">
        <v>4</v>
      </c>
      <c r="G1237" s="25">
        <v>26</v>
      </c>
      <c r="H1237" s="25">
        <v>5.3</v>
      </c>
      <c r="I1237" s="25">
        <v>0.63</v>
      </c>
      <c r="J1237" s="25">
        <v>0.75</v>
      </c>
      <c r="K1237" s="26">
        <v>1</v>
      </c>
      <c r="L1237" s="25">
        <f t="shared" si="152"/>
        <v>-1.5451136577336873</v>
      </c>
      <c r="M1237" s="25">
        <f t="shared" si="158"/>
        <v>0.17579312862392091</v>
      </c>
      <c r="N1237" s="25">
        <f t="shared" si="153"/>
        <v>0.17579312862392091</v>
      </c>
      <c r="O1237" s="25">
        <f t="shared" si="154"/>
        <v>-1.7384473808207703</v>
      </c>
      <c r="P1237" s="25">
        <f t="shared" si="155"/>
        <v>0</v>
      </c>
      <c r="Q1237" s="25">
        <f t="shared" si="159"/>
        <v>531.70555496888198</v>
      </c>
      <c r="R1237" s="25">
        <f t="shared" si="156"/>
        <v>6</v>
      </c>
      <c r="S1237" s="26">
        <f t="shared" si="157"/>
        <v>12</v>
      </c>
    </row>
    <row r="1238" spans="2:19" x14ac:dyDescent="0.3">
      <c r="B1238" s="24">
        <v>376210</v>
      </c>
      <c r="C1238" s="25">
        <v>50</v>
      </c>
      <c r="D1238" s="25">
        <v>1</v>
      </c>
      <c r="E1238" s="25">
        <v>27</v>
      </c>
      <c r="F1238" s="25">
        <v>12</v>
      </c>
      <c r="G1238" s="25">
        <v>85</v>
      </c>
      <c r="H1238" s="25">
        <v>11.8</v>
      </c>
      <c r="I1238" s="25">
        <v>3.44</v>
      </c>
      <c r="J1238" s="25">
        <v>6.59</v>
      </c>
      <c r="K1238" s="26">
        <v>0</v>
      </c>
      <c r="L1238" s="25">
        <f t="shared" si="152"/>
        <v>-5.044639503281787</v>
      </c>
      <c r="M1238" s="25">
        <f t="shared" si="158"/>
        <v>6.4025264174862257E-3</v>
      </c>
      <c r="N1238" s="25">
        <f t="shared" si="153"/>
        <v>0.99359747358251382</v>
      </c>
      <c r="O1238" s="25">
        <f t="shared" si="154"/>
        <v>-6.4231104968620759E-3</v>
      </c>
      <c r="P1238" s="25">
        <f t="shared" si="155"/>
        <v>0</v>
      </c>
      <c r="Q1238" s="25">
        <f t="shared" si="159"/>
        <v>632.68052376374237</v>
      </c>
      <c r="R1238" s="25">
        <f t="shared" si="156"/>
        <v>3</v>
      </c>
      <c r="S1238" s="26">
        <f t="shared" si="157"/>
        <v>4</v>
      </c>
    </row>
    <row r="1239" spans="2:19" x14ac:dyDescent="0.3">
      <c r="B1239" s="24">
        <v>376241</v>
      </c>
      <c r="C1239" s="25">
        <v>50</v>
      </c>
      <c r="D1239" s="25">
        <v>5</v>
      </c>
      <c r="E1239" s="25">
        <v>22</v>
      </c>
      <c r="F1239" s="25">
        <v>13</v>
      </c>
      <c r="G1239" s="25">
        <v>71</v>
      </c>
      <c r="H1239" s="25">
        <v>4.9000000000000004</v>
      </c>
      <c r="I1239" s="25">
        <v>1.31</v>
      </c>
      <c r="J1239" s="25">
        <v>2.17</v>
      </c>
      <c r="K1239" s="26">
        <v>0</v>
      </c>
      <c r="L1239" s="25">
        <f t="shared" si="152"/>
        <v>-5.9703624833806508</v>
      </c>
      <c r="M1239" s="25">
        <f t="shared" si="158"/>
        <v>2.5468128993110829E-3</v>
      </c>
      <c r="N1239" s="25">
        <f t="shared" si="153"/>
        <v>0.99745318710068887</v>
      </c>
      <c r="O1239" s="25">
        <f t="shared" si="154"/>
        <v>-2.5500615442493068E-3</v>
      </c>
      <c r="P1239" s="25">
        <f t="shared" si="155"/>
        <v>0</v>
      </c>
      <c r="Q1239" s="25">
        <f t="shared" si="159"/>
        <v>659.39124205921689</v>
      </c>
      <c r="R1239" s="25">
        <f t="shared" si="156"/>
        <v>2</v>
      </c>
      <c r="S1239" s="26">
        <f t="shared" si="157"/>
        <v>2</v>
      </c>
    </row>
    <row r="1240" spans="2:19" x14ac:dyDescent="0.3">
      <c r="B1240" s="24">
        <v>376263</v>
      </c>
      <c r="C1240" s="25">
        <v>39</v>
      </c>
      <c r="D1240" s="25">
        <v>3</v>
      </c>
      <c r="E1240" s="25">
        <v>7</v>
      </c>
      <c r="F1240" s="25">
        <v>5</v>
      </c>
      <c r="G1240" s="25">
        <v>39</v>
      </c>
      <c r="H1240" s="25">
        <v>12.2</v>
      </c>
      <c r="I1240" s="25">
        <v>0.71</v>
      </c>
      <c r="J1240" s="25">
        <v>4.04</v>
      </c>
      <c r="K1240" s="26">
        <v>0</v>
      </c>
      <c r="L1240" s="25">
        <f t="shared" si="152"/>
        <v>-1.4886932793212244</v>
      </c>
      <c r="M1240" s="25">
        <f t="shared" si="158"/>
        <v>0.1841179400528824</v>
      </c>
      <c r="N1240" s="25">
        <f t="shared" si="153"/>
        <v>0.8158820599471176</v>
      </c>
      <c r="O1240" s="25">
        <f t="shared" si="154"/>
        <v>-0.20348546884266225</v>
      </c>
      <c r="P1240" s="25">
        <f t="shared" si="155"/>
        <v>0</v>
      </c>
      <c r="Q1240" s="25">
        <f t="shared" si="159"/>
        <v>530.07760701220673</v>
      </c>
      <c r="R1240" s="25">
        <f t="shared" si="156"/>
        <v>6</v>
      </c>
      <c r="S1240" s="26">
        <f t="shared" si="157"/>
        <v>12</v>
      </c>
    </row>
    <row r="1241" spans="2:19" x14ac:dyDescent="0.3">
      <c r="B1241" s="24">
        <v>376363</v>
      </c>
      <c r="C1241" s="25">
        <v>29</v>
      </c>
      <c r="D1241" s="25">
        <v>3</v>
      </c>
      <c r="E1241" s="25">
        <v>3</v>
      </c>
      <c r="F1241" s="25">
        <v>4</v>
      </c>
      <c r="G1241" s="25">
        <v>74</v>
      </c>
      <c r="H1241" s="25">
        <v>3.6</v>
      </c>
      <c r="I1241" s="25">
        <v>0.57999999999999996</v>
      </c>
      <c r="J1241" s="25">
        <v>2.08</v>
      </c>
      <c r="K1241" s="26">
        <v>0</v>
      </c>
      <c r="L1241" s="25">
        <f t="shared" si="152"/>
        <v>-1.2950525914931266</v>
      </c>
      <c r="M1241" s="25">
        <f t="shared" si="158"/>
        <v>0.21499883514451856</v>
      </c>
      <c r="N1241" s="25">
        <f t="shared" si="153"/>
        <v>0.78500116485548144</v>
      </c>
      <c r="O1241" s="25">
        <f t="shared" si="154"/>
        <v>-0.24207007730849656</v>
      </c>
      <c r="P1241" s="25">
        <f t="shared" si="155"/>
        <v>0</v>
      </c>
      <c r="Q1241" s="25">
        <f t="shared" si="159"/>
        <v>524.49031796968347</v>
      </c>
      <c r="R1241" s="25">
        <f t="shared" si="156"/>
        <v>6</v>
      </c>
      <c r="S1241" s="26">
        <f t="shared" si="157"/>
        <v>13</v>
      </c>
    </row>
    <row r="1242" spans="2:19" x14ac:dyDescent="0.3">
      <c r="B1242" s="24">
        <v>376395</v>
      </c>
      <c r="C1242" s="25">
        <v>32</v>
      </c>
      <c r="D1242" s="25">
        <v>5</v>
      </c>
      <c r="E1242" s="25">
        <v>0</v>
      </c>
      <c r="F1242" s="25">
        <v>5</v>
      </c>
      <c r="G1242" s="25">
        <v>22</v>
      </c>
      <c r="H1242" s="25">
        <v>14.8</v>
      </c>
      <c r="I1242" s="25">
        <v>0.21</v>
      </c>
      <c r="J1242" s="25">
        <v>3.05</v>
      </c>
      <c r="K1242" s="26">
        <v>0</v>
      </c>
      <c r="L1242" s="25">
        <f t="shared" si="152"/>
        <v>0.1328710715024039</v>
      </c>
      <c r="M1242" s="25">
        <f t="shared" si="158"/>
        <v>0.53316898313144745</v>
      </c>
      <c r="N1242" s="25">
        <f t="shared" si="153"/>
        <v>0.46683101686855255</v>
      </c>
      <c r="O1242" s="25">
        <f t="shared" si="154"/>
        <v>-0.76178793504332465</v>
      </c>
      <c r="P1242" s="25">
        <f t="shared" si="155"/>
        <v>1</v>
      </c>
      <c r="Q1242" s="25">
        <f t="shared" si="159"/>
        <v>483.28915138997678</v>
      </c>
      <c r="R1242" s="25">
        <f t="shared" si="156"/>
        <v>7</v>
      </c>
      <c r="S1242" s="26">
        <f t="shared" si="157"/>
        <v>15</v>
      </c>
    </row>
    <row r="1243" spans="2:19" x14ac:dyDescent="0.3">
      <c r="B1243" s="24">
        <v>376403</v>
      </c>
      <c r="C1243" s="25">
        <v>26</v>
      </c>
      <c r="D1243" s="25">
        <v>2</v>
      </c>
      <c r="E1243" s="25">
        <v>1</v>
      </c>
      <c r="F1243" s="25">
        <v>3</v>
      </c>
      <c r="G1243" s="25">
        <v>24</v>
      </c>
      <c r="H1243" s="25">
        <v>13.4</v>
      </c>
      <c r="I1243" s="25">
        <v>1.48</v>
      </c>
      <c r="J1243" s="25">
        <v>1.74</v>
      </c>
      <c r="K1243" s="26">
        <v>0</v>
      </c>
      <c r="L1243" s="25">
        <f t="shared" si="152"/>
        <v>0.69130826015916402</v>
      </c>
      <c r="M1243" s="25">
        <f t="shared" si="158"/>
        <v>0.66625789252005596</v>
      </c>
      <c r="N1243" s="25">
        <f t="shared" si="153"/>
        <v>0.33374210747994404</v>
      </c>
      <c r="O1243" s="25">
        <f t="shared" si="154"/>
        <v>-1.0973867175474639</v>
      </c>
      <c r="P1243" s="25">
        <f t="shared" si="155"/>
        <v>1</v>
      </c>
      <c r="Q1243" s="25">
        <f t="shared" si="159"/>
        <v>467.17606059219349</v>
      </c>
      <c r="R1243" s="25">
        <f t="shared" si="156"/>
        <v>7</v>
      </c>
      <c r="S1243" s="26">
        <f t="shared" si="157"/>
        <v>15</v>
      </c>
    </row>
    <row r="1244" spans="2:19" x14ac:dyDescent="0.3">
      <c r="B1244" s="24">
        <v>376405</v>
      </c>
      <c r="C1244" s="25">
        <v>29</v>
      </c>
      <c r="D1244" s="25">
        <v>2</v>
      </c>
      <c r="E1244" s="25">
        <v>10</v>
      </c>
      <c r="F1244" s="25">
        <v>6</v>
      </c>
      <c r="G1244" s="25">
        <v>50</v>
      </c>
      <c r="H1244" s="25">
        <v>9.8000000000000007</v>
      </c>
      <c r="I1244" s="25">
        <v>2.91</v>
      </c>
      <c r="J1244" s="25">
        <v>1.99</v>
      </c>
      <c r="K1244" s="26">
        <v>0</v>
      </c>
      <c r="L1244" s="25">
        <f t="shared" si="152"/>
        <v>-1.1765936202750691</v>
      </c>
      <c r="M1244" s="25">
        <f t="shared" si="158"/>
        <v>0.23566522504970883</v>
      </c>
      <c r="N1244" s="25">
        <f t="shared" si="153"/>
        <v>0.76433477495029112</v>
      </c>
      <c r="O1244" s="25">
        <f t="shared" si="154"/>
        <v>-0.26874939868384046</v>
      </c>
      <c r="P1244" s="25">
        <f t="shared" si="155"/>
        <v>0</v>
      </c>
      <c r="Q1244" s="25">
        <f t="shared" si="159"/>
        <v>521.07231466005476</v>
      </c>
      <c r="R1244" s="25">
        <f t="shared" si="156"/>
        <v>6</v>
      </c>
      <c r="S1244" s="26">
        <f t="shared" si="157"/>
        <v>13</v>
      </c>
    </row>
    <row r="1245" spans="2:19" x14ac:dyDescent="0.3">
      <c r="B1245" s="24">
        <v>376416</v>
      </c>
      <c r="C1245" s="25">
        <v>25</v>
      </c>
      <c r="D1245" s="25">
        <v>3</v>
      </c>
      <c r="E1245" s="25">
        <v>3</v>
      </c>
      <c r="F1245" s="25">
        <v>2</v>
      </c>
      <c r="G1245" s="25">
        <v>43</v>
      </c>
      <c r="H1245" s="25">
        <v>15.6</v>
      </c>
      <c r="I1245" s="25">
        <v>3.68</v>
      </c>
      <c r="J1245" s="25">
        <v>3.03</v>
      </c>
      <c r="K1245" s="26">
        <v>1</v>
      </c>
      <c r="L1245" s="25">
        <f t="shared" si="152"/>
        <v>1.537589960935839</v>
      </c>
      <c r="M1245" s="25">
        <f t="shared" si="158"/>
        <v>0.82311410330266477</v>
      </c>
      <c r="N1245" s="25">
        <f t="shared" si="153"/>
        <v>0.82311410330266477</v>
      </c>
      <c r="O1245" s="25">
        <f t="shared" si="154"/>
        <v>-0.1946604447770286</v>
      </c>
      <c r="P1245" s="25">
        <f t="shared" si="155"/>
        <v>1</v>
      </c>
      <c r="Q1245" s="25">
        <f t="shared" si="159"/>
        <v>442.7575330261534</v>
      </c>
      <c r="R1245" s="25">
        <f t="shared" si="156"/>
        <v>8</v>
      </c>
      <c r="S1245" s="26">
        <f t="shared" si="157"/>
        <v>16</v>
      </c>
    </row>
    <row r="1246" spans="2:19" x14ac:dyDescent="0.3">
      <c r="B1246" s="24">
        <v>376418</v>
      </c>
      <c r="C1246" s="25">
        <v>33</v>
      </c>
      <c r="D1246" s="25">
        <v>2</v>
      </c>
      <c r="E1246" s="25">
        <v>3</v>
      </c>
      <c r="F1246" s="25">
        <v>7</v>
      </c>
      <c r="G1246" s="25">
        <v>29</v>
      </c>
      <c r="H1246" s="25">
        <v>5.4</v>
      </c>
      <c r="I1246" s="25">
        <v>0.37</v>
      </c>
      <c r="J1246" s="25">
        <v>1.19</v>
      </c>
      <c r="K1246" s="26">
        <v>0</v>
      </c>
      <c r="L1246" s="25">
        <f t="shared" si="152"/>
        <v>-1.3782406369131976</v>
      </c>
      <c r="M1246" s="25">
        <f t="shared" si="158"/>
        <v>0.20129170981349853</v>
      </c>
      <c r="N1246" s="25">
        <f t="shared" si="153"/>
        <v>0.79870829018650147</v>
      </c>
      <c r="O1246" s="25">
        <f t="shared" si="154"/>
        <v>-0.22475949351268468</v>
      </c>
      <c r="P1246" s="25">
        <f t="shared" si="155"/>
        <v>0</v>
      </c>
      <c r="Q1246" s="25">
        <f t="shared" si="159"/>
        <v>526.89061751342967</v>
      </c>
      <c r="R1246" s="25">
        <f t="shared" si="156"/>
        <v>6</v>
      </c>
      <c r="S1246" s="26">
        <f t="shared" si="157"/>
        <v>12</v>
      </c>
    </row>
    <row r="1247" spans="2:19" x14ac:dyDescent="0.3">
      <c r="B1247" s="24">
        <v>376430</v>
      </c>
      <c r="C1247" s="25">
        <v>20</v>
      </c>
      <c r="D1247" s="25">
        <v>3</v>
      </c>
      <c r="E1247" s="25">
        <v>0</v>
      </c>
      <c r="F1247" s="25">
        <v>0</v>
      </c>
      <c r="G1247" s="25">
        <v>25</v>
      </c>
      <c r="H1247" s="25">
        <v>5</v>
      </c>
      <c r="I1247" s="25">
        <v>0.13</v>
      </c>
      <c r="J1247" s="25">
        <v>1.1200000000000001</v>
      </c>
      <c r="K1247" s="26">
        <v>1</v>
      </c>
      <c r="L1247" s="25">
        <f t="shared" si="152"/>
        <v>-0.40028338638916944</v>
      </c>
      <c r="M1247" s="25">
        <f t="shared" si="158"/>
        <v>0.40124425516691647</v>
      </c>
      <c r="N1247" s="25">
        <f t="shared" si="153"/>
        <v>0.40124425516691647</v>
      </c>
      <c r="O1247" s="25">
        <f t="shared" si="154"/>
        <v>-0.91318492198142365</v>
      </c>
      <c r="P1247" s="25">
        <f t="shared" si="155"/>
        <v>1</v>
      </c>
      <c r="Q1247" s="25">
        <f t="shared" si="159"/>
        <v>498.67273680253447</v>
      </c>
      <c r="R1247" s="25">
        <f t="shared" si="156"/>
        <v>7</v>
      </c>
      <c r="S1247" s="26">
        <f t="shared" si="157"/>
        <v>14</v>
      </c>
    </row>
    <row r="1248" spans="2:19" x14ac:dyDescent="0.3">
      <c r="B1248" s="24">
        <v>376443</v>
      </c>
      <c r="C1248" s="25">
        <v>24</v>
      </c>
      <c r="D1248" s="25">
        <v>3</v>
      </c>
      <c r="E1248" s="25">
        <v>0</v>
      </c>
      <c r="F1248" s="25">
        <v>1</v>
      </c>
      <c r="G1248" s="25">
        <v>23</v>
      </c>
      <c r="H1248" s="25">
        <v>7.4</v>
      </c>
      <c r="I1248" s="25">
        <v>0.24</v>
      </c>
      <c r="J1248" s="25">
        <v>1.46</v>
      </c>
      <c r="K1248" s="26">
        <v>0</v>
      </c>
      <c r="L1248" s="25">
        <f t="shared" si="152"/>
        <v>-0.21994387649190114</v>
      </c>
      <c r="M1248" s="25">
        <f t="shared" si="158"/>
        <v>0.44523462739898895</v>
      </c>
      <c r="N1248" s="25">
        <f t="shared" si="153"/>
        <v>0.55476537260101111</v>
      </c>
      <c r="O1248" s="25">
        <f t="shared" si="154"/>
        <v>-0.58921000669080192</v>
      </c>
      <c r="P1248" s="25">
        <f t="shared" si="155"/>
        <v>1</v>
      </c>
      <c r="Q1248" s="25">
        <f t="shared" si="159"/>
        <v>493.46923861790964</v>
      </c>
      <c r="R1248" s="25">
        <f t="shared" si="156"/>
        <v>7</v>
      </c>
      <c r="S1248" s="26">
        <f t="shared" si="157"/>
        <v>14</v>
      </c>
    </row>
    <row r="1249" spans="2:19" x14ac:dyDescent="0.3">
      <c r="B1249" s="24">
        <v>376451</v>
      </c>
      <c r="C1249" s="25">
        <v>21</v>
      </c>
      <c r="D1249" s="25">
        <v>1</v>
      </c>
      <c r="E1249" s="25">
        <v>2</v>
      </c>
      <c r="F1249" s="25">
        <v>1</v>
      </c>
      <c r="G1249" s="25">
        <v>25</v>
      </c>
      <c r="H1249" s="25">
        <v>9.8000000000000007</v>
      </c>
      <c r="I1249" s="25">
        <v>0.42</v>
      </c>
      <c r="J1249" s="25">
        <v>2.0299999999999998</v>
      </c>
      <c r="K1249" s="26">
        <v>1</v>
      </c>
      <c r="L1249" s="25">
        <f t="shared" si="152"/>
        <v>-0.16164872397261901</v>
      </c>
      <c r="M1249" s="25">
        <f t="shared" si="158"/>
        <v>0.45967558823822124</v>
      </c>
      <c r="N1249" s="25">
        <f t="shared" si="153"/>
        <v>0.45967558823822124</v>
      </c>
      <c r="O1249" s="25">
        <f t="shared" si="154"/>
        <v>-0.77723428126018512</v>
      </c>
      <c r="P1249" s="25">
        <f t="shared" si="155"/>
        <v>1</v>
      </c>
      <c r="Q1249" s="25">
        <f t="shared" si="159"/>
        <v>491.78719611663354</v>
      </c>
      <c r="R1249" s="25">
        <f t="shared" si="156"/>
        <v>7</v>
      </c>
      <c r="S1249" s="26">
        <f t="shared" si="157"/>
        <v>14</v>
      </c>
    </row>
    <row r="1250" spans="2:19" x14ac:dyDescent="0.3">
      <c r="B1250" s="24">
        <v>376456</v>
      </c>
      <c r="C1250" s="25">
        <v>42</v>
      </c>
      <c r="D1250" s="25">
        <v>3</v>
      </c>
      <c r="E1250" s="25">
        <v>16</v>
      </c>
      <c r="F1250" s="25">
        <v>8</v>
      </c>
      <c r="G1250" s="25">
        <v>71</v>
      </c>
      <c r="H1250" s="25">
        <v>3.3</v>
      </c>
      <c r="I1250" s="25">
        <v>0.76</v>
      </c>
      <c r="J1250" s="25">
        <v>1.59</v>
      </c>
      <c r="K1250" s="26">
        <v>0</v>
      </c>
      <c r="L1250" s="25">
        <f t="shared" si="152"/>
        <v>-4.6049125499903134</v>
      </c>
      <c r="M1250" s="25">
        <f t="shared" si="158"/>
        <v>9.9035160134440074E-3</v>
      </c>
      <c r="N1250" s="25">
        <f t="shared" si="153"/>
        <v>0.99009648398655603</v>
      </c>
      <c r="O1250" s="25">
        <f t="shared" si="154"/>
        <v>-9.9528820300007412E-3</v>
      </c>
      <c r="P1250" s="25">
        <f t="shared" si="155"/>
        <v>0</v>
      </c>
      <c r="Q1250" s="25">
        <f t="shared" si="159"/>
        <v>619.99268622616546</v>
      </c>
      <c r="R1250" s="25">
        <f t="shared" si="156"/>
        <v>4</v>
      </c>
      <c r="S1250" s="26">
        <f t="shared" si="157"/>
        <v>5</v>
      </c>
    </row>
    <row r="1251" spans="2:19" x14ac:dyDescent="0.3">
      <c r="B1251" s="24">
        <v>376565</v>
      </c>
      <c r="C1251" s="25">
        <v>20</v>
      </c>
      <c r="D1251" s="25">
        <v>2</v>
      </c>
      <c r="E1251" s="25">
        <v>1</v>
      </c>
      <c r="F1251" s="25">
        <v>0</v>
      </c>
      <c r="G1251" s="25">
        <v>37</v>
      </c>
      <c r="H1251" s="25">
        <v>7.1</v>
      </c>
      <c r="I1251" s="25">
        <v>0.97</v>
      </c>
      <c r="J1251" s="25">
        <v>1.66</v>
      </c>
      <c r="K1251" s="26">
        <v>0</v>
      </c>
      <c r="L1251" s="25">
        <f t="shared" si="152"/>
        <v>5.0265429224536695E-2</v>
      </c>
      <c r="M1251" s="25">
        <f t="shared" si="158"/>
        <v>0.51256371211393281</v>
      </c>
      <c r="N1251" s="25">
        <f t="shared" si="153"/>
        <v>0.48743628788606719</v>
      </c>
      <c r="O1251" s="25">
        <f t="shared" si="154"/>
        <v>-0.71859568860087508</v>
      </c>
      <c r="P1251" s="25">
        <f t="shared" si="155"/>
        <v>1</v>
      </c>
      <c r="Q1251" s="25">
        <f t="shared" si="159"/>
        <v>485.6726463316981</v>
      </c>
      <c r="R1251" s="25">
        <f t="shared" si="156"/>
        <v>7</v>
      </c>
      <c r="S1251" s="26">
        <f t="shared" si="157"/>
        <v>15</v>
      </c>
    </row>
    <row r="1252" spans="2:19" x14ac:dyDescent="0.3">
      <c r="B1252" s="24">
        <v>376619</v>
      </c>
      <c r="C1252" s="25">
        <v>40</v>
      </c>
      <c r="D1252" s="25">
        <v>1</v>
      </c>
      <c r="E1252" s="25">
        <v>2</v>
      </c>
      <c r="F1252" s="25">
        <v>14</v>
      </c>
      <c r="G1252" s="25">
        <v>31</v>
      </c>
      <c r="H1252" s="25">
        <v>2.4</v>
      </c>
      <c r="I1252" s="25">
        <v>0.22</v>
      </c>
      <c r="J1252" s="25">
        <v>0.52</v>
      </c>
      <c r="K1252" s="26">
        <v>1</v>
      </c>
      <c r="L1252" s="25">
        <f t="shared" si="152"/>
        <v>-1.8641544231591485</v>
      </c>
      <c r="M1252" s="25">
        <f t="shared" si="158"/>
        <v>0.13421955456698917</v>
      </c>
      <c r="N1252" s="25">
        <f t="shared" si="153"/>
        <v>0.13421955456698917</v>
      </c>
      <c r="O1252" s="25">
        <f t="shared" si="154"/>
        <v>-2.0082783529359207</v>
      </c>
      <c r="P1252" s="25">
        <f t="shared" si="155"/>
        <v>0</v>
      </c>
      <c r="Q1252" s="25">
        <f t="shared" si="159"/>
        <v>540.91112531039175</v>
      </c>
      <c r="R1252" s="25">
        <f t="shared" si="156"/>
        <v>6</v>
      </c>
      <c r="S1252" s="26">
        <f t="shared" si="157"/>
        <v>11</v>
      </c>
    </row>
    <row r="1253" spans="2:19" x14ac:dyDescent="0.3">
      <c r="B1253" s="24">
        <v>376642</v>
      </c>
      <c r="C1253" s="25">
        <v>36</v>
      </c>
      <c r="D1253" s="25">
        <v>2</v>
      </c>
      <c r="E1253" s="25">
        <v>10</v>
      </c>
      <c r="F1253" s="25">
        <v>3</v>
      </c>
      <c r="G1253" s="25">
        <v>77</v>
      </c>
      <c r="H1253" s="25">
        <v>11.3</v>
      </c>
      <c r="I1253" s="25">
        <v>1.5</v>
      </c>
      <c r="J1253" s="25">
        <v>7.2</v>
      </c>
      <c r="K1253" s="26">
        <v>1</v>
      </c>
      <c r="L1253" s="25">
        <f t="shared" si="152"/>
        <v>-1.6116147538371934</v>
      </c>
      <c r="M1253" s="25">
        <f t="shared" si="158"/>
        <v>0.16636454692446126</v>
      </c>
      <c r="N1253" s="25">
        <f t="shared" si="153"/>
        <v>0.16636454692446126</v>
      </c>
      <c r="O1253" s="25">
        <f t="shared" si="154"/>
        <v>-1.7935738326435857</v>
      </c>
      <c r="P1253" s="25">
        <f t="shared" si="155"/>
        <v>0</v>
      </c>
      <c r="Q1253" s="25">
        <f t="shared" si="159"/>
        <v>533.62437094574295</v>
      </c>
      <c r="R1253" s="25">
        <f t="shared" si="156"/>
        <v>6</v>
      </c>
      <c r="S1253" s="26">
        <f t="shared" si="157"/>
        <v>12</v>
      </c>
    </row>
    <row r="1254" spans="2:19" x14ac:dyDescent="0.3">
      <c r="B1254" s="24">
        <v>376657</v>
      </c>
      <c r="C1254" s="25">
        <v>18</v>
      </c>
      <c r="D1254" s="25">
        <v>2</v>
      </c>
      <c r="E1254" s="25">
        <v>0</v>
      </c>
      <c r="F1254" s="25">
        <v>0</v>
      </c>
      <c r="G1254" s="25">
        <v>18</v>
      </c>
      <c r="H1254" s="25">
        <v>2.2999999999999998</v>
      </c>
      <c r="I1254" s="25">
        <v>0.09</v>
      </c>
      <c r="J1254" s="25">
        <v>0.33</v>
      </c>
      <c r="K1254" s="26">
        <v>0</v>
      </c>
      <c r="L1254" s="25">
        <f t="shared" si="152"/>
        <v>-0.61300761936474646</v>
      </c>
      <c r="M1254" s="25">
        <f t="shared" si="158"/>
        <v>0.35137342493338092</v>
      </c>
      <c r="N1254" s="25">
        <f t="shared" si="153"/>
        <v>0.64862657506661914</v>
      </c>
      <c r="O1254" s="25">
        <f t="shared" si="154"/>
        <v>-0.43289811298094483</v>
      </c>
      <c r="P1254" s="25">
        <f t="shared" si="155"/>
        <v>0</v>
      </c>
      <c r="Q1254" s="25">
        <f t="shared" si="159"/>
        <v>504.81066054838846</v>
      </c>
      <c r="R1254" s="25">
        <f t="shared" si="156"/>
        <v>7</v>
      </c>
      <c r="S1254" s="26">
        <f t="shared" si="157"/>
        <v>14</v>
      </c>
    </row>
    <row r="1255" spans="2:19" x14ac:dyDescent="0.3">
      <c r="B1255" s="24">
        <v>376681</v>
      </c>
      <c r="C1255" s="25">
        <v>69</v>
      </c>
      <c r="D1255" s="25">
        <v>1</v>
      </c>
      <c r="E1255" s="25">
        <v>4</v>
      </c>
      <c r="F1255" s="25">
        <v>32</v>
      </c>
      <c r="G1255" s="25">
        <v>25</v>
      </c>
      <c r="H1255" s="25">
        <v>7.1</v>
      </c>
      <c r="I1255" s="25">
        <v>0.48</v>
      </c>
      <c r="J1255" s="25">
        <v>1.3</v>
      </c>
      <c r="K1255" s="26">
        <v>0</v>
      </c>
      <c r="L1255" s="25">
        <f t="shared" si="152"/>
        <v>-2.9197357927687033</v>
      </c>
      <c r="M1255" s="25">
        <f t="shared" si="158"/>
        <v>5.1186531008214013E-2</v>
      </c>
      <c r="N1255" s="25">
        <f t="shared" si="153"/>
        <v>0.94881346899178598</v>
      </c>
      <c r="O1255" s="25">
        <f t="shared" si="154"/>
        <v>-5.2543055021786071E-2</v>
      </c>
      <c r="P1255" s="25">
        <f t="shared" si="155"/>
        <v>0</v>
      </c>
      <c r="Q1255" s="25">
        <f t="shared" si="159"/>
        <v>571.36876459096891</v>
      </c>
      <c r="R1255" s="25">
        <f t="shared" si="156"/>
        <v>5</v>
      </c>
      <c r="S1255" s="26">
        <f t="shared" si="157"/>
        <v>9</v>
      </c>
    </row>
    <row r="1256" spans="2:19" x14ac:dyDescent="0.3">
      <c r="B1256" s="24">
        <v>376724</v>
      </c>
      <c r="C1256" s="25">
        <v>27</v>
      </c>
      <c r="D1256" s="25">
        <v>4</v>
      </c>
      <c r="E1256" s="25">
        <v>2</v>
      </c>
      <c r="F1256" s="25">
        <v>1</v>
      </c>
      <c r="G1256" s="25">
        <v>31</v>
      </c>
      <c r="H1256" s="25">
        <v>3.9</v>
      </c>
      <c r="I1256" s="25">
        <v>0.56000000000000005</v>
      </c>
      <c r="J1256" s="25">
        <v>0.65</v>
      </c>
      <c r="K1256" s="26">
        <v>0</v>
      </c>
      <c r="L1256" s="25">
        <f t="shared" si="152"/>
        <v>-1.0063374761114856</v>
      </c>
      <c r="M1256" s="25">
        <f t="shared" si="158"/>
        <v>0.26769722401742646</v>
      </c>
      <c r="N1256" s="25">
        <f t="shared" si="153"/>
        <v>0.73230277598257354</v>
      </c>
      <c r="O1256" s="25">
        <f t="shared" si="154"/>
        <v>-0.31156122214997301</v>
      </c>
      <c r="P1256" s="25">
        <f t="shared" si="155"/>
        <v>0</v>
      </c>
      <c r="Q1256" s="25">
        <f t="shared" si="159"/>
        <v>516.15976090197319</v>
      </c>
      <c r="R1256" s="25">
        <f t="shared" si="156"/>
        <v>7</v>
      </c>
      <c r="S1256" s="26">
        <f t="shared" si="157"/>
        <v>13</v>
      </c>
    </row>
    <row r="1257" spans="2:19" x14ac:dyDescent="0.3">
      <c r="B1257" s="24">
        <v>376777</v>
      </c>
      <c r="C1257" s="25">
        <v>53</v>
      </c>
      <c r="D1257" s="25">
        <v>3</v>
      </c>
      <c r="E1257" s="25">
        <v>31</v>
      </c>
      <c r="F1257" s="25">
        <v>18</v>
      </c>
      <c r="G1257" s="25">
        <v>120</v>
      </c>
      <c r="H1257" s="25">
        <v>9</v>
      </c>
      <c r="I1257" s="25">
        <v>1.7</v>
      </c>
      <c r="J1257" s="25">
        <v>9.1</v>
      </c>
      <c r="K1257" s="26">
        <v>0</v>
      </c>
      <c r="L1257" s="25">
        <f t="shared" si="152"/>
        <v>-7.3491141209124704</v>
      </c>
      <c r="M1257" s="25">
        <f t="shared" si="158"/>
        <v>6.4274848039556703E-4</v>
      </c>
      <c r="N1257" s="25">
        <f t="shared" si="153"/>
        <v>0.99935725151960442</v>
      </c>
      <c r="O1257" s="25">
        <f t="shared" si="154"/>
        <v>-6.4295513175475095E-4</v>
      </c>
      <c r="P1257" s="25">
        <f t="shared" si="155"/>
        <v>0</v>
      </c>
      <c r="Q1257" s="25">
        <f t="shared" si="159"/>
        <v>699.17360393339629</v>
      </c>
      <c r="R1257" s="25">
        <f t="shared" si="156"/>
        <v>1</v>
      </c>
      <c r="S1257" s="26">
        <f t="shared" si="157"/>
        <v>1</v>
      </c>
    </row>
    <row r="1258" spans="2:19" x14ac:dyDescent="0.3">
      <c r="B1258" s="24">
        <v>376801</v>
      </c>
      <c r="C1258" s="25">
        <v>23</v>
      </c>
      <c r="D1258" s="25">
        <v>4</v>
      </c>
      <c r="E1258" s="25">
        <v>0</v>
      </c>
      <c r="F1258" s="25">
        <v>2</v>
      </c>
      <c r="G1258" s="25">
        <v>19</v>
      </c>
      <c r="H1258" s="25">
        <v>1.4</v>
      </c>
      <c r="I1258" s="25">
        <v>0.18</v>
      </c>
      <c r="J1258" s="25">
        <v>0.09</v>
      </c>
      <c r="K1258" s="26">
        <v>0</v>
      </c>
      <c r="L1258" s="25">
        <f t="shared" si="152"/>
        <v>-0.94584043545109986</v>
      </c>
      <c r="M1258" s="25">
        <f t="shared" si="158"/>
        <v>0.27972211289418958</v>
      </c>
      <c r="N1258" s="25">
        <f t="shared" si="153"/>
        <v>0.72027788710581042</v>
      </c>
      <c r="O1258" s="25">
        <f t="shared" si="154"/>
        <v>-0.3281181871196181</v>
      </c>
      <c r="P1258" s="25">
        <f t="shared" si="155"/>
        <v>0</v>
      </c>
      <c r="Q1258" s="25">
        <f t="shared" si="159"/>
        <v>514.4141853404625</v>
      </c>
      <c r="R1258" s="25">
        <f t="shared" si="156"/>
        <v>7</v>
      </c>
      <c r="S1258" s="26">
        <f t="shared" si="157"/>
        <v>13</v>
      </c>
    </row>
    <row r="1259" spans="2:19" x14ac:dyDescent="0.3">
      <c r="B1259" s="24">
        <v>376870</v>
      </c>
      <c r="C1259" s="25">
        <v>32</v>
      </c>
      <c r="D1259" s="25">
        <v>2</v>
      </c>
      <c r="E1259" s="25">
        <v>0</v>
      </c>
      <c r="F1259" s="25">
        <v>7</v>
      </c>
      <c r="G1259" s="25">
        <v>22</v>
      </c>
      <c r="H1259" s="25">
        <v>22.5</v>
      </c>
      <c r="I1259" s="25">
        <v>0.57999999999999996</v>
      </c>
      <c r="J1259" s="25">
        <v>4.37</v>
      </c>
      <c r="K1259" s="26">
        <v>1</v>
      </c>
      <c r="L1259" s="25">
        <f t="shared" si="152"/>
        <v>1.2035497230629346</v>
      </c>
      <c r="M1259" s="25">
        <f t="shared" si="158"/>
        <v>0.76915565749339354</v>
      </c>
      <c r="N1259" s="25">
        <f t="shared" si="153"/>
        <v>0.76915565749339354</v>
      </c>
      <c r="O1259" s="25">
        <f t="shared" si="154"/>
        <v>-0.26246191449368805</v>
      </c>
      <c r="P1259" s="25">
        <f t="shared" si="155"/>
        <v>1</v>
      </c>
      <c r="Q1259" s="25">
        <f t="shared" si="159"/>
        <v>452.3958966457144</v>
      </c>
      <c r="R1259" s="25">
        <f t="shared" si="156"/>
        <v>8</v>
      </c>
      <c r="S1259" s="26">
        <f t="shared" si="157"/>
        <v>16</v>
      </c>
    </row>
    <row r="1260" spans="2:19" x14ac:dyDescent="0.3">
      <c r="B1260" s="24">
        <v>376955</v>
      </c>
      <c r="C1260" s="25">
        <v>26</v>
      </c>
      <c r="D1260" s="25">
        <v>4</v>
      </c>
      <c r="E1260" s="25">
        <v>1</v>
      </c>
      <c r="F1260" s="25">
        <v>4</v>
      </c>
      <c r="G1260" s="25">
        <v>38</v>
      </c>
      <c r="H1260" s="25">
        <v>13.3</v>
      </c>
      <c r="I1260" s="25">
        <v>0.31</v>
      </c>
      <c r="J1260" s="25">
        <v>4.74</v>
      </c>
      <c r="K1260" s="26">
        <v>0</v>
      </c>
      <c r="L1260" s="25">
        <f t="shared" si="152"/>
        <v>6.6186650959861315E-2</v>
      </c>
      <c r="M1260" s="25">
        <f t="shared" si="158"/>
        <v>0.51654062492535202</v>
      </c>
      <c r="N1260" s="25">
        <f t="shared" si="153"/>
        <v>0.48345937507464798</v>
      </c>
      <c r="O1260" s="25">
        <f t="shared" si="154"/>
        <v>-0.72678799021526885</v>
      </c>
      <c r="P1260" s="25">
        <f t="shared" si="155"/>
        <v>1</v>
      </c>
      <c r="Q1260" s="25">
        <f t="shared" si="159"/>
        <v>485.21325699186923</v>
      </c>
      <c r="R1260" s="25">
        <f t="shared" si="156"/>
        <v>7</v>
      </c>
      <c r="S1260" s="26">
        <f t="shared" si="157"/>
        <v>15</v>
      </c>
    </row>
    <row r="1261" spans="2:19" x14ac:dyDescent="0.3">
      <c r="B1261" s="24">
        <v>376960</v>
      </c>
      <c r="C1261" s="25">
        <v>29</v>
      </c>
      <c r="D1261" s="25">
        <v>3</v>
      </c>
      <c r="E1261" s="25">
        <v>7</v>
      </c>
      <c r="F1261" s="25">
        <v>3</v>
      </c>
      <c r="G1261" s="25">
        <v>21</v>
      </c>
      <c r="H1261" s="25">
        <v>5.9</v>
      </c>
      <c r="I1261" s="25">
        <v>0.8</v>
      </c>
      <c r="J1261" s="25">
        <v>0.44</v>
      </c>
      <c r="K1261" s="26">
        <v>0</v>
      </c>
      <c r="L1261" s="25">
        <f t="shared" si="152"/>
        <v>-1.8870324120427722</v>
      </c>
      <c r="M1261" s="25">
        <f t="shared" si="158"/>
        <v>0.13158320234596677</v>
      </c>
      <c r="N1261" s="25">
        <f t="shared" si="153"/>
        <v>0.86841679765403323</v>
      </c>
      <c r="O1261" s="25">
        <f t="shared" si="154"/>
        <v>-0.14108349794302222</v>
      </c>
      <c r="P1261" s="25">
        <f t="shared" si="155"/>
        <v>0</v>
      </c>
      <c r="Q1261" s="25">
        <f t="shared" si="159"/>
        <v>541.57124451384095</v>
      </c>
      <c r="R1261" s="25">
        <f t="shared" si="156"/>
        <v>6</v>
      </c>
      <c r="S1261" s="26">
        <f t="shared" si="157"/>
        <v>11</v>
      </c>
    </row>
    <row r="1262" spans="2:19" x14ac:dyDescent="0.3">
      <c r="B1262" s="24">
        <v>377041</v>
      </c>
      <c r="C1262" s="25">
        <v>28</v>
      </c>
      <c r="D1262" s="25">
        <v>1</v>
      </c>
      <c r="E1262" s="25">
        <v>4</v>
      </c>
      <c r="F1262" s="25">
        <v>4</v>
      </c>
      <c r="G1262" s="25">
        <v>25</v>
      </c>
      <c r="H1262" s="25">
        <v>6.5</v>
      </c>
      <c r="I1262" s="25">
        <v>0.21</v>
      </c>
      <c r="J1262" s="25">
        <v>1.41</v>
      </c>
      <c r="K1262" s="26">
        <v>0</v>
      </c>
      <c r="L1262" s="25">
        <f t="shared" si="152"/>
        <v>-1.3068949153284868</v>
      </c>
      <c r="M1262" s="25">
        <f t="shared" si="158"/>
        <v>0.21300690101052622</v>
      </c>
      <c r="N1262" s="25">
        <f t="shared" si="153"/>
        <v>0.78699309898947378</v>
      </c>
      <c r="O1262" s="25">
        <f t="shared" si="154"/>
        <v>-0.23953579935861316</v>
      </c>
      <c r="P1262" s="25">
        <f t="shared" si="155"/>
        <v>0</v>
      </c>
      <c r="Q1262" s="25">
        <f t="shared" si="159"/>
        <v>524.83201519739657</v>
      </c>
      <c r="R1262" s="25">
        <f t="shared" si="156"/>
        <v>6</v>
      </c>
      <c r="S1262" s="26">
        <f t="shared" si="157"/>
        <v>13</v>
      </c>
    </row>
    <row r="1263" spans="2:19" x14ac:dyDescent="0.3">
      <c r="B1263" s="24">
        <v>377052</v>
      </c>
      <c r="C1263" s="25">
        <v>61</v>
      </c>
      <c r="D1263" s="25">
        <v>2</v>
      </c>
      <c r="E1263" s="25">
        <v>29</v>
      </c>
      <c r="F1263" s="25">
        <v>24</v>
      </c>
      <c r="G1263" s="25">
        <v>142</v>
      </c>
      <c r="H1263" s="25">
        <v>7.7</v>
      </c>
      <c r="I1263" s="25">
        <v>3.08</v>
      </c>
      <c r="J1263" s="25">
        <v>7.85</v>
      </c>
      <c r="K1263" s="26">
        <v>0</v>
      </c>
      <c r="L1263" s="25">
        <f t="shared" si="152"/>
        <v>-6.7138050056359768</v>
      </c>
      <c r="M1263" s="25">
        <f t="shared" si="158"/>
        <v>1.2125638154946796E-3</v>
      </c>
      <c r="N1263" s="25">
        <f t="shared" si="153"/>
        <v>0.99878743618450527</v>
      </c>
      <c r="O1263" s="25">
        <f t="shared" si="154"/>
        <v>-1.2132995658210039E-3</v>
      </c>
      <c r="P1263" s="25">
        <f t="shared" si="155"/>
        <v>0</v>
      </c>
      <c r="Q1263" s="25">
        <f t="shared" si="159"/>
        <v>680.84245825211997</v>
      </c>
      <c r="R1263" s="25">
        <f t="shared" si="156"/>
        <v>1</v>
      </c>
      <c r="S1263" s="26">
        <f t="shared" si="157"/>
        <v>1</v>
      </c>
    </row>
    <row r="1264" spans="2:19" x14ac:dyDescent="0.3">
      <c r="B1264" s="24">
        <v>377198</v>
      </c>
      <c r="C1264" s="25">
        <v>53</v>
      </c>
      <c r="D1264" s="25">
        <v>2</v>
      </c>
      <c r="E1264" s="25">
        <v>4</v>
      </c>
      <c r="F1264" s="25">
        <v>20</v>
      </c>
      <c r="G1264" s="25">
        <v>35</v>
      </c>
      <c r="H1264" s="25">
        <v>1.5</v>
      </c>
      <c r="I1264" s="25">
        <v>0.08</v>
      </c>
      <c r="J1264" s="25">
        <v>0.45</v>
      </c>
      <c r="K1264" s="26">
        <v>0</v>
      </c>
      <c r="L1264" s="25">
        <f t="shared" si="152"/>
        <v>-3.0031800783953453</v>
      </c>
      <c r="M1264" s="25">
        <f t="shared" si="158"/>
        <v>4.7282414447726989E-2</v>
      </c>
      <c r="N1264" s="25">
        <f t="shared" si="153"/>
        <v>0.95271758555227304</v>
      </c>
      <c r="O1264" s="25">
        <f t="shared" si="154"/>
        <v>-4.8436761793521875E-2</v>
      </c>
      <c r="P1264" s="25">
        <f t="shared" si="155"/>
        <v>0</v>
      </c>
      <c r="Q1264" s="25">
        <f t="shared" si="159"/>
        <v>573.77645766401145</v>
      </c>
      <c r="R1264" s="25">
        <f t="shared" si="156"/>
        <v>5</v>
      </c>
      <c r="S1264" s="26">
        <f t="shared" si="157"/>
        <v>9</v>
      </c>
    </row>
    <row r="1265" spans="2:19" x14ac:dyDescent="0.3">
      <c r="B1265" s="24">
        <v>377201</v>
      </c>
      <c r="C1265" s="25">
        <v>36</v>
      </c>
      <c r="D1265" s="25">
        <v>5</v>
      </c>
      <c r="E1265" s="25">
        <v>9</v>
      </c>
      <c r="F1265" s="25">
        <v>6</v>
      </c>
      <c r="G1265" s="25">
        <v>108</v>
      </c>
      <c r="H1265" s="25">
        <v>6.5</v>
      </c>
      <c r="I1265" s="25">
        <v>3.62</v>
      </c>
      <c r="J1265" s="25">
        <v>3.4</v>
      </c>
      <c r="K1265" s="26">
        <v>0</v>
      </c>
      <c r="L1265" s="25">
        <f t="shared" si="152"/>
        <v>-1.2059543968903101</v>
      </c>
      <c r="M1265" s="25">
        <f t="shared" si="158"/>
        <v>0.23041765645749496</v>
      </c>
      <c r="N1265" s="25">
        <f t="shared" si="153"/>
        <v>0.7695823435425051</v>
      </c>
      <c r="O1265" s="25">
        <f t="shared" si="154"/>
        <v>-0.2619073222762206</v>
      </c>
      <c r="P1265" s="25">
        <f t="shared" si="155"/>
        <v>0</v>
      </c>
      <c r="Q1265" s="25">
        <f t="shared" si="159"/>
        <v>521.91948757243335</v>
      </c>
      <c r="R1265" s="25">
        <f t="shared" si="156"/>
        <v>6</v>
      </c>
      <c r="S1265" s="26">
        <f t="shared" si="157"/>
        <v>13</v>
      </c>
    </row>
    <row r="1266" spans="2:19" x14ac:dyDescent="0.3">
      <c r="B1266" s="24">
        <v>377300</v>
      </c>
      <c r="C1266" s="25">
        <v>68</v>
      </c>
      <c r="D1266" s="25">
        <v>2</v>
      </c>
      <c r="E1266" s="25">
        <v>11</v>
      </c>
      <c r="F1266" s="25">
        <v>15</v>
      </c>
      <c r="G1266" s="25">
        <v>84</v>
      </c>
      <c r="H1266" s="25">
        <v>6.1</v>
      </c>
      <c r="I1266" s="25">
        <v>1.36</v>
      </c>
      <c r="J1266" s="25">
        <v>3.77</v>
      </c>
      <c r="K1266" s="26">
        <v>0</v>
      </c>
      <c r="L1266" s="25">
        <f t="shared" si="152"/>
        <v>-3.5890353342862782</v>
      </c>
      <c r="M1266" s="25">
        <f t="shared" si="158"/>
        <v>2.6882342619258016E-2</v>
      </c>
      <c r="N1266" s="25">
        <f t="shared" si="153"/>
        <v>0.97311765738074196</v>
      </c>
      <c r="O1266" s="25">
        <f t="shared" si="154"/>
        <v>-2.7250281824276006E-2</v>
      </c>
      <c r="P1266" s="25">
        <f t="shared" si="155"/>
        <v>0</v>
      </c>
      <c r="Q1266" s="25">
        <f t="shared" si="159"/>
        <v>590.68066663196282</v>
      </c>
      <c r="R1266" s="25">
        <f t="shared" si="156"/>
        <v>4</v>
      </c>
      <c r="S1266" s="26">
        <f t="shared" si="157"/>
        <v>7</v>
      </c>
    </row>
    <row r="1267" spans="2:19" x14ac:dyDescent="0.3">
      <c r="B1267" s="24">
        <v>377307</v>
      </c>
      <c r="C1267" s="25">
        <v>38</v>
      </c>
      <c r="D1267" s="25">
        <v>1</v>
      </c>
      <c r="E1267" s="25">
        <v>17</v>
      </c>
      <c r="F1267" s="25">
        <v>7</v>
      </c>
      <c r="G1267" s="25">
        <v>41</v>
      </c>
      <c r="H1267" s="25">
        <v>16.899999999999999</v>
      </c>
      <c r="I1267" s="25">
        <v>3.99</v>
      </c>
      <c r="J1267" s="25">
        <v>2.94</v>
      </c>
      <c r="K1267" s="26">
        <v>0</v>
      </c>
      <c r="L1267" s="25">
        <f t="shared" si="152"/>
        <v>-1.6929886896272626</v>
      </c>
      <c r="M1267" s="25">
        <f t="shared" si="158"/>
        <v>0.15538320259409058</v>
      </c>
      <c r="N1267" s="25">
        <f t="shared" si="153"/>
        <v>0.84461679740590945</v>
      </c>
      <c r="O1267" s="25">
        <f t="shared" si="154"/>
        <v>-0.16887224867874395</v>
      </c>
      <c r="P1267" s="25">
        <f t="shared" si="155"/>
        <v>0</v>
      </c>
      <c r="Q1267" s="25">
        <f t="shared" si="159"/>
        <v>535.97232635163607</v>
      </c>
      <c r="R1267" s="25">
        <f t="shared" si="156"/>
        <v>6</v>
      </c>
      <c r="S1267" s="26">
        <f t="shared" si="157"/>
        <v>12</v>
      </c>
    </row>
    <row r="1268" spans="2:19" x14ac:dyDescent="0.3">
      <c r="B1268" s="24">
        <v>377319</v>
      </c>
      <c r="C1268" s="25">
        <v>48</v>
      </c>
      <c r="D1268" s="25">
        <v>3</v>
      </c>
      <c r="E1268" s="25">
        <v>15</v>
      </c>
      <c r="F1268" s="25">
        <v>11</v>
      </c>
      <c r="G1268" s="25">
        <v>133</v>
      </c>
      <c r="H1268" s="25">
        <v>4.0999999999999996</v>
      </c>
      <c r="I1268" s="25">
        <v>1.95</v>
      </c>
      <c r="J1268" s="25">
        <v>3.5</v>
      </c>
      <c r="K1268" s="26">
        <v>0</v>
      </c>
      <c r="L1268" s="25">
        <f t="shared" si="152"/>
        <v>-3.9008435068597476</v>
      </c>
      <c r="M1268" s="25">
        <f t="shared" si="158"/>
        <v>1.9823908978171614E-2</v>
      </c>
      <c r="N1268" s="25">
        <f t="shared" si="153"/>
        <v>0.98017609102182834</v>
      </c>
      <c r="O1268" s="25">
        <f t="shared" si="154"/>
        <v>-2.0023038742733146E-2</v>
      </c>
      <c r="P1268" s="25">
        <f t="shared" si="155"/>
        <v>0</v>
      </c>
      <c r="Q1268" s="25">
        <f t="shared" si="159"/>
        <v>599.67754846258049</v>
      </c>
      <c r="R1268" s="25">
        <f t="shared" si="156"/>
        <v>4</v>
      </c>
      <c r="S1268" s="26">
        <f t="shared" si="157"/>
        <v>7</v>
      </c>
    </row>
    <row r="1269" spans="2:19" x14ac:dyDescent="0.3">
      <c r="B1269" s="24">
        <v>377324</v>
      </c>
      <c r="C1269" s="25">
        <v>77</v>
      </c>
      <c r="D1269" s="25">
        <v>2</v>
      </c>
      <c r="E1269" s="25">
        <v>30</v>
      </c>
      <c r="F1269" s="25">
        <v>33</v>
      </c>
      <c r="G1269" s="25">
        <v>80</v>
      </c>
      <c r="H1269" s="25">
        <v>3.9</v>
      </c>
      <c r="I1269" s="25">
        <v>0.8</v>
      </c>
      <c r="J1269" s="25">
        <v>2.3199999999999998</v>
      </c>
      <c r="K1269" s="26">
        <v>0</v>
      </c>
      <c r="L1269" s="25">
        <f t="shared" si="152"/>
        <v>-9.190253551529171</v>
      </c>
      <c r="M1269" s="25">
        <f t="shared" si="158"/>
        <v>1.0201858296766101E-4</v>
      </c>
      <c r="N1269" s="25">
        <f t="shared" si="153"/>
        <v>0.99989798141703234</v>
      </c>
      <c r="O1269" s="25">
        <f t="shared" si="154"/>
        <v>-1.0202378721724747E-4</v>
      </c>
      <c r="P1269" s="25">
        <f t="shared" si="155"/>
        <v>0</v>
      </c>
      <c r="Q1269" s="25">
        <f t="shared" si="159"/>
        <v>752.29765695046751</v>
      </c>
      <c r="R1269" s="25">
        <f t="shared" si="156"/>
        <v>1</v>
      </c>
      <c r="S1269" s="26">
        <f t="shared" si="157"/>
        <v>1</v>
      </c>
    </row>
    <row r="1270" spans="2:19" x14ac:dyDescent="0.3">
      <c r="B1270" s="24">
        <v>377348</v>
      </c>
      <c r="C1270" s="25">
        <v>35</v>
      </c>
      <c r="D1270" s="25">
        <v>1</v>
      </c>
      <c r="E1270" s="25">
        <v>18</v>
      </c>
      <c r="F1270" s="25">
        <v>4</v>
      </c>
      <c r="G1270" s="25">
        <v>63</v>
      </c>
      <c r="H1270" s="25">
        <v>1.6</v>
      </c>
      <c r="I1270" s="25">
        <v>0.42</v>
      </c>
      <c r="J1270" s="25">
        <v>0.57999999999999996</v>
      </c>
      <c r="K1270" s="26">
        <v>0</v>
      </c>
      <c r="L1270" s="25">
        <f t="shared" si="152"/>
        <v>-5.0266413144548592</v>
      </c>
      <c r="M1270" s="25">
        <f t="shared" si="158"/>
        <v>6.5180456473123375E-3</v>
      </c>
      <c r="N1270" s="25">
        <f t="shared" si="153"/>
        <v>0.99348195435268771</v>
      </c>
      <c r="O1270" s="25">
        <f t="shared" si="154"/>
        <v>-6.5393808666643427E-3</v>
      </c>
      <c r="P1270" s="25">
        <f t="shared" si="155"/>
        <v>0</v>
      </c>
      <c r="Q1270" s="25">
        <f t="shared" si="159"/>
        <v>632.16120582314909</v>
      </c>
      <c r="R1270" s="25">
        <f t="shared" si="156"/>
        <v>3</v>
      </c>
      <c r="S1270" s="26">
        <f t="shared" si="157"/>
        <v>4</v>
      </c>
    </row>
    <row r="1271" spans="2:19" x14ac:dyDescent="0.3">
      <c r="B1271" s="24">
        <v>377476</v>
      </c>
      <c r="C1271" s="25">
        <v>25</v>
      </c>
      <c r="D1271" s="25">
        <v>4</v>
      </c>
      <c r="E1271" s="25">
        <v>0</v>
      </c>
      <c r="F1271" s="25">
        <v>3</v>
      </c>
      <c r="G1271" s="25">
        <v>68</v>
      </c>
      <c r="H1271" s="25">
        <v>4.5</v>
      </c>
      <c r="I1271" s="25">
        <v>1.1299999999999999</v>
      </c>
      <c r="J1271" s="25">
        <v>1.93</v>
      </c>
      <c r="K1271" s="26">
        <v>1</v>
      </c>
      <c r="L1271" s="25">
        <f t="shared" si="152"/>
        <v>-0.20565276885040087</v>
      </c>
      <c r="M1271" s="25">
        <f t="shared" si="158"/>
        <v>0.44876724646968863</v>
      </c>
      <c r="N1271" s="25">
        <f t="shared" si="153"/>
        <v>0.44876724646968863</v>
      </c>
      <c r="O1271" s="25">
        <f t="shared" si="154"/>
        <v>-0.80125090767371676</v>
      </c>
      <c r="P1271" s="25">
        <f t="shared" si="155"/>
        <v>1</v>
      </c>
      <c r="Q1271" s="25">
        <f t="shared" si="159"/>
        <v>493.05688442713256</v>
      </c>
      <c r="R1271" s="25">
        <f t="shared" si="156"/>
        <v>7</v>
      </c>
      <c r="S1271" s="26">
        <f t="shared" si="157"/>
        <v>14</v>
      </c>
    </row>
    <row r="1272" spans="2:19" x14ac:dyDescent="0.3">
      <c r="B1272" s="24">
        <v>377479</v>
      </c>
      <c r="C1272" s="25">
        <v>29</v>
      </c>
      <c r="D1272" s="25">
        <v>1</v>
      </c>
      <c r="E1272" s="25">
        <v>11</v>
      </c>
      <c r="F1272" s="25">
        <v>2</v>
      </c>
      <c r="G1272" s="25">
        <v>39</v>
      </c>
      <c r="H1272" s="25">
        <v>3.2</v>
      </c>
      <c r="I1272" s="25">
        <v>0.56999999999999995</v>
      </c>
      <c r="J1272" s="25">
        <v>0.68</v>
      </c>
      <c r="K1272" s="26">
        <v>0</v>
      </c>
      <c r="L1272" s="25">
        <f t="shared" si="152"/>
        <v>-3.0205174577594409</v>
      </c>
      <c r="M1272" s="25">
        <f t="shared" si="158"/>
        <v>4.6507522685895933E-2</v>
      </c>
      <c r="N1272" s="25">
        <f t="shared" si="153"/>
        <v>0.95349247731410403</v>
      </c>
      <c r="O1272" s="25">
        <f t="shared" si="154"/>
        <v>-4.7623743522755516E-2</v>
      </c>
      <c r="P1272" s="25">
        <f t="shared" si="155"/>
        <v>0</v>
      </c>
      <c r="Q1272" s="25">
        <f t="shared" si="159"/>
        <v>574.2767086744451</v>
      </c>
      <c r="R1272" s="25">
        <f t="shared" si="156"/>
        <v>5</v>
      </c>
      <c r="S1272" s="26">
        <f t="shared" si="157"/>
        <v>9</v>
      </c>
    </row>
    <row r="1273" spans="2:19" x14ac:dyDescent="0.3">
      <c r="B1273" s="24">
        <v>377481</v>
      </c>
      <c r="C1273" s="25">
        <v>20</v>
      </c>
      <c r="D1273" s="25">
        <v>2</v>
      </c>
      <c r="E1273" s="25">
        <v>0</v>
      </c>
      <c r="F1273" s="25">
        <v>0</v>
      </c>
      <c r="G1273" s="25">
        <v>24</v>
      </c>
      <c r="H1273" s="25">
        <v>1.1000000000000001</v>
      </c>
      <c r="I1273" s="25">
        <v>0.08</v>
      </c>
      <c r="J1273" s="25">
        <v>0.19</v>
      </c>
      <c r="K1273" s="26">
        <v>1</v>
      </c>
      <c r="L1273" s="25">
        <f t="shared" si="152"/>
        <v>-0.78268705767162339</v>
      </c>
      <c r="M1273" s="25">
        <f t="shared" si="158"/>
        <v>0.31374105275996733</v>
      </c>
      <c r="N1273" s="25">
        <f t="shared" si="153"/>
        <v>0.31374105275996733</v>
      </c>
      <c r="O1273" s="25">
        <f t="shared" si="154"/>
        <v>-1.1591873060424693</v>
      </c>
      <c r="P1273" s="25">
        <f t="shared" si="155"/>
        <v>0</v>
      </c>
      <c r="Q1273" s="25">
        <f t="shared" si="159"/>
        <v>509.70657409335126</v>
      </c>
      <c r="R1273" s="25">
        <f t="shared" si="156"/>
        <v>7</v>
      </c>
      <c r="S1273" s="26">
        <f t="shared" si="157"/>
        <v>14</v>
      </c>
    </row>
    <row r="1274" spans="2:19" x14ac:dyDescent="0.3">
      <c r="B1274" s="24">
        <v>377499</v>
      </c>
      <c r="C1274" s="25">
        <v>21</v>
      </c>
      <c r="D1274" s="25">
        <v>3</v>
      </c>
      <c r="E1274" s="25">
        <v>0</v>
      </c>
      <c r="F1274" s="25">
        <v>1</v>
      </c>
      <c r="G1274" s="25">
        <v>17</v>
      </c>
      <c r="H1274" s="25">
        <v>7.8</v>
      </c>
      <c r="I1274" s="25">
        <v>0.21</v>
      </c>
      <c r="J1274" s="25">
        <v>1.1100000000000001</v>
      </c>
      <c r="K1274" s="26">
        <v>0</v>
      </c>
      <c r="L1274" s="25">
        <f t="shared" si="152"/>
        <v>-0.13963396937043798</v>
      </c>
      <c r="M1274" s="25">
        <f t="shared" si="158"/>
        <v>0.46514811673601275</v>
      </c>
      <c r="N1274" s="25">
        <f t="shared" si="153"/>
        <v>0.53485188326398725</v>
      </c>
      <c r="O1274" s="25">
        <f t="shared" si="154"/>
        <v>-0.62576542412936775</v>
      </c>
      <c r="P1274" s="25">
        <f t="shared" si="155"/>
        <v>1</v>
      </c>
      <c r="Q1274" s="25">
        <f t="shared" si="159"/>
        <v>491.15198458881764</v>
      </c>
      <c r="R1274" s="25">
        <f t="shared" si="156"/>
        <v>7</v>
      </c>
      <c r="S1274" s="26">
        <f t="shared" si="157"/>
        <v>15</v>
      </c>
    </row>
    <row r="1275" spans="2:19" x14ac:dyDescent="0.3">
      <c r="B1275" s="24">
        <v>377510</v>
      </c>
      <c r="C1275" s="25">
        <v>18</v>
      </c>
      <c r="D1275" s="25">
        <v>2</v>
      </c>
      <c r="E1275" s="25">
        <v>0</v>
      </c>
      <c r="F1275" s="25">
        <v>0</v>
      </c>
      <c r="G1275" s="25">
        <v>19</v>
      </c>
      <c r="H1275" s="25">
        <v>7</v>
      </c>
      <c r="I1275" s="25">
        <v>0.28000000000000003</v>
      </c>
      <c r="J1275" s="25">
        <v>1.05</v>
      </c>
      <c r="K1275" s="26">
        <v>1</v>
      </c>
      <c r="L1275" s="25">
        <f t="shared" si="152"/>
        <v>-3.6442491796811971E-2</v>
      </c>
      <c r="M1275" s="25">
        <f t="shared" si="158"/>
        <v>0.49089038520109757</v>
      </c>
      <c r="N1275" s="25">
        <f t="shared" si="153"/>
        <v>0.49089038520109757</v>
      </c>
      <c r="O1275" s="25">
        <f t="shared" si="154"/>
        <v>-0.7115344241741125</v>
      </c>
      <c r="P1275" s="25">
        <f t="shared" si="155"/>
        <v>1</v>
      </c>
      <c r="Q1275" s="25">
        <f t="shared" si="159"/>
        <v>488.17450801405602</v>
      </c>
      <c r="R1275" s="25">
        <f t="shared" si="156"/>
        <v>7</v>
      </c>
      <c r="S1275" s="26">
        <f t="shared" si="157"/>
        <v>15</v>
      </c>
    </row>
    <row r="1276" spans="2:19" x14ac:dyDescent="0.3">
      <c r="B1276" s="24">
        <v>377525</v>
      </c>
      <c r="C1276" s="25">
        <v>23</v>
      </c>
      <c r="D1276" s="25">
        <v>1</v>
      </c>
      <c r="E1276" s="25">
        <v>6</v>
      </c>
      <c r="F1276" s="25">
        <v>3</v>
      </c>
      <c r="G1276" s="25">
        <v>29</v>
      </c>
      <c r="H1276" s="25">
        <v>12.9</v>
      </c>
      <c r="I1276" s="25">
        <v>0.59</v>
      </c>
      <c r="J1276" s="25">
        <v>3.15</v>
      </c>
      <c r="K1276" s="26">
        <v>0</v>
      </c>
      <c r="L1276" s="25">
        <f t="shared" si="152"/>
        <v>-0.75656258523625142</v>
      </c>
      <c r="M1276" s="25">
        <f t="shared" si="158"/>
        <v>0.31939303094902688</v>
      </c>
      <c r="N1276" s="25">
        <f t="shared" si="153"/>
        <v>0.68060696905097307</v>
      </c>
      <c r="O1276" s="25">
        <f t="shared" si="154"/>
        <v>-0.38477027739829783</v>
      </c>
      <c r="P1276" s="25">
        <f t="shared" si="155"/>
        <v>0</v>
      </c>
      <c r="Q1276" s="25">
        <f t="shared" si="159"/>
        <v>508.95278117814826</v>
      </c>
      <c r="R1276" s="25">
        <f t="shared" si="156"/>
        <v>7</v>
      </c>
      <c r="S1276" s="26">
        <f t="shared" si="157"/>
        <v>14</v>
      </c>
    </row>
    <row r="1277" spans="2:19" x14ac:dyDescent="0.3">
      <c r="B1277" s="24">
        <v>377533</v>
      </c>
      <c r="C1277" s="25">
        <v>25</v>
      </c>
      <c r="D1277" s="25">
        <v>1</v>
      </c>
      <c r="E1277" s="25">
        <v>5</v>
      </c>
      <c r="F1277" s="25">
        <v>3</v>
      </c>
      <c r="G1277" s="25">
        <v>29</v>
      </c>
      <c r="H1277" s="25">
        <v>2.7</v>
      </c>
      <c r="I1277" s="25">
        <v>0.16</v>
      </c>
      <c r="J1277" s="25">
        <v>0.62</v>
      </c>
      <c r="K1277" s="26">
        <v>0</v>
      </c>
      <c r="L1277" s="25">
        <f t="shared" si="152"/>
        <v>-1.8569992432770632</v>
      </c>
      <c r="M1277" s="25">
        <f t="shared" si="158"/>
        <v>0.13505319812952477</v>
      </c>
      <c r="N1277" s="25">
        <f t="shared" si="153"/>
        <v>0.86494680187047523</v>
      </c>
      <c r="O1277" s="25">
        <f t="shared" si="154"/>
        <v>-0.14508727466927931</v>
      </c>
      <c r="P1277" s="25">
        <f t="shared" si="155"/>
        <v>0</v>
      </c>
      <c r="Q1277" s="25">
        <f t="shared" si="159"/>
        <v>540.70467046559202</v>
      </c>
      <c r="R1277" s="25">
        <f t="shared" si="156"/>
        <v>6</v>
      </c>
      <c r="S1277" s="26">
        <f t="shared" si="157"/>
        <v>11</v>
      </c>
    </row>
    <row r="1278" spans="2:19" x14ac:dyDescent="0.3">
      <c r="B1278" s="24">
        <v>377604</v>
      </c>
      <c r="C1278" s="25">
        <v>42</v>
      </c>
      <c r="D1278" s="25">
        <v>4</v>
      </c>
      <c r="E1278" s="25">
        <v>14</v>
      </c>
      <c r="F1278" s="25">
        <v>6</v>
      </c>
      <c r="G1278" s="25">
        <v>55</v>
      </c>
      <c r="H1278" s="25">
        <v>9.1</v>
      </c>
      <c r="I1278" s="25">
        <v>1.49</v>
      </c>
      <c r="J1278" s="25">
        <v>3.51</v>
      </c>
      <c r="K1278" s="26">
        <v>0</v>
      </c>
      <c r="L1278" s="25">
        <f t="shared" si="152"/>
        <v>-3.1723071164283065</v>
      </c>
      <c r="M1278" s="25">
        <f t="shared" si="158"/>
        <v>4.02212580988172E-2</v>
      </c>
      <c r="N1278" s="25">
        <f t="shared" si="153"/>
        <v>0.95977874190118284</v>
      </c>
      <c r="O1278" s="25">
        <f t="shared" si="154"/>
        <v>-4.1052498270471367E-2</v>
      </c>
      <c r="P1278" s="25">
        <f t="shared" si="155"/>
        <v>0</v>
      </c>
      <c r="Q1278" s="25">
        <f t="shared" si="159"/>
        <v>578.65643230671071</v>
      </c>
      <c r="R1278" s="25">
        <f t="shared" si="156"/>
        <v>5</v>
      </c>
      <c r="S1278" s="26">
        <f t="shared" si="157"/>
        <v>8</v>
      </c>
    </row>
    <row r="1279" spans="2:19" x14ac:dyDescent="0.3">
      <c r="B1279" s="24">
        <v>377692</v>
      </c>
      <c r="C1279" s="25">
        <v>35</v>
      </c>
      <c r="D1279" s="25">
        <v>4</v>
      </c>
      <c r="E1279" s="25">
        <v>0</v>
      </c>
      <c r="F1279" s="25">
        <v>8</v>
      </c>
      <c r="G1279" s="25">
        <v>144</v>
      </c>
      <c r="H1279" s="25">
        <v>3.2</v>
      </c>
      <c r="I1279" s="25">
        <v>1.52</v>
      </c>
      <c r="J1279" s="25">
        <v>3.09</v>
      </c>
      <c r="K1279" s="26">
        <v>1</v>
      </c>
      <c r="L1279" s="25">
        <f t="shared" si="152"/>
        <v>-0.4833400288669899</v>
      </c>
      <c r="M1279" s="25">
        <f t="shared" si="158"/>
        <v>0.38146373684268947</v>
      </c>
      <c r="N1279" s="25">
        <f t="shared" si="153"/>
        <v>0.38146373684268947</v>
      </c>
      <c r="O1279" s="25">
        <f t="shared" si="154"/>
        <v>-0.96373948692316014</v>
      </c>
      <c r="P1279" s="25">
        <f t="shared" si="155"/>
        <v>0</v>
      </c>
      <c r="Q1279" s="25">
        <f t="shared" si="159"/>
        <v>501.06924485892523</v>
      </c>
      <c r="R1279" s="25">
        <f t="shared" si="156"/>
        <v>7</v>
      </c>
      <c r="S1279" s="26">
        <f t="shared" si="157"/>
        <v>14</v>
      </c>
    </row>
    <row r="1280" spans="2:19" x14ac:dyDescent="0.3">
      <c r="B1280" s="24">
        <v>377707</v>
      </c>
      <c r="C1280" s="25">
        <v>35</v>
      </c>
      <c r="D1280" s="25">
        <v>5</v>
      </c>
      <c r="E1280" s="25">
        <v>2</v>
      </c>
      <c r="F1280" s="25">
        <v>9</v>
      </c>
      <c r="G1280" s="25">
        <v>41</v>
      </c>
      <c r="H1280" s="25">
        <v>10.5</v>
      </c>
      <c r="I1280" s="25">
        <v>0.49</v>
      </c>
      <c r="J1280" s="25">
        <v>3.81</v>
      </c>
      <c r="K1280" s="26">
        <v>1</v>
      </c>
      <c r="L1280" s="25">
        <f t="shared" si="152"/>
        <v>-0.78715716251380119</v>
      </c>
      <c r="M1280" s="25">
        <f t="shared" si="158"/>
        <v>0.31277940745850796</v>
      </c>
      <c r="N1280" s="25">
        <f t="shared" si="153"/>
        <v>0.31277940745850796</v>
      </c>
      <c r="O1280" s="25">
        <f t="shared" si="154"/>
        <v>-1.1622571054112223</v>
      </c>
      <c r="P1280" s="25">
        <f t="shared" si="155"/>
        <v>0</v>
      </c>
      <c r="Q1280" s="25">
        <f t="shared" si="159"/>
        <v>509.83555405145694</v>
      </c>
      <c r="R1280" s="25">
        <f t="shared" si="156"/>
        <v>7</v>
      </c>
      <c r="S1280" s="26">
        <f t="shared" si="157"/>
        <v>14</v>
      </c>
    </row>
    <row r="1281" spans="2:19" x14ac:dyDescent="0.3">
      <c r="B1281" s="24">
        <v>377783</v>
      </c>
      <c r="C1281" s="25">
        <v>38</v>
      </c>
      <c r="D1281" s="25">
        <v>1</v>
      </c>
      <c r="E1281" s="25">
        <v>11</v>
      </c>
      <c r="F1281" s="25">
        <v>10</v>
      </c>
      <c r="G1281" s="25">
        <v>33</v>
      </c>
      <c r="H1281" s="25">
        <v>10.5</v>
      </c>
      <c r="I1281" s="25">
        <v>1.59</v>
      </c>
      <c r="J1281" s="25">
        <v>1.88</v>
      </c>
      <c r="K1281" s="26">
        <v>0</v>
      </c>
      <c r="L1281" s="25">
        <f t="shared" si="152"/>
        <v>-2.2362294067662183</v>
      </c>
      <c r="M1281" s="25">
        <f t="shared" si="158"/>
        <v>9.6543924953277682E-2</v>
      </c>
      <c r="N1281" s="25">
        <f t="shared" si="153"/>
        <v>0.90345607504672232</v>
      </c>
      <c r="O1281" s="25">
        <f t="shared" si="154"/>
        <v>-0.10152778657138094</v>
      </c>
      <c r="P1281" s="25">
        <f t="shared" si="155"/>
        <v>0</v>
      </c>
      <c r="Q1281" s="25">
        <f t="shared" si="159"/>
        <v>551.64693967989183</v>
      </c>
      <c r="R1281" s="25">
        <f t="shared" si="156"/>
        <v>6</v>
      </c>
      <c r="S1281" s="26">
        <f t="shared" si="157"/>
        <v>11</v>
      </c>
    </row>
    <row r="1282" spans="2:19" x14ac:dyDescent="0.3">
      <c r="B1282" s="24">
        <v>377794</v>
      </c>
      <c r="C1282" s="25">
        <v>56</v>
      </c>
      <c r="D1282" s="25">
        <v>1</v>
      </c>
      <c r="E1282" s="25">
        <v>30</v>
      </c>
      <c r="F1282" s="25">
        <v>10</v>
      </c>
      <c r="G1282" s="25">
        <v>144</v>
      </c>
      <c r="H1282" s="25">
        <v>8.1</v>
      </c>
      <c r="I1282" s="25">
        <v>6.4</v>
      </c>
      <c r="J1282" s="25">
        <v>5.26</v>
      </c>
      <c r="K1282" s="26">
        <v>0</v>
      </c>
      <c r="L1282" s="25">
        <f t="shared" si="152"/>
        <v>-4.7745857307275221</v>
      </c>
      <c r="M1282" s="25">
        <f t="shared" si="158"/>
        <v>8.3709166839428806E-3</v>
      </c>
      <c r="N1282" s="25">
        <f t="shared" si="153"/>
        <v>0.99162908331605715</v>
      </c>
      <c r="O1282" s="25">
        <f t="shared" si="154"/>
        <v>-8.4061495657937971E-3</v>
      </c>
      <c r="P1282" s="25">
        <f t="shared" si="155"/>
        <v>0</v>
      </c>
      <c r="Q1282" s="25">
        <f t="shared" si="159"/>
        <v>624.88841921583889</v>
      </c>
      <c r="R1282" s="25">
        <f t="shared" si="156"/>
        <v>3</v>
      </c>
      <c r="S1282" s="26">
        <f t="shared" si="157"/>
        <v>5</v>
      </c>
    </row>
    <row r="1283" spans="2:19" x14ac:dyDescent="0.3">
      <c r="B1283" s="24">
        <v>377845</v>
      </c>
      <c r="C1283" s="25">
        <v>48</v>
      </c>
      <c r="D1283" s="25">
        <v>3</v>
      </c>
      <c r="E1283" s="25">
        <v>13</v>
      </c>
      <c r="F1283" s="25">
        <v>10</v>
      </c>
      <c r="G1283" s="25">
        <v>153</v>
      </c>
      <c r="H1283" s="25">
        <v>2.2999999999999998</v>
      </c>
      <c r="I1283" s="25">
        <v>1.77</v>
      </c>
      <c r="J1283" s="25">
        <v>1.75</v>
      </c>
      <c r="K1283" s="26">
        <v>0</v>
      </c>
      <c r="L1283" s="25">
        <f t="shared" si="152"/>
        <v>-3.7199586965741909</v>
      </c>
      <c r="M1283" s="25">
        <f t="shared" si="158"/>
        <v>2.3661532314562039E-2</v>
      </c>
      <c r="N1283" s="25">
        <f t="shared" si="153"/>
        <v>0.97633846768543797</v>
      </c>
      <c r="O1283" s="25">
        <f t="shared" si="154"/>
        <v>-2.3945962025718054E-2</v>
      </c>
      <c r="P1283" s="25">
        <f t="shared" si="155"/>
        <v>0</v>
      </c>
      <c r="Q1283" s="25">
        <f t="shared" si="159"/>
        <v>594.45831623508207</v>
      </c>
      <c r="R1283" s="25">
        <f t="shared" si="156"/>
        <v>4</v>
      </c>
      <c r="S1283" s="26">
        <f t="shared" si="157"/>
        <v>7</v>
      </c>
    </row>
    <row r="1284" spans="2:19" x14ac:dyDescent="0.3">
      <c r="B1284" s="24">
        <v>377846</v>
      </c>
      <c r="C1284" s="25">
        <v>28</v>
      </c>
      <c r="D1284" s="25">
        <v>3</v>
      </c>
      <c r="E1284" s="25">
        <v>6</v>
      </c>
      <c r="F1284" s="25">
        <v>5</v>
      </c>
      <c r="G1284" s="25">
        <v>30</v>
      </c>
      <c r="H1284" s="25">
        <v>20.5</v>
      </c>
      <c r="I1284" s="25">
        <v>1.29</v>
      </c>
      <c r="J1284" s="25">
        <v>4.8600000000000003</v>
      </c>
      <c r="K1284" s="26">
        <v>0</v>
      </c>
      <c r="L1284" s="25">
        <f t="shared" si="152"/>
        <v>9.5413089863259748E-2</v>
      </c>
      <c r="M1284" s="25">
        <f t="shared" si="158"/>
        <v>0.52383519292230374</v>
      </c>
      <c r="N1284" s="25">
        <f t="shared" si="153"/>
        <v>0.47616480707769626</v>
      </c>
      <c r="O1284" s="25">
        <f t="shared" si="154"/>
        <v>-0.74199125131914923</v>
      </c>
      <c r="P1284" s="25">
        <f t="shared" si="155"/>
        <v>1</v>
      </c>
      <c r="Q1284" s="25">
        <f t="shared" si="159"/>
        <v>484.3699602463945</v>
      </c>
      <c r="R1284" s="25">
        <f t="shared" si="156"/>
        <v>7</v>
      </c>
      <c r="S1284" s="26">
        <f t="shared" si="157"/>
        <v>15</v>
      </c>
    </row>
    <row r="1285" spans="2:19" x14ac:dyDescent="0.3">
      <c r="B1285" s="24">
        <v>377864</v>
      </c>
      <c r="C1285" s="25">
        <v>25</v>
      </c>
      <c r="D1285" s="25">
        <v>4</v>
      </c>
      <c r="E1285" s="25">
        <v>1</v>
      </c>
      <c r="F1285" s="25">
        <v>1</v>
      </c>
      <c r="G1285" s="25">
        <v>75</v>
      </c>
      <c r="H1285" s="25">
        <v>11.1</v>
      </c>
      <c r="I1285" s="25">
        <v>2.65</v>
      </c>
      <c r="J1285" s="25">
        <v>5.68</v>
      </c>
      <c r="K1285" s="26">
        <v>1</v>
      </c>
      <c r="L1285" s="25">
        <f t="shared" ref="L1285:L1348" si="160">$Y$4+SUMPRODUCT($Z$4:$AG$4,C1285:J1285)</f>
        <v>1.1066833198267143</v>
      </c>
      <c r="M1285" s="25">
        <f t="shared" si="158"/>
        <v>0.75151026279931532</v>
      </c>
      <c r="N1285" s="25">
        <f t="shared" ref="N1285:N1348" si="161">IF(K1285=1,M1285,(1-M1285))</f>
        <v>0.75151026279931532</v>
      </c>
      <c r="O1285" s="25">
        <f t="shared" ref="O1285:O1348" si="162">LN(N1285)</f>
        <v>-0.28567041346277466</v>
      </c>
      <c r="P1285" s="25">
        <f t="shared" ref="P1285:P1348" si="163">IF(M1285&gt;0.4,1,0)</f>
        <v>1</v>
      </c>
      <c r="Q1285" s="25">
        <f t="shared" si="159"/>
        <v>455.19087015805195</v>
      </c>
      <c r="R1285" s="25">
        <f t="shared" ref="R1285:R1348" si="164">VLOOKUP(M1285,$U$9:$W$16,3,TRUE)</f>
        <v>8</v>
      </c>
      <c r="S1285" s="26">
        <f t="shared" ref="S1285:S1348" si="165">VLOOKUP(M1285,$U$21:$W$37,3,TRUE)</f>
        <v>16</v>
      </c>
    </row>
    <row r="1286" spans="2:19" x14ac:dyDescent="0.3">
      <c r="B1286" s="24">
        <v>377901</v>
      </c>
      <c r="C1286" s="25">
        <v>43</v>
      </c>
      <c r="D1286" s="25">
        <v>1</v>
      </c>
      <c r="E1286" s="25">
        <v>6</v>
      </c>
      <c r="F1286" s="25">
        <v>10</v>
      </c>
      <c r="G1286" s="25">
        <v>54</v>
      </c>
      <c r="H1286" s="25">
        <v>2.2999999999999998</v>
      </c>
      <c r="I1286" s="25">
        <v>0.72</v>
      </c>
      <c r="J1286" s="25">
        <v>0.52</v>
      </c>
      <c r="K1286" s="26">
        <v>0</v>
      </c>
      <c r="L1286" s="25">
        <f t="shared" si="160"/>
        <v>-2.4716293313899693</v>
      </c>
      <c r="M1286" s="25">
        <f t="shared" ref="M1286:M1349" si="166">EXP(L1286)/(1+EXP(L1286))</f>
        <v>7.7871156840462558E-2</v>
      </c>
      <c r="N1286" s="25">
        <f t="shared" si="161"/>
        <v>0.92212884315953747</v>
      </c>
      <c r="O1286" s="25">
        <f t="shared" si="162"/>
        <v>-8.107032206556132E-2</v>
      </c>
      <c r="P1286" s="25">
        <f t="shared" si="163"/>
        <v>0</v>
      </c>
      <c r="Q1286" s="25">
        <f t="shared" si="159"/>
        <v>558.43914556499305</v>
      </c>
      <c r="R1286" s="25">
        <f t="shared" si="164"/>
        <v>5</v>
      </c>
      <c r="S1286" s="26">
        <f t="shared" si="165"/>
        <v>10</v>
      </c>
    </row>
    <row r="1287" spans="2:19" x14ac:dyDescent="0.3">
      <c r="B1287" s="24">
        <v>377927</v>
      </c>
      <c r="C1287" s="25">
        <v>20</v>
      </c>
      <c r="D1287" s="25">
        <v>3</v>
      </c>
      <c r="E1287" s="25">
        <v>0</v>
      </c>
      <c r="F1287" s="25">
        <v>1</v>
      </c>
      <c r="G1287" s="25">
        <v>22</v>
      </c>
      <c r="H1287" s="25">
        <v>10</v>
      </c>
      <c r="I1287" s="25">
        <v>0.88</v>
      </c>
      <c r="J1287" s="25">
        <v>1.32</v>
      </c>
      <c r="K1287" s="26">
        <v>0</v>
      </c>
      <c r="L1287" s="25">
        <f t="shared" si="160"/>
        <v>0.42492137437987881</v>
      </c>
      <c r="M1287" s="25">
        <f t="shared" si="166"/>
        <v>0.60466028971110219</v>
      </c>
      <c r="N1287" s="25">
        <f t="shared" si="161"/>
        <v>0.39533971028889781</v>
      </c>
      <c r="O1287" s="25">
        <f t="shared" si="162"/>
        <v>-0.92800985764367283</v>
      </c>
      <c r="P1287" s="25">
        <f t="shared" si="163"/>
        <v>1</v>
      </c>
      <c r="Q1287" s="25">
        <f t="shared" si="159"/>
        <v>474.86236115578043</v>
      </c>
      <c r="R1287" s="25">
        <f t="shared" si="164"/>
        <v>7</v>
      </c>
      <c r="S1287" s="26">
        <f t="shared" si="165"/>
        <v>15</v>
      </c>
    </row>
    <row r="1288" spans="2:19" x14ac:dyDescent="0.3">
      <c r="B1288" s="24">
        <v>377983</v>
      </c>
      <c r="C1288" s="25">
        <v>34</v>
      </c>
      <c r="D1288" s="25">
        <v>4</v>
      </c>
      <c r="E1288" s="25">
        <v>2</v>
      </c>
      <c r="F1288" s="25">
        <v>5</v>
      </c>
      <c r="G1288" s="25">
        <v>55</v>
      </c>
      <c r="H1288" s="25">
        <v>12.7</v>
      </c>
      <c r="I1288" s="25">
        <v>4.78</v>
      </c>
      <c r="J1288" s="25">
        <v>2.21</v>
      </c>
      <c r="K1288" s="26">
        <v>1</v>
      </c>
      <c r="L1288" s="25">
        <f t="shared" si="160"/>
        <v>1.6325110665980558</v>
      </c>
      <c r="M1288" s="25">
        <f t="shared" si="166"/>
        <v>0.83651333941098449</v>
      </c>
      <c r="N1288" s="25">
        <f t="shared" si="161"/>
        <v>0.83651333941098449</v>
      </c>
      <c r="O1288" s="25">
        <f t="shared" si="162"/>
        <v>-0.17851281198666799</v>
      </c>
      <c r="P1288" s="25">
        <f t="shared" si="163"/>
        <v>1</v>
      </c>
      <c r="Q1288" s="25">
        <f t="shared" si="159"/>
        <v>440.01868893548635</v>
      </c>
      <c r="R1288" s="25">
        <f t="shared" si="164"/>
        <v>8</v>
      </c>
      <c r="S1288" s="26">
        <f t="shared" si="165"/>
        <v>16</v>
      </c>
    </row>
    <row r="1289" spans="2:19" x14ac:dyDescent="0.3">
      <c r="B1289" s="24">
        <v>377990</v>
      </c>
      <c r="C1289" s="25">
        <v>25</v>
      </c>
      <c r="D1289" s="25">
        <v>3</v>
      </c>
      <c r="E1289" s="25">
        <v>3</v>
      </c>
      <c r="F1289" s="25">
        <v>3</v>
      </c>
      <c r="G1289" s="25">
        <v>36</v>
      </c>
      <c r="H1289" s="25">
        <v>10.199999999999999</v>
      </c>
      <c r="I1289" s="25">
        <v>0.52</v>
      </c>
      <c r="J1289" s="25">
        <v>3.15</v>
      </c>
      <c r="K1289" s="26">
        <v>1</v>
      </c>
      <c r="L1289" s="25">
        <f t="shared" si="160"/>
        <v>-0.52847256838000611</v>
      </c>
      <c r="M1289" s="25">
        <f t="shared" si="166"/>
        <v>0.37087320761042791</v>
      </c>
      <c r="N1289" s="25">
        <f t="shared" si="161"/>
        <v>0.37087320761042791</v>
      </c>
      <c r="O1289" s="25">
        <f t="shared" si="162"/>
        <v>-0.99189503324989281</v>
      </c>
      <c r="P1289" s="25">
        <f t="shared" si="163"/>
        <v>0</v>
      </c>
      <c r="Q1289" s="25">
        <f t="shared" ref="Q1289:Q1352" si="167">28.8539*LN((1-M1289)/(M1289))+487.123</f>
        <v>502.37149464077987</v>
      </c>
      <c r="R1289" s="25">
        <f t="shared" si="164"/>
        <v>7</v>
      </c>
      <c r="S1289" s="26">
        <f t="shared" si="165"/>
        <v>14</v>
      </c>
    </row>
    <row r="1290" spans="2:19" x14ac:dyDescent="0.3">
      <c r="B1290" s="24">
        <v>377997</v>
      </c>
      <c r="C1290" s="25">
        <v>34</v>
      </c>
      <c r="D1290" s="25">
        <v>2</v>
      </c>
      <c r="E1290" s="25">
        <v>13</v>
      </c>
      <c r="F1290" s="25">
        <v>6</v>
      </c>
      <c r="G1290" s="25">
        <v>50</v>
      </c>
      <c r="H1290" s="25">
        <v>16.600000000000001</v>
      </c>
      <c r="I1290" s="25">
        <v>6.76</v>
      </c>
      <c r="J1290" s="25">
        <v>1.54</v>
      </c>
      <c r="K1290" s="26">
        <v>0</v>
      </c>
      <c r="L1290" s="25">
        <f t="shared" si="160"/>
        <v>0.52666923808200883</v>
      </c>
      <c r="M1290" s="25">
        <f t="shared" si="166"/>
        <v>0.62870593016769083</v>
      </c>
      <c r="N1290" s="25">
        <f t="shared" si="161"/>
        <v>0.37129406983230917</v>
      </c>
      <c r="O1290" s="25">
        <f t="shared" si="162"/>
        <v>-0.99076088929128625</v>
      </c>
      <c r="P1290" s="25">
        <f t="shared" si="163"/>
        <v>1</v>
      </c>
      <c r="Q1290" s="25">
        <f t="shared" si="167"/>
        <v>471.92653847130549</v>
      </c>
      <c r="R1290" s="25">
        <f t="shared" si="164"/>
        <v>7</v>
      </c>
      <c r="S1290" s="26">
        <f t="shared" si="165"/>
        <v>15</v>
      </c>
    </row>
    <row r="1291" spans="2:19" x14ac:dyDescent="0.3">
      <c r="B1291" s="24">
        <v>378045</v>
      </c>
      <c r="C1291" s="25">
        <v>23</v>
      </c>
      <c r="D1291" s="25">
        <v>2</v>
      </c>
      <c r="E1291" s="25">
        <v>1</v>
      </c>
      <c r="F1291" s="25">
        <v>1</v>
      </c>
      <c r="G1291" s="25">
        <v>29</v>
      </c>
      <c r="H1291" s="25">
        <v>16.7</v>
      </c>
      <c r="I1291" s="25">
        <v>2.5099999999999998</v>
      </c>
      <c r="J1291" s="25">
        <v>2.33</v>
      </c>
      <c r="K1291" s="26">
        <v>1</v>
      </c>
      <c r="L1291" s="25">
        <f t="shared" si="160"/>
        <v>1.6539020580751995</v>
      </c>
      <c r="M1291" s="25">
        <f t="shared" si="166"/>
        <v>0.83941772758463928</v>
      </c>
      <c r="N1291" s="25">
        <f t="shared" si="161"/>
        <v>0.83941772758463928</v>
      </c>
      <c r="O1291" s="25">
        <f t="shared" si="162"/>
        <v>-0.17504680895297731</v>
      </c>
      <c r="P1291" s="25">
        <f t="shared" si="163"/>
        <v>1</v>
      </c>
      <c r="Q1291" s="25">
        <f t="shared" si="167"/>
        <v>439.40147540650401</v>
      </c>
      <c r="R1291" s="25">
        <f t="shared" si="164"/>
        <v>8</v>
      </c>
      <c r="S1291" s="26">
        <f t="shared" si="165"/>
        <v>16</v>
      </c>
    </row>
    <row r="1292" spans="2:19" x14ac:dyDescent="0.3">
      <c r="B1292" s="24">
        <v>378074</v>
      </c>
      <c r="C1292" s="25">
        <v>27</v>
      </c>
      <c r="D1292" s="25">
        <v>3</v>
      </c>
      <c r="E1292" s="25">
        <v>1</v>
      </c>
      <c r="F1292" s="25">
        <v>3</v>
      </c>
      <c r="G1292" s="25">
        <v>47</v>
      </c>
      <c r="H1292" s="25">
        <v>4.3</v>
      </c>
      <c r="I1292" s="25">
        <v>0.9</v>
      </c>
      <c r="J1292" s="25">
        <v>1.1200000000000001</v>
      </c>
      <c r="K1292" s="26">
        <v>0</v>
      </c>
      <c r="L1292" s="25">
        <f t="shared" si="160"/>
        <v>-0.57556112079109267</v>
      </c>
      <c r="M1292" s="25">
        <f t="shared" si="166"/>
        <v>0.35995461800714174</v>
      </c>
      <c r="N1292" s="25">
        <f t="shared" si="161"/>
        <v>0.64004538199285821</v>
      </c>
      <c r="O1292" s="25">
        <f t="shared" si="162"/>
        <v>-0.44621619577852867</v>
      </c>
      <c r="P1292" s="25">
        <f t="shared" si="163"/>
        <v>0</v>
      </c>
      <c r="Q1292" s="25">
        <f t="shared" si="167"/>
        <v>503.73018302319412</v>
      </c>
      <c r="R1292" s="25">
        <f t="shared" si="164"/>
        <v>7</v>
      </c>
      <c r="S1292" s="26">
        <f t="shared" si="165"/>
        <v>14</v>
      </c>
    </row>
    <row r="1293" spans="2:19" x14ac:dyDescent="0.3">
      <c r="B1293" s="24">
        <v>378163</v>
      </c>
      <c r="C1293" s="25">
        <v>24</v>
      </c>
      <c r="D1293" s="25">
        <v>1</v>
      </c>
      <c r="E1293" s="25">
        <v>0</v>
      </c>
      <c r="F1293" s="25">
        <v>1</v>
      </c>
      <c r="G1293" s="25">
        <v>28</v>
      </c>
      <c r="H1293" s="25">
        <v>1.5</v>
      </c>
      <c r="I1293" s="25">
        <v>0.2</v>
      </c>
      <c r="J1293" s="25">
        <v>0.22</v>
      </c>
      <c r="K1293" s="26">
        <v>0</v>
      </c>
      <c r="L1293" s="25">
        <f t="shared" si="160"/>
        <v>-0.7499069191849469</v>
      </c>
      <c r="M1293" s="25">
        <f t="shared" si="166"/>
        <v>0.32084158300647597</v>
      </c>
      <c r="N1293" s="25">
        <f t="shared" si="161"/>
        <v>0.67915841699352408</v>
      </c>
      <c r="O1293" s="25">
        <f t="shared" si="162"/>
        <v>-0.3869008693670028</v>
      </c>
      <c r="P1293" s="25">
        <f t="shared" si="163"/>
        <v>0</v>
      </c>
      <c r="Q1293" s="25">
        <f t="shared" si="167"/>
        <v>508.76073925547053</v>
      </c>
      <c r="R1293" s="25">
        <f t="shared" si="164"/>
        <v>7</v>
      </c>
      <c r="S1293" s="26">
        <f t="shared" si="165"/>
        <v>14</v>
      </c>
    </row>
    <row r="1294" spans="2:19" x14ac:dyDescent="0.3">
      <c r="B1294" s="24">
        <v>378173</v>
      </c>
      <c r="C1294" s="25">
        <v>20</v>
      </c>
      <c r="D1294" s="25">
        <v>3</v>
      </c>
      <c r="E1294" s="25">
        <v>0</v>
      </c>
      <c r="F1294" s="25">
        <v>1</v>
      </c>
      <c r="G1294" s="25">
        <v>17</v>
      </c>
      <c r="H1294" s="25">
        <v>10.5</v>
      </c>
      <c r="I1294" s="25">
        <v>0.3</v>
      </c>
      <c r="J1294" s="25">
        <v>1.49</v>
      </c>
      <c r="K1294" s="26">
        <v>0</v>
      </c>
      <c r="L1294" s="25">
        <f t="shared" si="160"/>
        <v>0.20314000110274627</v>
      </c>
      <c r="M1294" s="25">
        <f t="shared" si="166"/>
        <v>0.55061107738870296</v>
      </c>
      <c r="N1294" s="25">
        <f t="shared" si="161"/>
        <v>0.44938892261129704</v>
      </c>
      <c r="O1294" s="25">
        <f t="shared" si="162"/>
        <v>-0.79986656881976015</v>
      </c>
      <c r="P1294" s="25">
        <f t="shared" si="163"/>
        <v>1</v>
      </c>
      <c r="Q1294" s="25">
        <f t="shared" si="167"/>
        <v>481.26161872218148</v>
      </c>
      <c r="R1294" s="25">
        <f t="shared" si="164"/>
        <v>7</v>
      </c>
      <c r="S1294" s="26">
        <f t="shared" si="165"/>
        <v>15</v>
      </c>
    </row>
    <row r="1295" spans="2:19" x14ac:dyDescent="0.3">
      <c r="B1295" s="24">
        <v>378213</v>
      </c>
      <c r="C1295" s="25">
        <v>56</v>
      </c>
      <c r="D1295" s="25">
        <v>1</v>
      </c>
      <c r="E1295" s="25">
        <v>20</v>
      </c>
      <c r="F1295" s="25">
        <v>20</v>
      </c>
      <c r="G1295" s="25">
        <v>81</v>
      </c>
      <c r="H1295" s="25">
        <v>12.1</v>
      </c>
      <c r="I1295" s="25">
        <v>1.25</v>
      </c>
      <c r="J1295" s="25">
        <v>8.5500000000000007</v>
      </c>
      <c r="K1295" s="26">
        <v>0</v>
      </c>
      <c r="L1295" s="25">
        <f t="shared" si="160"/>
        <v>-4.8103422224197239</v>
      </c>
      <c r="M1295" s="25">
        <f t="shared" si="166"/>
        <v>8.0792655961599187E-3</v>
      </c>
      <c r="N1295" s="25">
        <f t="shared" si="161"/>
        <v>0.9919207344038401</v>
      </c>
      <c r="O1295" s="25">
        <f t="shared" si="162"/>
        <v>-8.1120797246642534E-3</v>
      </c>
      <c r="P1295" s="25">
        <f t="shared" si="163"/>
        <v>0</v>
      </c>
      <c r="Q1295" s="25">
        <f t="shared" si="167"/>
        <v>625.92013345147643</v>
      </c>
      <c r="R1295" s="25">
        <f t="shared" si="164"/>
        <v>3</v>
      </c>
      <c r="S1295" s="26">
        <f t="shared" si="165"/>
        <v>5</v>
      </c>
    </row>
    <row r="1296" spans="2:19" x14ac:dyDescent="0.3">
      <c r="B1296" s="24">
        <v>378246</v>
      </c>
      <c r="C1296" s="25">
        <v>37</v>
      </c>
      <c r="D1296" s="25">
        <v>4</v>
      </c>
      <c r="E1296" s="25">
        <v>9</v>
      </c>
      <c r="F1296" s="25">
        <v>7</v>
      </c>
      <c r="G1296" s="25">
        <v>72</v>
      </c>
      <c r="H1296" s="25">
        <v>24.7</v>
      </c>
      <c r="I1296" s="25">
        <v>2.1</v>
      </c>
      <c r="J1296" s="25">
        <v>15.69</v>
      </c>
      <c r="K1296" s="26">
        <v>1</v>
      </c>
      <c r="L1296" s="25">
        <f t="shared" si="160"/>
        <v>0.18744101496002435</v>
      </c>
      <c r="M1296" s="25">
        <f t="shared" si="166"/>
        <v>0.54672353453448286</v>
      </c>
      <c r="N1296" s="25">
        <f t="shared" si="161"/>
        <v>0.54672353453448286</v>
      </c>
      <c r="O1296" s="25">
        <f t="shared" si="162"/>
        <v>-0.6038120256549242</v>
      </c>
      <c r="P1296" s="25">
        <f t="shared" si="163"/>
        <v>1</v>
      </c>
      <c r="Q1296" s="25">
        <f t="shared" si="167"/>
        <v>481.71459569844495</v>
      </c>
      <c r="R1296" s="25">
        <f t="shared" si="164"/>
        <v>7</v>
      </c>
      <c r="S1296" s="26">
        <f t="shared" si="165"/>
        <v>15</v>
      </c>
    </row>
    <row r="1297" spans="2:19" x14ac:dyDescent="0.3">
      <c r="B1297" s="24">
        <v>378262</v>
      </c>
      <c r="C1297" s="25">
        <v>48</v>
      </c>
      <c r="D1297" s="25">
        <v>5</v>
      </c>
      <c r="E1297" s="25">
        <v>20</v>
      </c>
      <c r="F1297" s="25">
        <v>15</v>
      </c>
      <c r="G1297" s="25">
        <v>162</v>
      </c>
      <c r="H1297" s="25">
        <v>6.2</v>
      </c>
      <c r="I1297" s="25">
        <v>0.66</v>
      </c>
      <c r="J1297" s="25">
        <v>9.3800000000000008</v>
      </c>
      <c r="K1297" s="26">
        <v>0</v>
      </c>
      <c r="L1297" s="25">
        <f t="shared" si="160"/>
        <v>-5.5168617575042234</v>
      </c>
      <c r="M1297" s="25">
        <f t="shared" si="166"/>
        <v>4.0023557882786914E-3</v>
      </c>
      <c r="N1297" s="25">
        <f t="shared" si="161"/>
        <v>0.99599764421172132</v>
      </c>
      <c r="O1297" s="25">
        <f t="shared" si="162"/>
        <v>-4.0103866496118057E-3</v>
      </c>
      <c r="P1297" s="25">
        <f t="shared" si="163"/>
        <v>0</v>
      </c>
      <c r="Q1297" s="25">
        <f t="shared" si="167"/>
        <v>646.30597746485114</v>
      </c>
      <c r="R1297" s="25">
        <f t="shared" si="164"/>
        <v>3</v>
      </c>
      <c r="S1297" s="26">
        <f t="shared" si="165"/>
        <v>3</v>
      </c>
    </row>
    <row r="1298" spans="2:19" x14ac:dyDescent="0.3">
      <c r="B1298" s="24">
        <v>378264</v>
      </c>
      <c r="C1298" s="25">
        <v>28</v>
      </c>
      <c r="D1298" s="25">
        <v>2</v>
      </c>
      <c r="E1298" s="25">
        <v>2</v>
      </c>
      <c r="F1298" s="25">
        <v>2</v>
      </c>
      <c r="G1298" s="25">
        <v>24</v>
      </c>
      <c r="H1298" s="25">
        <v>3.7</v>
      </c>
      <c r="I1298" s="25">
        <v>0.34</v>
      </c>
      <c r="J1298" s="25">
        <v>0.55000000000000004</v>
      </c>
      <c r="K1298" s="26">
        <v>1</v>
      </c>
      <c r="L1298" s="25">
        <f t="shared" si="160"/>
        <v>-1.0818797351712337</v>
      </c>
      <c r="M1298" s="25">
        <f t="shared" si="166"/>
        <v>0.25315045908226363</v>
      </c>
      <c r="N1298" s="25">
        <f t="shared" si="161"/>
        <v>0.25315045908226363</v>
      </c>
      <c r="O1298" s="25">
        <f t="shared" si="162"/>
        <v>-1.3737712670886468</v>
      </c>
      <c r="P1298" s="25">
        <f t="shared" si="163"/>
        <v>0</v>
      </c>
      <c r="Q1298" s="25">
        <f t="shared" si="167"/>
        <v>518.33944969065726</v>
      </c>
      <c r="R1298" s="25">
        <f t="shared" si="164"/>
        <v>6</v>
      </c>
      <c r="S1298" s="26">
        <f t="shared" si="165"/>
        <v>13</v>
      </c>
    </row>
    <row r="1299" spans="2:19" x14ac:dyDescent="0.3">
      <c r="B1299" s="24">
        <v>378283</v>
      </c>
      <c r="C1299" s="25">
        <v>37</v>
      </c>
      <c r="D1299" s="25">
        <v>1</v>
      </c>
      <c r="E1299" s="25">
        <v>11</v>
      </c>
      <c r="F1299" s="25">
        <v>11</v>
      </c>
      <c r="G1299" s="25">
        <v>63</v>
      </c>
      <c r="H1299" s="25">
        <v>21.6</v>
      </c>
      <c r="I1299" s="25">
        <v>4.1900000000000004</v>
      </c>
      <c r="J1299" s="25">
        <v>9.42</v>
      </c>
      <c r="K1299" s="26">
        <v>0</v>
      </c>
      <c r="L1299" s="25">
        <f t="shared" si="160"/>
        <v>0.28652574465615127</v>
      </c>
      <c r="M1299" s="25">
        <f t="shared" si="166"/>
        <v>0.5711453657515021</v>
      </c>
      <c r="N1299" s="25">
        <f t="shared" si="161"/>
        <v>0.4288546342484979</v>
      </c>
      <c r="O1299" s="25">
        <f t="shared" si="162"/>
        <v>-0.84663726538164286</v>
      </c>
      <c r="P1299" s="25">
        <f t="shared" si="163"/>
        <v>1</v>
      </c>
      <c r="Q1299" s="25">
        <f t="shared" si="167"/>
        <v>478.85561481626587</v>
      </c>
      <c r="R1299" s="25">
        <f t="shared" si="164"/>
        <v>7</v>
      </c>
      <c r="S1299" s="26">
        <f t="shared" si="165"/>
        <v>15</v>
      </c>
    </row>
    <row r="1300" spans="2:19" x14ac:dyDescent="0.3">
      <c r="B1300" s="24">
        <v>378329</v>
      </c>
      <c r="C1300" s="25">
        <v>34</v>
      </c>
      <c r="D1300" s="25">
        <v>3</v>
      </c>
      <c r="E1300" s="25">
        <v>3</v>
      </c>
      <c r="F1300" s="25">
        <v>4</v>
      </c>
      <c r="G1300" s="25">
        <v>47</v>
      </c>
      <c r="H1300" s="25">
        <v>7</v>
      </c>
      <c r="I1300" s="25">
        <v>1.32</v>
      </c>
      <c r="J1300" s="25">
        <v>1.97</v>
      </c>
      <c r="K1300" s="26">
        <v>0</v>
      </c>
      <c r="L1300" s="25">
        <f t="shared" si="160"/>
        <v>-0.72249668515214649</v>
      </c>
      <c r="M1300" s="25">
        <f t="shared" si="166"/>
        <v>0.32684343295167773</v>
      </c>
      <c r="N1300" s="25">
        <f t="shared" si="161"/>
        <v>0.67315656704832227</v>
      </c>
      <c r="O1300" s="25">
        <f t="shared" si="162"/>
        <v>-0.39577733590616249</v>
      </c>
      <c r="P1300" s="25">
        <f t="shared" si="163"/>
        <v>0</v>
      </c>
      <c r="Q1300" s="25">
        <f t="shared" si="167"/>
        <v>507.96984710371152</v>
      </c>
      <c r="R1300" s="25">
        <f t="shared" si="164"/>
        <v>7</v>
      </c>
      <c r="S1300" s="26">
        <f t="shared" si="165"/>
        <v>14</v>
      </c>
    </row>
    <row r="1301" spans="2:19" x14ac:dyDescent="0.3">
      <c r="B1301" s="24">
        <v>378373</v>
      </c>
      <c r="C1301" s="25">
        <v>26</v>
      </c>
      <c r="D1301" s="25">
        <v>3</v>
      </c>
      <c r="E1301" s="25">
        <v>0</v>
      </c>
      <c r="F1301" s="25">
        <v>2</v>
      </c>
      <c r="G1301" s="25">
        <v>43</v>
      </c>
      <c r="H1301" s="25">
        <v>9.8000000000000007</v>
      </c>
      <c r="I1301" s="25">
        <v>0.94</v>
      </c>
      <c r="J1301" s="25">
        <v>3.28</v>
      </c>
      <c r="K1301" s="26">
        <v>1</v>
      </c>
      <c r="L1301" s="25">
        <f t="shared" si="160"/>
        <v>0.32516690166370849</v>
      </c>
      <c r="M1301" s="25">
        <f t="shared" si="166"/>
        <v>0.58058294698856927</v>
      </c>
      <c r="N1301" s="25">
        <f t="shared" si="161"/>
        <v>0.58058294698856927</v>
      </c>
      <c r="O1301" s="25">
        <f t="shared" si="162"/>
        <v>-0.54372259918263521</v>
      </c>
      <c r="P1301" s="25">
        <f t="shared" si="163"/>
        <v>1</v>
      </c>
      <c r="Q1301" s="25">
        <f t="shared" si="167"/>
        <v>477.74066673608553</v>
      </c>
      <c r="R1301" s="25">
        <f t="shared" si="164"/>
        <v>7</v>
      </c>
      <c r="S1301" s="26">
        <f t="shared" si="165"/>
        <v>15</v>
      </c>
    </row>
    <row r="1302" spans="2:19" x14ac:dyDescent="0.3">
      <c r="B1302" s="24">
        <v>378442</v>
      </c>
      <c r="C1302" s="25">
        <v>28</v>
      </c>
      <c r="D1302" s="25">
        <v>5</v>
      </c>
      <c r="E1302" s="25">
        <v>0</v>
      </c>
      <c r="F1302" s="25">
        <v>3</v>
      </c>
      <c r="G1302" s="25">
        <v>33</v>
      </c>
      <c r="H1302" s="25">
        <v>7.8</v>
      </c>
      <c r="I1302" s="25">
        <v>0.83</v>
      </c>
      <c r="J1302" s="25">
        <v>1.74</v>
      </c>
      <c r="K1302" s="26">
        <v>0</v>
      </c>
      <c r="L1302" s="25">
        <f t="shared" si="160"/>
        <v>-0.14973883040290642</v>
      </c>
      <c r="M1302" s="25">
        <f t="shared" si="166"/>
        <v>0.4626350817929909</v>
      </c>
      <c r="N1302" s="25">
        <f t="shared" si="161"/>
        <v>0.53736491820700905</v>
      </c>
      <c r="O1302" s="25">
        <f t="shared" si="162"/>
        <v>-0.62107786552892075</v>
      </c>
      <c r="P1302" s="25">
        <f t="shared" si="163"/>
        <v>1</v>
      </c>
      <c r="Q1302" s="25">
        <f t="shared" si="167"/>
        <v>491.44354923856241</v>
      </c>
      <c r="R1302" s="25">
        <f t="shared" si="164"/>
        <v>7</v>
      </c>
      <c r="S1302" s="26">
        <f t="shared" si="165"/>
        <v>14</v>
      </c>
    </row>
    <row r="1303" spans="2:19" x14ac:dyDescent="0.3">
      <c r="B1303" s="24">
        <v>378454</v>
      </c>
      <c r="C1303" s="25">
        <v>28</v>
      </c>
      <c r="D1303" s="25">
        <v>3</v>
      </c>
      <c r="E1303" s="25">
        <v>3</v>
      </c>
      <c r="F1303" s="25">
        <v>4</v>
      </c>
      <c r="G1303" s="25">
        <v>75</v>
      </c>
      <c r="H1303" s="25">
        <v>4.3</v>
      </c>
      <c r="I1303" s="25">
        <v>0.48</v>
      </c>
      <c r="J1303" s="25">
        <v>2.75</v>
      </c>
      <c r="K1303" s="26">
        <v>0</v>
      </c>
      <c r="L1303" s="25">
        <f t="shared" si="160"/>
        <v>-1.2340223341749248</v>
      </c>
      <c r="M1303" s="25">
        <f t="shared" si="166"/>
        <v>0.22547819864931035</v>
      </c>
      <c r="N1303" s="25">
        <f t="shared" si="161"/>
        <v>0.7745218013506896</v>
      </c>
      <c r="O1303" s="25">
        <f t="shared" si="162"/>
        <v>-0.25550947058570056</v>
      </c>
      <c r="P1303" s="25">
        <f t="shared" si="163"/>
        <v>0</v>
      </c>
      <c r="Q1303" s="25">
        <f t="shared" si="167"/>
        <v>522.72935702804989</v>
      </c>
      <c r="R1303" s="25">
        <f t="shared" si="164"/>
        <v>6</v>
      </c>
      <c r="S1303" s="26">
        <f t="shared" si="165"/>
        <v>13</v>
      </c>
    </row>
    <row r="1304" spans="2:19" x14ac:dyDescent="0.3">
      <c r="B1304" s="24">
        <v>380007</v>
      </c>
      <c r="C1304" s="25">
        <v>22</v>
      </c>
      <c r="D1304" s="25">
        <v>4</v>
      </c>
      <c r="E1304" s="25">
        <v>0</v>
      </c>
      <c r="F1304" s="25">
        <v>0</v>
      </c>
      <c r="G1304" s="25">
        <v>27</v>
      </c>
      <c r="H1304" s="25">
        <v>6</v>
      </c>
      <c r="I1304" s="25">
        <v>0.61</v>
      </c>
      <c r="J1304" s="25">
        <v>1.01</v>
      </c>
      <c r="K1304" s="26">
        <v>1</v>
      </c>
      <c r="L1304" s="25">
        <f t="shared" si="160"/>
        <v>-0.1722122360029853</v>
      </c>
      <c r="M1304" s="25">
        <f t="shared" si="166"/>
        <v>0.45705302862782915</v>
      </c>
      <c r="N1304" s="25">
        <f t="shared" si="161"/>
        <v>0.45705302862782915</v>
      </c>
      <c r="O1304" s="25">
        <f t="shared" si="162"/>
        <v>-0.78295585843488635</v>
      </c>
      <c r="P1304" s="25">
        <f t="shared" si="163"/>
        <v>1</v>
      </c>
      <c r="Q1304" s="25">
        <f t="shared" si="167"/>
        <v>492.09199463640653</v>
      </c>
      <c r="R1304" s="25">
        <f t="shared" si="164"/>
        <v>7</v>
      </c>
      <c r="S1304" s="26">
        <f t="shared" si="165"/>
        <v>14</v>
      </c>
    </row>
    <row r="1305" spans="2:19" x14ac:dyDescent="0.3">
      <c r="B1305" s="24">
        <v>380031</v>
      </c>
      <c r="C1305" s="25">
        <v>38</v>
      </c>
      <c r="D1305" s="25">
        <v>3</v>
      </c>
      <c r="E1305" s="25">
        <v>9</v>
      </c>
      <c r="F1305" s="25">
        <v>13</v>
      </c>
      <c r="G1305" s="25">
        <v>94</v>
      </c>
      <c r="H1305" s="25">
        <v>21.6</v>
      </c>
      <c r="I1305" s="25">
        <v>7</v>
      </c>
      <c r="J1305" s="25">
        <v>13.3</v>
      </c>
      <c r="K1305" s="26">
        <v>1</v>
      </c>
      <c r="L1305" s="25">
        <f t="shared" si="160"/>
        <v>1.9810022273765797</v>
      </c>
      <c r="M1305" s="25">
        <f t="shared" si="166"/>
        <v>0.87878795958414524</v>
      </c>
      <c r="N1305" s="25">
        <f t="shared" si="161"/>
        <v>0.87878795958414524</v>
      </c>
      <c r="O1305" s="25">
        <f t="shared" si="162"/>
        <v>-0.12921163953943138</v>
      </c>
      <c r="P1305" s="25">
        <f t="shared" si="163"/>
        <v>1</v>
      </c>
      <c r="Q1305" s="25">
        <f t="shared" si="167"/>
        <v>429.96335983149891</v>
      </c>
      <c r="R1305" s="25">
        <f t="shared" si="164"/>
        <v>8</v>
      </c>
      <c r="S1305" s="26">
        <f t="shared" si="165"/>
        <v>16</v>
      </c>
    </row>
    <row r="1306" spans="2:19" x14ac:dyDescent="0.3">
      <c r="B1306" s="24">
        <v>380045</v>
      </c>
      <c r="C1306" s="25">
        <v>20</v>
      </c>
      <c r="D1306" s="25">
        <v>2</v>
      </c>
      <c r="E1306" s="25">
        <v>0</v>
      </c>
      <c r="F1306" s="25">
        <v>1</v>
      </c>
      <c r="G1306" s="25">
        <v>19</v>
      </c>
      <c r="H1306" s="25">
        <v>5.9</v>
      </c>
      <c r="I1306" s="25">
        <v>7.0000000000000007E-2</v>
      </c>
      <c r="J1306" s="25">
        <v>1.05</v>
      </c>
      <c r="K1306" s="26">
        <v>1</v>
      </c>
      <c r="L1306" s="25">
        <f t="shared" si="160"/>
        <v>-0.3212886286956278</v>
      </c>
      <c r="M1306" s="25">
        <f t="shared" si="166"/>
        <v>0.4203617313054076</v>
      </c>
      <c r="N1306" s="25">
        <f t="shared" si="161"/>
        <v>0.4203617313054076</v>
      </c>
      <c r="O1306" s="25">
        <f t="shared" si="162"/>
        <v>-0.86663967336774084</v>
      </c>
      <c r="P1306" s="25">
        <f t="shared" si="163"/>
        <v>1</v>
      </c>
      <c r="Q1306" s="25">
        <f t="shared" si="167"/>
        <v>496.39342996352076</v>
      </c>
      <c r="R1306" s="25">
        <f t="shared" si="164"/>
        <v>7</v>
      </c>
      <c r="S1306" s="26">
        <f t="shared" si="165"/>
        <v>14</v>
      </c>
    </row>
    <row r="1307" spans="2:19" x14ac:dyDescent="0.3">
      <c r="B1307" s="24">
        <v>380087</v>
      </c>
      <c r="C1307" s="25">
        <v>36</v>
      </c>
      <c r="D1307" s="25">
        <v>4</v>
      </c>
      <c r="E1307" s="25">
        <v>11</v>
      </c>
      <c r="F1307" s="25">
        <v>3</v>
      </c>
      <c r="G1307" s="25">
        <v>42</v>
      </c>
      <c r="H1307" s="25">
        <v>2.8</v>
      </c>
      <c r="I1307" s="25">
        <v>0.67</v>
      </c>
      <c r="J1307" s="25">
        <v>0.5</v>
      </c>
      <c r="K1307" s="26">
        <v>0</v>
      </c>
      <c r="L1307" s="25">
        <f t="shared" si="160"/>
        <v>-3.3608916274015077</v>
      </c>
      <c r="M1307" s="25">
        <f t="shared" si="166"/>
        <v>3.3540308837539112E-2</v>
      </c>
      <c r="N1307" s="25">
        <f t="shared" si="161"/>
        <v>0.96645969116246089</v>
      </c>
      <c r="O1307" s="25">
        <f t="shared" si="162"/>
        <v>-3.4115687191612232E-2</v>
      </c>
      <c r="P1307" s="25">
        <f t="shared" si="163"/>
        <v>0</v>
      </c>
      <c r="Q1307" s="25">
        <f t="shared" si="167"/>
        <v>584.0978309278803</v>
      </c>
      <c r="R1307" s="25">
        <f t="shared" si="164"/>
        <v>5</v>
      </c>
      <c r="S1307" s="26">
        <f t="shared" si="165"/>
        <v>8</v>
      </c>
    </row>
    <row r="1308" spans="2:19" x14ac:dyDescent="0.3">
      <c r="B1308" s="24">
        <v>380110</v>
      </c>
      <c r="C1308" s="25">
        <v>26</v>
      </c>
      <c r="D1308" s="25">
        <v>4</v>
      </c>
      <c r="E1308" s="25">
        <v>1</v>
      </c>
      <c r="F1308" s="25">
        <v>4</v>
      </c>
      <c r="G1308" s="25">
        <v>89</v>
      </c>
      <c r="H1308" s="25">
        <v>2.2999999999999998</v>
      </c>
      <c r="I1308" s="25">
        <v>0.93</v>
      </c>
      <c r="J1308" s="25">
        <v>1.1200000000000001</v>
      </c>
      <c r="K1308" s="26">
        <v>1</v>
      </c>
      <c r="L1308" s="25">
        <f t="shared" si="160"/>
        <v>-0.81572012205623068</v>
      </c>
      <c r="M1308" s="25">
        <f t="shared" si="166"/>
        <v>0.30667291366977245</v>
      </c>
      <c r="N1308" s="25">
        <f t="shared" si="161"/>
        <v>0.30667291366977245</v>
      </c>
      <c r="O1308" s="25">
        <f t="shared" si="162"/>
        <v>-1.1819735271523384</v>
      </c>
      <c r="P1308" s="25">
        <f t="shared" si="163"/>
        <v>0</v>
      </c>
      <c r="Q1308" s="25">
        <f t="shared" si="167"/>
        <v>510.65970682979827</v>
      </c>
      <c r="R1308" s="25">
        <f t="shared" si="164"/>
        <v>7</v>
      </c>
      <c r="S1308" s="26">
        <f t="shared" si="165"/>
        <v>13</v>
      </c>
    </row>
    <row r="1309" spans="2:19" x14ac:dyDescent="0.3">
      <c r="B1309" s="24">
        <v>380113</v>
      </c>
      <c r="C1309" s="25">
        <v>33</v>
      </c>
      <c r="D1309" s="25">
        <v>4</v>
      </c>
      <c r="E1309" s="25">
        <v>7</v>
      </c>
      <c r="F1309" s="25">
        <v>7</v>
      </c>
      <c r="G1309" s="25">
        <v>185</v>
      </c>
      <c r="H1309" s="25">
        <v>8.5</v>
      </c>
      <c r="I1309" s="25">
        <v>3.88</v>
      </c>
      <c r="J1309" s="25">
        <v>11.84</v>
      </c>
      <c r="K1309" s="26">
        <v>0</v>
      </c>
      <c r="L1309" s="25">
        <f t="shared" si="160"/>
        <v>-0.116189663760354</v>
      </c>
      <c r="M1309" s="25">
        <f t="shared" si="166"/>
        <v>0.47098521843891467</v>
      </c>
      <c r="N1309" s="25">
        <f t="shared" si="161"/>
        <v>0.52901478156108528</v>
      </c>
      <c r="O1309" s="25">
        <f t="shared" si="162"/>
        <v>-0.63673890505470243</v>
      </c>
      <c r="P1309" s="25">
        <f t="shared" si="163"/>
        <v>1</v>
      </c>
      <c r="Q1309" s="25">
        <f t="shared" si="167"/>
        <v>490.47552493917487</v>
      </c>
      <c r="R1309" s="25">
        <f t="shared" si="164"/>
        <v>7</v>
      </c>
      <c r="S1309" s="26">
        <f t="shared" si="165"/>
        <v>15</v>
      </c>
    </row>
    <row r="1310" spans="2:19" x14ac:dyDescent="0.3">
      <c r="B1310" s="24">
        <v>380131</v>
      </c>
      <c r="C1310" s="25">
        <v>25</v>
      </c>
      <c r="D1310" s="25">
        <v>2</v>
      </c>
      <c r="E1310" s="25">
        <v>2</v>
      </c>
      <c r="F1310" s="25">
        <v>3</v>
      </c>
      <c r="G1310" s="25">
        <v>24</v>
      </c>
      <c r="H1310" s="25">
        <v>6.8</v>
      </c>
      <c r="I1310" s="25">
        <v>1.01</v>
      </c>
      <c r="J1310" s="25">
        <v>0.63</v>
      </c>
      <c r="K1310" s="26">
        <v>0</v>
      </c>
      <c r="L1310" s="25">
        <f t="shared" si="160"/>
        <v>-0.4214154972174956</v>
      </c>
      <c r="M1310" s="25">
        <f t="shared" si="166"/>
        <v>0.39617808374792746</v>
      </c>
      <c r="N1310" s="25">
        <f t="shared" si="161"/>
        <v>0.6038219162520726</v>
      </c>
      <c r="O1310" s="25">
        <f t="shared" si="162"/>
        <v>-0.50447596516363369</v>
      </c>
      <c r="P1310" s="25">
        <f t="shared" si="163"/>
        <v>0</v>
      </c>
      <c r="Q1310" s="25">
        <f t="shared" si="167"/>
        <v>499.28248061516388</v>
      </c>
      <c r="R1310" s="25">
        <f t="shared" si="164"/>
        <v>7</v>
      </c>
      <c r="S1310" s="26">
        <f t="shared" si="165"/>
        <v>14</v>
      </c>
    </row>
    <row r="1311" spans="2:19" x14ac:dyDescent="0.3">
      <c r="B1311" s="24">
        <v>380145</v>
      </c>
      <c r="C1311" s="25">
        <v>22</v>
      </c>
      <c r="D1311" s="25">
        <v>4</v>
      </c>
      <c r="E1311" s="25">
        <v>0</v>
      </c>
      <c r="F1311" s="25">
        <v>1</v>
      </c>
      <c r="G1311" s="25">
        <v>56</v>
      </c>
      <c r="H1311" s="25">
        <v>2.8</v>
      </c>
      <c r="I1311" s="25">
        <v>0.41</v>
      </c>
      <c r="J1311" s="25">
        <v>1.1599999999999999</v>
      </c>
      <c r="K1311" s="26">
        <v>0</v>
      </c>
      <c r="L1311" s="25">
        <f t="shared" si="160"/>
        <v>-0.60815609177777163</v>
      </c>
      <c r="M1311" s="25">
        <f t="shared" si="166"/>
        <v>0.35247993296557661</v>
      </c>
      <c r="N1311" s="25">
        <f t="shared" si="161"/>
        <v>0.64752006703442344</v>
      </c>
      <c r="O1311" s="25">
        <f t="shared" si="162"/>
        <v>-0.43460549432971757</v>
      </c>
      <c r="P1311" s="25">
        <f t="shared" si="163"/>
        <v>0</v>
      </c>
      <c r="Q1311" s="25">
        <f t="shared" si="167"/>
        <v>504.67067505654666</v>
      </c>
      <c r="R1311" s="25">
        <f t="shared" si="164"/>
        <v>7</v>
      </c>
      <c r="S1311" s="26">
        <f t="shared" si="165"/>
        <v>14</v>
      </c>
    </row>
    <row r="1312" spans="2:19" x14ac:dyDescent="0.3">
      <c r="B1312" s="24">
        <v>380151</v>
      </c>
      <c r="C1312" s="25">
        <v>25</v>
      </c>
      <c r="D1312" s="25">
        <v>2</v>
      </c>
      <c r="E1312" s="25">
        <v>2</v>
      </c>
      <c r="F1312" s="25">
        <v>3</v>
      </c>
      <c r="G1312" s="25">
        <v>26</v>
      </c>
      <c r="H1312" s="25">
        <v>10.3</v>
      </c>
      <c r="I1312" s="25">
        <v>0.86</v>
      </c>
      <c r="J1312" s="25">
        <v>1.82</v>
      </c>
      <c r="K1312" s="26">
        <v>0</v>
      </c>
      <c r="L1312" s="25">
        <f t="shared" si="160"/>
        <v>-0.11342864120765539</v>
      </c>
      <c r="M1312" s="25">
        <f t="shared" si="166"/>
        <v>0.47167320436722665</v>
      </c>
      <c r="N1312" s="25">
        <f t="shared" si="161"/>
        <v>0.52832679563277329</v>
      </c>
      <c r="O1312" s="25">
        <f t="shared" si="162"/>
        <v>-0.63804025561207034</v>
      </c>
      <c r="P1312" s="25">
        <f t="shared" si="163"/>
        <v>1</v>
      </c>
      <c r="Q1312" s="25">
        <f t="shared" si="167"/>
        <v>490.39585867054154</v>
      </c>
      <c r="R1312" s="25">
        <f t="shared" si="164"/>
        <v>7</v>
      </c>
      <c r="S1312" s="26">
        <f t="shared" si="165"/>
        <v>15</v>
      </c>
    </row>
    <row r="1313" spans="2:19" x14ac:dyDescent="0.3">
      <c r="B1313" s="24">
        <v>380201</v>
      </c>
      <c r="C1313" s="25">
        <v>36</v>
      </c>
      <c r="D1313" s="25">
        <v>2</v>
      </c>
      <c r="E1313" s="25">
        <v>4</v>
      </c>
      <c r="F1313" s="25">
        <v>7</v>
      </c>
      <c r="G1313" s="25">
        <v>34</v>
      </c>
      <c r="H1313" s="25">
        <v>16.8</v>
      </c>
      <c r="I1313" s="25">
        <v>1.1599999999999999</v>
      </c>
      <c r="J1313" s="25">
        <v>4.55</v>
      </c>
      <c r="K1313" s="26">
        <v>1</v>
      </c>
      <c r="L1313" s="25">
        <f t="shared" si="160"/>
        <v>-7.3735145879444908E-2</v>
      </c>
      <c r="M1313" s="25">
        <f t="shared" si="166"/>
        <v>0.48157456083623484</v>
      </c>
      <c r="N1313" s="25">
        <f t="shared" si="161"/>
        <v>0.48157456083623484</v>
      </c>
      <c r="O1313" s="25">
        <f t="shared" si="162"/>
        <v>-0.7306942085665642</v>
      </c>
      <c r="P1313" s="25">
        <f t="shared" si="163"/>
        <v>1</v>
      </c>
      <c r="Q1313" s="25">
        <f t="shared" si="167"/>
        <v>489.25054652569088</v>
      </c>
      <c r="R1313" s="25">
        <f t="shared" si="164"/>
        <v>7</v>
      </c>
      <c r="S1313" s="26">
        <f t="shared" si="165"/>
        <v>15</v>
      </c>
    </row>
    <row r="1314" spans="2:19" x14ac:dyDescent="0.3">
      <c r="B1314" s="24">
        <v>380223</v>
      </c>
      <c r="C1314" s="25">
        <v>30</v>
      </c>
      <c r="D1314" s="25">
        <v>5</v>
      </c>
      <c r="E1314" s="25">
        <v>2</v>
      </c>
      <c r="F1314" s="25">
        <v>6</v>
      </c>
      <c r="G1314" s="25">
        <v>21</v>
      </c>
      <c r="H1314" s="25">
        <v>10.4</v>
      </c>
      <c r="I1314" s="25">
        <v>1.1599999999999999</v>
      </c>
      <c r="J1314" s="25">
        <v>1.03</v>
      </c>
      <c r="K1314" s="26">
        <v>1</v>
      </c>
      <c r="L1314" s="25">
        <f t="shared" si="160"/>
        <v>-0.34830717594350558</v>
      </c>
      <c r="M1314" s="25">
        <f t="shared" si="166"/>
        <v>0.41379298660909025</v>
      </c>
      <c r="N1314" s="25">
        <f t="shared" si="161"/>
        <v>0.41379298660909025</v>
      </c>
      <c r="O1314" s="25">
        <f t="shared" si="162"/>
        <v>-0.88238946255987882</v>
      </c>
      <c r="P1314" s="25">
        <f t="shared" si="163"/>
        <v>1</v>
      </c>
      <c r="Q1314" s="25">
        <f t="shared" si="167"/>
        <v>497.1730204239563</v>
      </c>
      <c r="R1314" s="25">
        <f t="shared" si="164"/>
        <v>7</v>
      </c>
      <c r="S1314" s="26">
        <f t="shared" si="165"/>
        <v>14</v>
      </c>
    </row>
    <row r="1315" spans="2:19" x14ac:dyDescent="0.3">
      <c r="B1315" s="24">
        <v>380229</v>
      </c>
      <c r="C1315" s="25">
        <v>21</v>
      </c>
      <c r="D1315" s="25">
        <v>3</v>
      </c>
      <c r="E1315" s="25">
        <v>0</v>
      </c>
      <c r="F1315" s="25">
        <v>1</v>
      </c>
      <c r="G1315" s="25">
        <v>39</v>
      </c>
      <c r="H1315" s="25">
        <v>18.5</v>
      </c>
      <c r="I1315" s="25">
        <v>5.21</v>
      </c>
      <c r="J1315" s="25">
        <v>2.0099999999999998</v>
      </c>
      <c r="K1315" s="26">
        <v>1</v>
      </c>
      <c r="L1315" s="25">
        <f t="shared" si="160"/>
        <v>3.3224797838643072</v>
      </c>
      <c r="M1315" s="25">
        <f t="shared" si="166"/>
        <v>0.96519199946258483</v>
      </c>
      <c r="N1315" s="25">
        <f t="shared" si="161"/>
        <v>0.96519199946258483</v>
      </c>
      <c r="O1315" s="25">
        <f t="shared" si="162"/>
        <v>-3.5428234260035316E-2</v>
      </c>
      <c r="P1315" s="25">
        <f t="shared" si="163"/>
        <v>1</v>
      </c>
      <c r="Q1315" s="25">
        <f t="shared" si="167"/>
        <v>391.25650056435768</v>
      </c>
      <c r="R1315" s="25">
        <f t="shared" si="164"/>
        <v>8</v>
      </c>
      <c r="S1315" s="26">
        <f t="shared" si="165"/>
        <v>17</v>
      </c>
    </row>
    <row r="1316" spans="2:19" x14ac:dyDescent="0.3">
      <c r="B1316" s="24">
        <v>380247</v>
      </c>
      <c r="C1316" s="25">
        <v>33</v>
      </c>
      <c r="D1316" s="25">
        <v>2</v>
      </c>
      <c r="E1316" s="25">
        <v>8</v>
      </c>
      <c r="F1316" s="25">
        <v>7</v>
      </c>
      <c r="G1316" s="25">
        <v>35</v>
      </c>
      <c r="H1316" s="25">
        <v>7.3</v>
      </c>
      <c r="I1316" s="25">
        <v>0.61</v>
      </c>
      <c r="J1316" s="25">
        <v>1.94</v>
      </c>
      <c r="K1316" s="26">
        <v>0</v>
      </c>
      <c r="L1316" s="25">
        <f t="shared" si="160"/>
        <v>-2.1862917541071099</v>
      </c>
      <c r="M1316" s="25">
        <f t="shared" si="166"/>
        <v>0.10098826606222865</v>
      </c>
      <c r="N1316" s="25">
        <f t="shared" si="161"/>
        <v>0.89901173393777134</v>
      </c>
      <c r="O1316" s="25">
        <f t="shared" si="162"/>
        <v>-0.10645919238460455</v>
      </c>
      <c r="P1316" s="25">
        <f t="shared" si="163"/>
        <v>0</v>
      </c>
      <c r="Q1316" s="25">
        <f t="shared" si="167"/>
        <v>550.20604364383109</v>
      </c>
      <c r="R1316" s="25">
        <f t="shared" si="164"/>
        <v>6</v>
      </c>
      <c r="S1316" s="26">
        <f t="shared" si="165"/>
        <v>11</v>
      </c>
    </row>
    <row r="1317" spans="2:19" x14ac:dyDescent="0.3">
      <c r="B1317" s="24">
        <v>380259</v>
      </c>
      <c r="C1317" s="25">
        <v>25</v>
      </c>
      <c r="D1317" s="25">
        <v>1</v>
      </c>
      <c r="E1317" s="25">
        <v>9</v>
      </c>
      <c r="F1317" s="25">
        <v>4</v>
      </c>
      <c r="G1317" s="25">
        <v>29</v>
      </c>
      <c r="H1317" s="25">
        <v>11.4</v>
      </c>
      <c r="I1317" s="25">
        <v>1.17</v>
      </c>
      <c r="J1317" s="25">
        <v>2.14</v>
      </c>
      <c r="K1317" s="26">
        <v>0</v>
      </c>
      <c r="L1317" s="25">
        <f t="shared" si="160"/>
        <v>-1.4111357009996517</v>
      </c>
      <c r="M1317" s="25">
        <f t="shared" si="166"/>
        <v>0.19605498829974605</v>
      </c>
      <c r="N1317" s="25">
        <f t="shared" si="161"/>
        <v>0.80394501170025401</v>
      </c>
      <c r="O1317" s="25">
        <f t="shared" si="162"/>
        <v>-0.2182244055497507</v>
      </c>
      <c r="P1317" s="25">
        <f t="shared" si="163"/>
        <v>0</v>
      </c>
      <c r="Q1317" s="25">
        <f t="shared" si="167"/>
        <v>527.83976840307389</v>
      </c>
      <c r="R1317" s="25">
        <f t="shared" si="164"/>
        <v>6</v>
      </c>
      <c r="S1317" s="26">
        <f t="shared" si="165"/>
        <v>12</v>
      </c>
    </row>
    <row r="1318" spans="2:19" x14ac:dyDescent="0.3">
      <c r="B1318" s="24">
        <v>380300</v>
      </c>
      <c r="C1318" s="25">
        <v>70</v>
      </c>
      <c r="D1318" s="25">
        <v>4</v>
      </c>
      <c r="E1318" s="25">
        <v>30</v>
      </c>
      <c r="F1318" s="25">
        <v>22</v>
      </c>
      <c r="G1318" s="25">
        <v>493</v>
      </c>
      <c r="H1318" s="25">
        <v>9.9</v>
      </c>
      <c r="I1318" s="25">
        <v>22.94</v>
      </c>
      <c r="J1318" s="25">
        <v>25.87</v>
      </c>
      <c r="K1318" s="26">
        <v>1</v>
      </c>
      <c r="L1318" s="25">
        <f t="shared" si="160"/>
        <v>2.9819418062225798</v>
      </c>
      <c r="M1318" s="25">
        <f t="shared" si="166"/>
        <v>0.95175161820568344</v>
      </c>
      <c r="N1318" s="25">
        <f t="shared" si="161"/>
        <v>0.95175161820568344</v>
      </c>
      <c r="O1318" s="25">
        <f t="shared" si="162"/>
        <v>-4.9451183478597546E-2</v>
      </c>
      <c r="P1318" s="25">
        <f t="shared" si="163"/>
        <v>1</v>
      </c>
      <c r="Q1318" s="25">
        <f t="shared" si="167"/>
        <v>401.08234931743431</v>
      </c>
      <c r="R1318" s="25">
        <f t="shared" si="164"/>
        <v>8</v>
      </c>
      <c r="S1318" s="26">
        <f t="shared" si="165"/>
        <v>17</v>
      </c>
    </row>
    <row r="1319" spans="2:19" x14ac:dyDescent="0.3">
      <c r="B1319" s="24">
        <v>380348</v>
      </c>
      <c r="C1319" s="25">
        <v>56</v>
      </c>
      <c r="D1319" s="25">
        <v>4</v>
      </c>
      <c r="E1319" s="25">
        <v>22</v>
      </c>
      <c r="F1319" s="25">
        <v>9</v>
      </c>
      <c r="G1319" s="25">
        <v>57</v>
      </c>
      <c r="H1319" s="25">
        <v>2</v>
      </c>
      <c r="I1319" s="25">
        <v>0.49</v>
      </c>
      <c r="J1319" s="25">
        <v>0.65</v>
      </c>
      <c r="K1319" s="26">
        <v>0</v>
      </c>
      <c r="L1319" s="25">
        <f t="shared" si="160"/>
        <v>-6.634903969677401</v>
      </c>
      <c r="M1319" s="25">
        <f t="shared" si="166"/>
        <v>1.3119813383018076E-3</v>
      </c>
      <c r="N1319" s="25">
        <f t="shared" si="161"/>
        <v>0.99868801866169821</v>
      </c>
      <c r="O1319" s="25">
        <f t="shared" si="162"/>
        <v>-1.3128427393282983E-3</v>
      </c>
      <c r="P1319" s="25">
        <f t="shared" si="163"/>
        <v>0</v>
      </c>
      <c r="Q1319" s="25">
        <f t="shared" si="167"/>
        <v>678.56585565067473</v>
      </c>
      <c r="R1319" s="25">
        <f t="shared" si="164"/>
        <v>1</v>
      </c>
      <c r="S1319" s="26">
        <f t="shared" si="165"/>
        <v>1</v>
      </c>
    </row>
    <row r="1320" spans="2:19" x14ac:dyDescent="0.3">
      <c r="B1320" s="24">
        <v>380355</v>
      </c>
      <c r="C1320" s="25">
        <v>33</v>
      </c>
      <c r="D1320" s="25">
        <v>1</v>
      </c>
      <c r="E1320" s="25">
        <v>3</v>
      </c>
      <c r="F1320" s="25">
        <v>5</v>
      </c>
      <c r="G1320" s="25">
        <v>34</v>
      </c>
      <c r="H1320" s="25">
        <v>2.9</v>
      </c>
      <c r="I1320" s="25">
        <v>0.19</v>
      </c>
      <c r="J1320" s="25">
        <v>0.8</v>
      </c>
      <c r="K1320" s="26">
        <v>1</v>
      </c>
      <c r="L1320" s="25">
        <f t="shared" si="160"/>
        <v>-1.6026968526403749</v>
      </c>
      <c r="M1320" s="25">
        <f t="shared" si="166"/>
        <v>0.16760502993891244</v>
      </c>
      <c r="N1320" s="25">
        <f t="shared" si="161"/>
        <v>0.16760502993891244</v>
      </c>
      <c r="O1320" s="25">
        <f t="shared" si="162"/>
        <v>-1.7861450798158025</v>
      </c>
      <c r="P1320" s="25">
        <f t="shared" si="163"/>
        <v>0</v>
      </c>
      <c r="Q1320" s="25">
        <f t="shared" si="167"/>
        <v>533.36705471640016</v>
      </c>
      <c r="R1320" s="25">
        <f t="shared" si="164"/>
        <v>6</v>
      </c>
      <c r="S1320" s="26">
        <f t="shared" si="165"/>
        <v>12</v>
      </c>
    </row>
    <row r="1321" spans="2:19" x14ac:dyDescent="0.3">
      <c r="B1321" s="24">
        <v>380366</v>
      </c>
      <c r="C1321" s="25">
        <v>27</v>
      </c>
      <c r="D1321" s="25">
        <v>3</v>
      </c>
      <c r="E1321" s="25">
        <v>0</v>
      </c>
      <c r="F1321" s="25">
        <v>4</v>
      </c>
      <c r="G1321" s="25">
        <v>28</v>
      </c>
      <c r="H1321" s="25">
        <v>4.7</v>
      </c>
      <c r="I1321" s="25">
        <v>0.39</v>
      </c>
      <c r="J1321" s="25">
        <v>0.93</v>
      </c>
      <c r="K1321" s="26">
        <v>0</v>
      </c>
      <c r="L1321" s="25">
        <f t="shared" si="160"/>
        <v>-0.59262272150973838</v>
      </c>
      <c r="M1321" s="25">
        <f t="shared" si="166"/>
        <v>0.35603330673601896</v>
      </c>
      <c r="N1321" s="25">
        <f t="shared" si="161"/>
        <v>0.64396669326398104</v>
      </c>
      <c r="O1321" s="25">
        <f t="shared" si="162"/>
        <v>-0.44010827274942388</v>
      </c>
      <c r="P1321" s="25">
        <f t="shared" si="163"/>
        <v>0</v>
      </c>
      <c r="Q1321" s="25">
        <f t="shared" si="167"/>
        <v>504.22247674416985</v>
      </c>
      <c r="R1321" s="25">
        <f t="shared" si="164"/>
        <v>7</v>
      </c>
      <c r="S1321" s="26">
        <f t="shared" si="165"/>
        <v>14</v>
      </c>
    </row>
    <row r="1322" spans="2:19" x14ac:dyDescent="0.3">
      <c r="B1322" s="24">
        <v>380433</v>
      </c>
      <c r="C1322" s="25">
        <v>18</v>
      </c>
      <c r="D1322" s="25">
        <v>2</v>
      </c>
      <c r="E1322" s="25">
        <v>0</v>
      </c>
      <c r="F1322" s="25">
        <v>0</v>
      </c>
      <c r="G1322" s="25">
        <v>15</v>
      </c>
      <c r="H1322" s="25">
        <v>1.1000000000000001</v>
      </c>
      <c r="I1322" s="25">
        <v>0.03</v>
      </c>
      <c r="J1322" s="25">
        <v>0.13</v>
      </c>
      <c r="K1322" s="26">
        <v>0</v>
      </c>
      <c r="L1322" s="25">
        <f t="shared" si="160"/>
        <v>-0.7666713560098759</v>
      </c>
      <c r="M1322" s="25">
        <f t="shared" si="166"/>
        <v>0.31719959826894567</v>
      </c>
      <c r="N1322" s="25">
        <f t="shared" si="161"/>
        <v>0.68280040173105427</v>
      </c>
      <c r="O1322" s="25">
        <f t="shared" si="162"/>
        <v>-0.3815526997037143</v>
      </c>
      <c r="P1322" s="25">
        <f t="shared" si="163"/>
        <v>0</v>
      </c>
      <c r="Q1322" s="25">
        <f t="shared" si="167"/>
        <v>509.24445863917333</v>
      </c>
      <c r="R1322" s="25">
        <f t="shared" si="164"/>
        <v>7</v>
      </c>
      <c r="S1322" s="26">
        <f t="shared" si="165"/>
        <v>14</v>
      </c>
    </row>
    <row r="1323" spans="2:19" x14ac:dyDescent="0.3">
      <c r="B1323" s="24">
        <v>380446</v>
      </c>
      <c r="C1323" s="25">
        <v>30</v>
      </c>
      <c r="D1323" s="25">
        <v>4</v>
      </c>
      <c r="E1323" s="25">
        <v>4</v>
      </c>
      <c r="F1323" s="25">
        <v>6</v>
      </c>
      <c r="G1323" s="25">
        <v>28</v>
      </c>
      <c r="H1323" s="25">
        <v>6.8</v>
      </c>
      <c r="I1323" s="25">
        <v>1.1499999999999999</v>
      </c>
      <c r="J1323" s="25">
        <v>0.75</v>
      </c>
      <c r="K1323" s="26">
        <v>0</v>
      </c>
      <c r="L1323" s="25">
        <f t="shared" si="160"/>
        <v>-1.1162499390374494</v>
      </c>
      <c r="M1323" s="25">
        <f t="shared" si="166"/>
        <v>0.24670754370682826</v>
      </c>
      <c r="N1323" s="25">
        <f t="shared" si="161"/>
        <v>0.75329245629317176</v>
      </c>
      <c r="O1323" s="25">
        <f t="shared" si="162"/>
        <v>-0.28330173841386336</v>
      </c>
      <c r="P1323" s="25">
        <f t="shared" si="163"/>
        <v>0</v>
      </c>
      <c r="Q1323" s="25">
        <f t="shared" si="167"/>
        <v>519.33116411599269</v>
      </c>
      <c r="R1323" s="25">
        <f t="shared" si="164"/>
        <v>6</v>
      </c>
      <c r="S1323" s="26">
        <f t="shared" si="165"/>
        <v>13</v>
      </c>
    </row>
    <row r="1324" spans="2:19" x14ac:dyDescent="0.3">
      <c r="B1324" s="24">
        <v>380455</v>
      </c>
      <c r="C1324" s="25">
        <v>43</v>
      </c>
      <c r="D1324" s="25">
        <v>4</v>
      </c>
      <c r="E1324" s="25">
        <v>18</v>
      </c>
      <c r="F1324" s="25">
        <v>14</v>
      </c>
      <c r="G1324" s="25">
        <v>89</v>
      </c>
      <c r="H1324" s="25">
        <v>3.6</v>
      </c>
      <c r="I1324" s="25">
        <v>0.49</v>
      </c>
      <c r="J1324" s="25">
        <v>2.71</v>
      </c>
      <c r="K1324" s="26">
        <v>0</v>
      </c>
      <c r="L1324" s="25">
        <f t="shared" si="160"/>
        <v>-5.3937699275642181</v>
      </c>
      <c r="M1324" s="25">
        <f t="shared" si="166"/>
        <v>4.5242455793917599E-3</v>
      </c>
      <c r="N1324" s="25">
        <f t="shared" si="161"/>
        <v>0.99547575442060821</v>
      </c>
      <c r="O1324" s="25">
        <f t="shared" si="162"/>
        <v>-4.5345109521696325E-3</v>
      </c>
      <c r="P1324" s="25">
        <f t="shared" si="163"/>
        <v>0</v>
      </c>
      <c r="Q1324" s="25">
        <f t="shared" si="167"/>
        <v>642.75429811294521</v>
      </c>
      <c r="R1324" s="25">
        <f t="shared" si="164"/>
        <v>3</v>
      </c>
      <c r="S1324" s="26">
        <f t="shared" si="165"/>
        <v>3</v>
      </c>
    </row>
    <row r="1325" spans="2:19" x14ac:dyDescent="0.3">
      <c r="B1325" s="24">
        <v>380466</v>
      </c>
      <c r="C1325" s="25">
        <v>27</v>
      </c>
      <c r="D1325" s="25">
        <v>4</v>
      </c>
      <c r="E1325" s="25">
        <v>3</v>
      </c>
      <c r="F1325" s="25">
        <v>4</v>
      </c>
      <c r="G1325" s="25">
        <v>20</v>
      </c>
      <c r="H1325" s="25">
        <v>11</v>
      </c>
      <c r="I1325" s="25">
        <v>0.31</v>
      </c>
      <c r="J1325" s="25">
        <v>1.89</v>
      </c>
      <c r="K1325" s="26">
        <v>1</v>
      </c>
      <c r="L1325" s="25">
        <f t="shared" si="160"/>
        <v>-0.71266904674541531</v>
      </c>
      <c r="M1325" s="25">
        <f t="shared" si="166"/>
        <v>0.32900934688471817</v>
      </c>
      <c r="N1325" s="25">
        <f t="shared" si="161"/>
        <v>0.32900934688471817</v>
      </c>
      <c r="O1325" s="25">
        <f t="shared" si="162"/>
        <v>-1.1116691186363754</v>
      </c>
      <c r="P1325" s="25">
        <f t="shared" si="163"/>
        <v>0</v>
      </c>
      <c r="Q1325" s="25">
        <f t="shared" si="167"/>
        <v>507.68628140788752</v>
      </c>
      <c r="R1325" s="25">
        <f t="shared" si="164"/>
        <v>7</v>
      </c>
      <c r="S1325" s="26">
        <f t="shared" si="165"/>
        <v>14</v>
      </c>
    </row>
    <row r="1326" spans="2:19" x14ac:dyDescent="0.3">
      <c r="B1326" s="24">
        <v>380494</v>
      </c>
      <c r="C1326" s="25">
        <v>32</v>
      </c>
      <c r="D1326" s="25">
        <v>3</v>
      </c>
      <c r="E1326" s="25">
        <v>3</v>
      </c>
      <c r="F1326" s="25">
        <v>7</v>
      </c>
      <c r="G1326" s="25">
        <v>79</v>
      </c>
      <c r="H1326" s="25">
        <v>6.1</v>
      </c>
      <c r="I1326" s="25">
        <v>1.4</v>
      </c>
      <c r="J1326" s="25">
        <v>3.42</v>
      </c>
      <c r="K1326" s="26">
        <v>1</v>
      </c>
      <c r="L1326" s="25">
        <f t="shared" si="160"/>
        <v>-0.78526920330287342</v>
      </c>
      <c r="M1326" s="25">
        <f t="shared" si="166"/>
        <v>0.31318536473508962</v>
      </c>
      <c r="N1326" s="25">
        <f t="shared" si="161"/>
        <v>0.31318536473508962</v>
      </c>
      <c r="O1326" s="25">
        <f t="shared" si="162"/>
        <v>-1.1609600441338819</v>
      </c>
      <c r="P1326" s="25">
        <f t="shared" si="163"/>
        <v>0</v>
      </c>
      <c r="Q1326" s="25">
        <f t="shared" si="167"/>
        <v>509.78107906518079</v>
      </c>
      <c r="R1326" s="25">
        <f t="shared" si="164"/>
        <v>7</v>
      </c>
      <c r="S1326" s="26">
        <f t="shared" si="165"/>
        <v>14</v>
      </c>
    </row>
    <row r="1327" spans="2:19" x14ac:dyDescent="0.3">
      <c r="B1327" s="24">
        <v>380534</v>
      </c>
      <c r="C1327" s="25">
        <v>30</v>
      </c>
      <c r="D1327" s="25">
        <v>2</v>
      </c>
      <c r="E1327" s="25">
        <v>5</v>
      </c>
      <c r="F1327" s="25">
        <v>5</v>
      </c>
      <c r="G1327" s="25">
        <v>39</v>
      </c>
      <c r="H1327" s="25">
        <v>13.8</v>
      </c>
      <c r="I1327" s="25">
        <v>0.55000000000000004</v>
      </c>
      <c r="J1327" s="25">
        <v>4.83</v>
      </c>
      <c r="K1327" s="26">
        <v>0</v>
      </c>
      <c r="L1327" s="25">
        <f t="shared" si="160"/>
        <v>-0.68492846930898077</v>
      </c>
      <c r="M1327" s="25">
        <f t="shared" si="166"/>
        <v>0.33516220848284656</v>
      </c>
      <c r="N1327" s="25">
        <f t="shared" si="161"/>
        <v>0.6648377915171535</v>
      </c>
      <c r="O1327" s="25">
        <f t="shared" si="162"/>
        <v>-0.40821219061081815</v>
      </c>
      <c r="P1327" s="25">
        <f t="shared" si="163"/>
        <v>0</v>
      </c>
      <c r="Q1327" s="25">
        <f t="shared" si="167"/>
        <v>506.88585756059439</v>
      </c>
      <c r="R1327" s="25">
        <f t="shared" si="164"/>
        <v>7</v>
      </c>
      <c r="S1327" s="26">
        <f t="shared" si="165"/>
        <v>14</v>
      </c>
    </row>
    <row r="1328" spans="2:19" x14ac:dyDescent="0.3">
      <c r="B1328" s="24">
        <v>380538</v>
      </c>
      <c r="C1328" s="25">
        <v>36</v>
      </c>
      <c r="D1328" s="25">
        <v>2</v>
      </c>
      <c r="E1328" s="25">
        <v>16</v>
      </c>
      <c r="F1328" s="25">
        <v>8</v>
      </c>
      <c r="G1328" s="25">
        <v>50</v>
      </c>
      <c r="H1328" s="25">
        <v>3.5</v>
      </c>
      <c r="I1328" s="25">
        <v>0.75</v>
      </c>
      <c r="J1328" s="25">
        <v>1</v>
      </c>
      <c r="K1328" s="26">
        <v>0</v>
      </c>
      <c r="L1328" s="25">
        <f t="shared" si="160"/>
        <v>-4.426181935368283</v>
      </c>
      <c r="M1328" s="25">
        <f t="shared" si="166"/>
        <v>1.181871430353116E-2</v>
      </c>
      <c r="N1328" s="25">
        <f t="shared" si="161"/>
        <v>0.98818128569646879</v>
      </c>
      <c r="O1328" s="25">
        <f t="shared" si="162"/>
        <v>-1.1889110519017088E-2</v>
      </c>
      <c r="P1328" s="25">
        <f t="shared" si="163"/>
        <v>0</v>
      </c>
      <c r="Q1328" s="25">
        <f t="shared" si="167"/>
        <v>614.83561094492291</v>
      </c>
      <c r="R1328" s="25">
        <f t="shared" si="164"/>
        <v>4</v>
      </c>
      <c r="S1328" s="26">
        <f t="shared" si="165"/>
        <v>5</v>
      </c>
    </row>
    <row r="1329" spans="2:19" x14ac:dyDescent="0.3">
      <c r="B1329" s="24">
        <v>380585</v>
      </c>
      <c r="C1329" s="25">
        <v>32</v>
      </c>
      <c r="D1329" s="25">
        <v>1</v>
      </c>
      <c r="E1329" s="25">
        <v>5</v>
      </c>
      <c r="F1329" s="25">
        <v>9</v>
      </c>
      <c r="G1329" s="25">
        <v>35</v>
      </c>
      <c r="H1329" s="25">
        <v>5.8</v>
      </c>
      <c r="I1329" s="25">
        <v>0.57999999999999996</v>
      </c>
      <c r="J1329" s="25">
        <v>1.45</v>
      </c>
      <c r="K1329" s="26">
        <v>0</v>
      </c>
      <c r="L1329" s="25">
        <f t="shared" si="160"/>
        <v>-1.6736675430884564</v>
      </c>
      <c r="M1329" s="25">
        <f t="shared" si="166"/>
        <v>0.157935812493156</v>
      </c>
      <c r="N1329" s="25">
        <f t="shared" si="161"/>
        <v>0.84206418750684398</v>
      </c>
      <c r="O1329" s="25">
        <f t="shared" si="162"/>
        <v>-0.17189903545193491</v>
      </c>
      <c r="P1329" s="25">
        <f t="shared" si="163"/>
        <v>0</v>
      </c>
      <c r="Q1329" s="25">
        <f t="shared" si="167"/>
        <v>535.41483592151997</v>
      </c>
      <c r="R1329" s="25">
        <f t="shared" si="164"/>
        <v>6</v>
      </c>
      <c r="S1329" s="26">
        <f t="shared" si="165"/>
        <v>12</v>
      </c>
    </row>
    <row r="1330" spans="2:19" x14ac:dyDescent="0.3">
      <c r="B1330" s="24">
        <v>380588</v>
      </c>
      <c r="C1330" s="25">
        <v>52</v>
      </c>
      <c r="D1330" s="25">
        <v>3</v>
      </c>
      <c r="E1330" s="25">
        <v>17</v>
      </c>
      <c r="F1330" s="25">
        <v>12</v>
      </c>
      <c r="G1330" s="25">
        <v>125</v>
      </c>
      <c r="H1330" s="25">
        <v>0.5</v>
      </c>
      <c r="I1330" s="25">
        <v>0.4</v>
      </c>
      <c r="J1330" s="25">
        <v>0.22</v>
      </c>
      <c r="K1330" s="26">
        <v>0</v>
      </c>
      <c r="L1330" s="25">
        <f t="shared" si="160"/>
        <v>-5.649471113236828</v>
      </c>
      <c r="M1330" s="25">
        <f t="shared" si="166"/>
        <v>3.5070350542870817E-3</v>
      </c>
      <c r="N1330" s="25">
        <f t="shared" si="161"/>
        <v>0.99649296494571293</v>
      </c>
      <c r="O1330" s="25">
        <f t="shared" si="162"/>
        <v>-3.5131991176670639E-3</v>
      </c>
      <c r="P1330" s="25">
        <f t="shared" si="163"/>
        <v>0</v>
      </c>
      <c r="Q1330" s="25">
        <f t="shared" si="167"/>
        <v>650.13227455422407</v>
      </c>
      <c r="R1330" s="25">
        <f t="shared" si="164"/>
        <v>3</v>
      </c>
      <c r="S1330" s="26">
        <f t="shared" si="165"/>
        <v>2</v>
      </c>
    </row>
    <row r="1331" spans="2:19" x14ac:dyDescent="0.3">
      <c r="B1331" s="24">
        <v>380601</v>
      </c>
      <c r="C1331" s="25">
        <v>35</v>
      </c>
      <c r="D1331" s="25">
        <v>3</v>
      </c>
      <c r="E1331" s="25">
        <v>7</v>
      </c>
      <c r="F1331" s="25">
        <v>10</v>
      </c>
      <c r="G1331" s="25">
        <v>29</v>
      </c>
      <c r="H1331" s="25">
        <v>7.1</v>
      </c>
      <c r="I1331" s="25">
        <v>1.59</v>
      </c>
      <c r="J1331" s="25">
        <v>0.47</v>
      </c>
      <c r="K1331" s="26">
        <v>0</v>
      </c>
      <c r="L1331" s="25">
        <f t="shared" si="160"/>
        <v>-1.7483580781732957</v>
      </c>
      <c r="M1331" s="25">
        <f t="shared" si="166"/>
        <v>0.14825441205758777</v>
      </c>
      <c r="N1331" s="25">
        <f t="shared" si="161"/>
        <v>0.85174558794241229</v>
      </c>
      <c r="O1331" s="25">
        <f t="shared" si="162"/>
        <v>-0.1604674024457749</v>
      </c>
      <c r="P1331" s="25">
        <f t="shared" si="163"/>
        <v>0</v>
      </c>
      <c r="Q1331" s="25">
        <f t="shared" si="167"/>
        <v>537.56994915180439</v>
      </c>
      <c r="R1331" s="25">
        <f t="shared" si="164"/>
        <v>6</v>
      </c>
      <c r="S1331" s="26">
        <f t="shared" si="165"/>
        <v>12</v>
      </c>
    </row>
    <row r="1332" spans="2:19" x14ac:dyDescent="0.3">
      <c r="B1332" s="24">
        <v>380607</v>
      </c>
      <c r="C1332" s="25">
        <v>34</v>
      </c>
      <c r="D1332" s="25">
        <v>3</v>
      </c>
      <c r="E1332" s="25">
        <v>12</v>
      </c>
      <c r="F1332" s="25">
        <v>6</v>
      </c>
      <c r="G1332" s="25">
        <v>46</v>
      </c>
      <c r="H1332" s="25">
        <v>5.7</v>
      </c>
      <c r="I1332" s="25">
        <v>0.83</v>
      </c>
      <c r="J1332" s="25">
        <v>1.79</v>
      </c>
      <c r="K1332" s="26">
        <v>0</v>
      </c>
      <c r="L1332" s="25">
        <f t="shared" si="160"/>
        <v>-3.1902247917010045</v>
      </c>
      <c r="M1332" s="25">
        <f t="shared" si="166"/>
        <v>3.9535242830271038E-2</v>
      </c>
      <c r="N1332" s="25">
        <f t="shared" si="161"/>
        <v>0.96046475716972901</v>
      </c>
      <c r="O1332" s="25">
        <f t="shared" si="162"/>
        <v>-4.0337989617726423E-2</v>
      </c>
      <c r="P1332" s="25">
        <f t="shared" si="163"/>
        <v>0</v>
      </c>
      <c r="Q1332" s="25">
        <f t="shared" si="167"/>
        <v>579.17342711726155</v>
      </c>
      <c r="R1332" s="25">
        <f t="shared" si="164"/>
        <v>5</v>
      </c>
      <c r="S1332" s="26">
        <f t="shared" si="165"/>
        <v>8</v>
      </c>
    </row>
    <row r="1333" spans="2:19" x14ac:dyDescent="0.3">
      <c r="B1333" s="24">
        <v>380660</v>
      </c>
      <c r="C1333" s="25">
        <v>19</v>
      </c>
      <c r="D1333" s="25">
        <v>2</v>
      </c>
      <c r="E1333" s="25">
        <v>0</v>
      </c>
      <c r="F1333" s="25">
        <v>0</v>
      </c>
      <c r="G1333" s="25">
        <v>20</v>
      </c>
      <c r="H1333" s="25">
        <v>7</v>
      </c>
      <c r="I1333" s="25">
        <v>0.19</v>
      </c>
      <c r="J1333" s="25">
        <v>1.21</v>
      </c>
      <c r="K1333" s="26">
        <v>0</v>
      </c>
      <c r="L1333" s="25">
        <f t="shared" si="160"/>
        <v>-9.6433582700604981E-2</v>
      </c>
      <c r="M1333" s="25">
        <f t="shared" si="166"/>
        <v>0.47591026984046181</v>
      </c>
      <c r="N1333" s="25">
        <f t="shared" si="161"/>
        <v>0.52408973015953819</v>
      </c>
      <c r="O1333" s="25">
        <f t="shared" si="162"/>
        <v>-0.64609236855864327</v>
      </c>
      <c r="P1333" s="25">
        <f t="shared" si="163"/>
        <v>1</v>
      </c>
      <c r="Q1333" s="25">
        <f t="shared" si="167"/>
        <v>489.905484951885</v>
      </c>
      <c r="R1333" s="25">
        <f t="shared" si="164"/>
        <v>7</v>
      </c>
      <c r="S1333" s="26">
        <f t="shared" si="165"/>
        <v>15</v>
      </c>
    </row>
    <row r="1334" spans="2:19" x14ac:dyDescent="0.3">
      <c r="B1334" s="24">
        <v>380677</v>
      </c>
      <c r="C1334" s="25">
        <v>26</v>
      </c>
      <c r="D1334" s="25">
        <v>2</v>
      </c>
      <c r="E1334" s="25">
        <v>1</v>
      </c>
      <c r="F1334" s="25">
        <v>3</v>
      </c>
      <c r="G1334" s="25">
        <v>48</v>
      </c>
      <c r="H1334" s="25">
        <v>11.2</v>
      </c>
      <c r="I1334" s="25">
        <v>0.16</v>
      </c>
      <c r="J1334" s="25">
        <v>5.21</v>
      </c>
      <c r="K1334" s="26">
        <v>1</v>
      </c>
      <c r="L1334" s="25">
        <f t="shared" si="160"/>
        <v>-6.0637665444411348E-2</v>
      </c>
      <c r="M1334" s="25">
        <f t="shared" si="166"/>
        <v>0.48484522693653964</v>
      </c>
      <c r="N1334" s="25">
        <f t="shared" si="161"/>
        <v>0.48484522693653964</v>
      </c>
      <c r="O1334" s="25">
        <f t="shared" si="162"/>
        <v>-0.72392555869266151</v>
      </c>
      <c r="P1334" s="25">
        <f t="shared" si="163"/>
        <v>1</v>
      </c>
      <c r="Q1334" s="25">
        <f t="shared" si="167"/>
        <v>488.87263313496646</v>
      </c>
      <c r="R1334" s="25">
        <f t="shared" si="164"/>
        <v>7</v>
      </c>
      <c r="S1334" s="26">
        <f t="shared" si="165"/>
        <v>15</v>
      </c>
    </row>
    <row r="1335" spans="2:19" x14ac:dyDescent="0.3">
      <c r="B1335" s="24">
        <v>380681</v>
      </c>
      <c r="C1335" s="25">
        <v>25</v>
      </c>
      <c r="D1335" s="25">
        <v>4</v>
      </c>
      <c r="E1335" s="25">
        <v>0</v>
      </c>
      <c r="F1335" s="25">
        <v>1</v>
      </c>
      <c r="G1335" s="25">
        <v>52</v>
      </c>
      <c r="H1335" s="25">
        <v>4.9000000000000004</v>
      </c>
      <c r="I1335" s="25">
        <v>0.67</v>
      </c>
      <c r="J1335" s="25">
        <v>1.88</v>
      </c>
      <c r="K1335" s="26">
        <v>1</v>
      </c>
      <c r="L1335" s="25">
        <f t="shared" si="160"/>
        <v>-0.32335384192422578</v>
      </c>
      <c r="M1335" s="25">
        <f t="shared" si="166"/>
        <v>0.41985860903213479</v>
      </c>
      <c r="N1335" s="25">
        <f t="shared" si="161"/>
        <v>0.41985860903213479</v>
      </c>
      <c r="O1335" s="25">
        <f t="shared" si="162"/>
        <v>-0.86783726954400986</v>
      </c>
      <c r="P1335" s="25">
        <f t="shared" si="163"/>
        <v>1</v>
      </c>
      <c r="Q1335" s="25">
        <f t="shared" si="167"/>
        <v>496.45301941949742</v>
      </c>
      <c r="R1335" s="25">
        <f t="shared" si="164"/>
        <v>7</v>
      </c>
      <c r="S1335" s="26">
        <f t="shared" si="165"/>
        <v>14</v>
      </c>
    </row>
    <row r="1336" spans="2:19" x14ac:dyDescent="0.3">
      <c r="B1336" s="24">
        <v>380772</v>
      </c>
      <c r="C1336" s="25">
        <v>75</v>
      </c>
      <c r="D1336" s="25">
        <v>1</v>
      </c>
      <c r="E1336" s="25">
        <v>32</v>
      </c>
      <c r="F1336" s="25">
        <v>23</v>
      </c>
      <c r="G1336" s="25">
        <v>78</v>
      </c>
      <c r="H1336" s="25">
        <v>4.4000000000000004</v>
      </c>
      <c r="I1336" s="25">
        <v>0.69</v>
      </c>
      <c r="J1336" s="25">
        <v>2.74</v>
      </c>
      <c r="K1336" s="26">
        <v>0</v>
      </c>
      <c r="L1336" s="25">
        <f t="shared" si="160"/>
        <v>-9.212519309233473</v>
      </c>
      <c r="M1336" s="25">
        <f t="shared" si="166"/>
        <v>9.977238796763826E-5</v>
      </c>
      <c r="N1336" s="25">
        <f t="shared" si="161"/>
        <v>0.99990022761203234</v>
      </c>
      <c r="O1336" s="25">
        <f t="shared" si="162"/>
        <v>-9.977736556344352E-5</v>
      </c>
      <c r="P1336" s="25">
        <f t="shared" si="163"/>
        <v>0</v>
      </c>
      <c r="Q1336" s="25">
        <f t="shared" si="167"/>
        <v>752.94011089669175</v>
      </c>
      <c r="R1336" s="25">
        <f t="shared" si="164"/>
        <v>1</v>
      </c>
      <c r="S1336" s="26">
        <f t="shared" si="165"/>
        <v>1</v>
      </c>
    </row>
    <row r="1337" spans="2:19" x14ac:dyDescent="0.3">
      <c r="B1337" s="24">
        <v>380864</v>
      </c>
      <c r="C1337" s="25">
        <v>24</v>
      </c>
      <c r="D1337" s="25">
        <v>2</v>
      </c>
      <c r="E1337" s="25">
        <v>5</v>
      </c>
      <c r="F1337" s="25">
        <v>1</v>
      </c>
      <c r="G1337" s="25">
        <v>28</v>
      </c>
      <c r="H1337" s="25">
        <v>19.100000000000001</v>
      </c>
      <c r="I1337" s="25">
        <v>1.52</v>
      </c>
      <c r="J1337" s="25">
        <v>3.82</v>
      </c>
      <c r="K1337" s="26">
        <v>1</v>
      </c>
      <c r="L1337" s="25">
        <f t="shared" si="160"/>
        <v>0.53467901697507192</v>
      </c>
      <c r="M1337" s="25">
        <f t="shared" si="166"/>
        <v>0.6305737556311426</v>
      </c>
      <c r="N1337" s="25">
        <f t="shared" si="161"/>
        <v>0.6305737556311426</v>
      </c>
      <c r="O1337" s="25">
        <f t="shared" si="162"/>
        <v>-0.46112515082930033</v>
      </c>
      <c r="P1337" s="25">
        <f t="shared" si="163"/>
        <v>1</v>
      </c>
      <c r="Q1337" s="25">
        <f t="shared" si="167"/>
        <v>471.69542511210295</v>
      </c>
      <c r="R1337" s="25">
        <f t="shared" si="164"/>
        <v>7</v>
      </c>
      <c r="S1337" s="26">
        <f t="shared" si="165"/>
        <v>15</v>
      </c>
    </row>
    <row r="1338" spans="2:19" x14ac:dyDescent="0.3">
      <c r="B1338" s="24">
        <v>380873</v>
      </c>
      <c r="C1338" s="25">
        <v>43</v>
      </c>
      <c r="D1338" s="25">
        <v>2</v>
      </c>
      <c r="E1338" s="25">
        <v>3</v>
      </c>
      <c r="F1338" s="25">
        <v>9</v>
      </c>
      <c r="G1338" s="25">
        <v>53</v>
      </c>
      <c r="H1338" s="25">
        <v>9.8000000000000007</v>
      </c>
      <c r="I1338" s="25">
        <v>1.51</v>
      </c>
      <c r="J1338" s="25">
        <v>3.69</v>
      </c>
      <c r="K1338" s="26">
        <v>1</v>
      </c>
      <c r="L1338" s="25">
        <f t="shared" si="160"/>
        <v>-0.61283193150960769</v>
      </c>
      <c r="M1338" s="25">
        <f t="shared" si="166"/>
        <v>0.35141346702272136</v>
      </c>
      <c r="N1338" s="25">
        <f t="shared" si="161"/>
        <v>0.35141346702272136</v>
      </c>
      <c r="O1338" s="25">
        <f t="shared" si="162"/>
        <v>-1.0457917800513559</v>
      </c>
      <c r="P1338" s="25">
        <f t="shared" si="163"/>
        <v>0</v>
      </c>
      <c r="Q1338" s="25">
        <f t="shared" si="167"/>
        <v>504.80559126858503</v>
      </c>
      <c r="R1338" s="25">
        <f t="shared" si="164"/>
        <v>7</v>
      </c>
      <c r="S1338" s="26">
        <f t="shared" si="165"/>
        <v>14</v>
      </c>
    </row>
    <row r="1339" spans="2:19" x14ac:dyDescent="0.3">
      <c r="B1339" s="24">
        <v>380879</v>
      </c>
      <c r="C1339" s="25">
        <v>33</v>
      </c>
      <c r="D1339" s="25">
        <v>3</v>
      </c>
      <c r="E1339" s="25">
        <v>8</v>
      </c>
      <c r="F1339" s="25">
        <v>7</v>
      </c>
      <c r="G1339" s="25">
        <v>37</v>
      </c>
      <c r="H1339" s="25">
        <v>3.9</v>
      </c>
      <c r="I1339" s="25">
        <v>0.56000000000000005</v>
      </c>
      <c r="J1339" s="25">
        <v>0.89</v>
      </c>
      <c r="K1339" s="26">
        <v>0</v>
      </c>
      <c r="L1339" s="25">
        <f t="shared" si="160"/>
        <v>-2.6280791097536054</v>
      </c>
      <c r="M1339" s="25">
        <f t="shared" si="166"/>
        <v>6.735301412096921E-2</v>
      </c>
      <c r="N1339" s="25">
        <f t="shared" si="161"/>
        <v>0.93264698587903083</v>
      </c>
      <c r="O1339" s="25">
        <f t="shared" si="162"/>
        <v>-6.9728514278237466E-2</v>
      </c>
      <c r="P1339" s="25">
        <f t="shared" si="163"/>
        <v>0</v>
      </c>
      <c r="Q1339" s="25">
        <f t="shared" si="167"/>
        <v>562.95333182491959</v>
      </c>
      <c r="R1339" s="25">
        <f t="shared" si="164"/>
        <v>5</v>
      </c>
      <c r="S1339" s="26">
        <f t="shared" si="165"/>
        <v>10</v>
      </c>
    </row>
    <row r="1340" spans="2:19" x14ac:dyDescent="0.3">
      <c r="B1340" s="24">
        <v>380900</v>
      </c>
      <c r="C1340" s="25">
        <v>61</v>
      </c>
      <c r="D1340" s="25">
        <v>3</v>
      </c>
      <c r="E1340" s="25">
        <v>20</v>
      </c>
      <c r="F1340" s="25">
        <v>17</v>
      </c>
      <c r="G1340" s="25">
        <v>38</v>
      </c>
      <c r="H1340" s="25">
        <v>3.2</v>
      </c>
      <c r="I1340" s="25">
        <v>0.35</v>
      </c>
      <c r="J1340" s="25">
        <v>0.87</v>
      </c>
      <c r="K1340" s="26">
        <v>0</v>
      </c>
      <c r="L1340" s="25">
        <f t="shared" si="160"/>
        <v>-6.4430568862505204</v>
      </c>
      <c r="M1340" s="25">
        <f t="shared" si="166"/>
        <v>1.5890051423730529E-3</v>
      </c>
      <c r="N1340" s="25">
        <f t="shared" si="161"/>
        <v>0.99841099485762697</v>
      </c>
      <c r="O1340" s="25">
        <f t="shared" si="162"/>
        <v>-1.5902689500196081E-3</v>
      </c>
      <c r="P1340" s="25">
        <f t="shared" si="163"/>
        <v>0</v>
      </c>
      <c r="Q1340" s="25">
        <f t="shared" si="167"/>
        <v>673.03031909018387</v>
      </c>
      <c r="R1340" s="25">
        <f t="shared" si="164"/>
        <v>2</v>
      </c>
      <c r="S1340" s="26">
        <f t="shared" si="165"/>
        <v>1</v>
      </c>
    </row>
    <row r="1341" spans="2:19" x14ac:dyDescent="0.3">
      <c r="B1341" s="24">
        <v>380906</v>
      </c>
      <c r="C1341" s="25">
        <v>23</v>
      </c>
      <c r="D1341" s="25">
        <v>2</v>
      </c>
      <c r="E1341" s="25">
        <v>1</v>
      </c>
      <c r="F1341" s="25">
        <v>2</v>
      </c>
      <c r="G1341" s="25">
        <v>26</v>
      </c>
      <c r="H1341" s="25">
        <v>12.8</v>
      </c>
      <c r="I1341" s="25">
        <v>0.55000000000000004</v>
      </c>
      <c r="J1341" s="25">
        <v>2.78</v>
      </c>
      <c r="K1341" s="26">
        <v>0</v>
      </c>
      <c r="L1341" s="25">
        <f t="shared" si="160"/>
        <v>0.31493232974547919</v>
      </c>
      <c r="M1341" s="25">
        <f t="shared" si="166"/>
        <v>0.5780887280509257</v>
      </c>
      <c r="N1341" s="25">
        <f t="shared" si="161"/>
        <v>0.4219112719490743</v>
      </c>
      <c r="O1341" s="25">
        <f t="shared" si="162"/>
        <v>-0.86296024309787389</v>
      </c>
      <c r="P1341" s="25">
        <f t="shared" si="163"/>
        <v>1</v>
      </c>
      <c r="Q1341" s="25">
        <f t="shared" si="167"/>
        <v>478.03597405075692</v>
      </c>
      <c r="R1341" s="25">
        <f t="shared" si="164"/>
        <v>7</v>
      </c>
      <c r="S1341" s="26">
        <f t="shared" si="165"/>
        <v>15</v>
      </c>
    </row>
    <row r="1342" spans="2:19" x14ac:dyDescent="0.3">
      <c r="B1342" s="24">
        <v>380923</v>
      </c>
      <c r="C1342" s="25">
        <v>32</v>
      </c>
      <c r="D1342" s="25">
        <v>4</v>
      </c>
      <c r="E1342" s="25">
        <v>6</v>
      </c>
      <c r="F1342" s="25">
        <v>2</v>
      </c>
      <c r="G1342" s="25">
        <v>31</v>
      </c>
      <c r="H1342" s="25">
        <v>14.2</v>
      </c>
      <c r="I1342" s="25">
        <v>1.36</v>
      </c>
      <c r="J1342" s="25">
        <v>3.04</v>
      </c>
      <c r="K1342" s="26">
        <v>0</v>
      </c>
      <c r="L1342" s="25">
        <f t="shared" si="160"/>
        <v>-0.58668027276548806</v>
      </c>
      <c r="M1342" s="25">
        <f t="shared" si="166"/>
        <v>0.35739691587525085</v>
      </c>
      <c r="N1342" s="25">
        <f t="shared" si="161"/>
        <v>0.6426030841247492</v>
      </c>
      <c r="O1342" s="25">
        <f t="shared" si="162"/>
        <v>-0.44222803286472978</v>
      </c>
      <c r="P1342" s="25">
        <f t="shared" si="163"/>
        <v>0</v>
      </c>
      <c r="Q1342" s="25">
        <f t="shared" si="167"/>
        <v>504.05101392234809</v>
      </c>
      <c r="R1342" s="25">
        <f t="shared" si="164"/>
        <v>7</v>
      </c>
      <c r="S1342" s="26">
        <f t="shared" si="165"/>
        <v>14</v>
      </c>
    </row>
    <row r="1343" spans="2:19" x14ac:dyDescent="0.3">
      <c r="B1343" s="24">
        <v>380997</v>
      </c>
      <c r="C1343" s="25">
        <v>25</v>
      </c>
      <c r="D1343" s="25">
        <v>2</v>
      </c>
      <c r="E1343" s="25">
        <v>2</v>
      </c>
      <c r="F1343" s="25">
        <v>3</v>
      </c>
      <c r="G1343" s="25">
        <v>21</v>
      </c>
      <c r="H1343" s="25">
        <v>14.4</v>
      </c>
      <c r="I1343" s="25">
        <v>0.99</v>
      </c>
      <c r="J1343" s="25">
        <v>2.04</v>
      </c>
      <c r="K1343" s="26">
        <v>1</v>
      </c>
      <c r="L1343" s="25">
        <f t="shared" si="160"/>
        <v>0.36104126428937594</v>
      </c>
      <c r="M1343" s="25">
        <f t="shared" si="166"/>
        <v>0.5892924713902995</v>
      </c>
      <c r="N1343" s="25">
        <f t="shared" si="161"/>
        <v>0.5892924713902995</v>
      </c>
      <c r="O1343" s="25">
        <f t="shared" si="162"/>
        <v>-0.52883266273268958</v>
      </c>
      <c r="P1343" s="25">
        <f t="shared" si="163"/>
        <v>1</v>
      </c>
      <c r="Q1343" s="25">
        <f t="shared" si="167"/>
        <v>476.70555146432076</v>
      </c>
      <c r="R1343" s="25">
        <f t="shared" si="164"/>
        <v>7</v>
      </c>
      <c r="S1343" s="26">
        <f t="shared" si="165"/>
        <v>15</v>
      </c>
    </row>
    <row r="1344" spans="2:19" x14ac:dyDescent="0.3">
      <c r="B1344" s="24">
        <v>381027</v>
      </c>
      <c r="C1344" s="25">
        <v>42</v>
      </c>
      <c r="D1344" s="25">
        <v>5</v>
      </c>
      <c r="E1344" s="25">
        <v>2</v>
      </c>
      <c r="F1344" s="25">
        <v>9</v>
      </c>
      <c r="G1344" s="25">
        <v>147</v>
      </c>
      <c r="H1344" s="25">
        <v>17.7</v>
      </c>
      <c r="I1344" s="25">
        <v>5.05</v>
      </c>
      <c r="J1344" s="25">
        <v>20.97</v>
      </c>
      <c r="K1344" s="26">
        <v>1</v>
      </c>
      <c r="L1344" s="25">
        <f t="shared" si="160"/>
        <v>2.394030393201378</v>
      </c>
      <c r="M1344" s="25">
        <f t="shared" si="166"/>
        <v>0.91637095697567517</v>
      </c>
      <c r="N1344" s="25">
        <f t="shared" si="161"/>
        <v>0.91637095697567517</v>
      </c>
      <c r="O1344" s="25">
        <f t="shared" si="162"/>
        <v>-8.7334021423920397E-2</v>
      </c>
      <c r="P1344" s="25">
        <f t="shared" si="163"/>
        <v>1</v>
      </c>
      <c r="Q1344" s="25">
        <f t="shared" si="167"/>
        <v>418.04588643760673</v>
      </c>
      <c r="R1344" s="25">
        <f t="shared" si="164"/>
        <v>8</v>
      </c>
      <c r="S1344" s="26">
        <f t="shared" si="165"/>
        <v>16</v>
      </c>
    </row>
    <row r="1345" spans="2:19" x14ac:dyDescent="0.3">
      <c r="B1345" s="24">
        <v>381047</v>
      </c>
      <c r="C1345" s="25">
        <v>23</v>
      </c>
      <c r="D1345" s="25">
        <v>4</v>
      </c>
      <c r="E1345" s="25">
        <v>0</v>
      </c>
      <c r="F1345" s="25">
        <v>1</v>
      </c>
      <c r="G1345" s="25">
        <v>30</v>
      </c>
      <c r="H1345" s="25">
        <v>12.2</v>
      </c>
      <c r="I1345" s="25">
        <v>2.25</v>
      </c>
      <c r="J1345" s="25">
        <v>1.41</v>
      </c>
      <c r="K1345" s="26">
        <v>1</v>
      </c>
      <c r="L1345" s="25">
        <f t="shared" si="160"/>
        <v>1.1789155618741116</v>
      </c>
      <c r="M1345" s="25">
        <f t="shared" si="166"/>
        <v>0.76475276288280136</v>
      </c>
      <c r="N1345" s="25">
        <f t="shared" si="161"/>
        <v>0.76475276288280136</v>
      </c>
      <c r="O1345" s="25">
        <f t="shared" si="162"/>
        <v>-0.26820268316549423</v>
      </c>
      <c r="P1345" s="25">
        <f t="shared" si="163"/>
        <v>1</v>
      </c>
      <c r="Q1345" s="25">
        <f t="shared" si="167"/>
        <v>453.10668826924058</v>
      </c>
      <c r="R1345" s="25">
        <f t="shared" si="164"/>
        <v>8</v>
      </c>
      <c r="S1345" s="26">
        <f t="shared" si="165"/>
        <v>16</v>
      </c>
    </row>
    <row r="1346" spans="2:19" x14ac:dyDescent="0.3">
      <c r="B1346" s="24">
        <v>381056</v>
      </c>
      <c r="C1346" s="25">
        <v>25</v>
      </c>
      <c r="D1346" s="25">
        <v>3</v>
      </c>
      <c r="E1346" s="25">
        <v>1</v>
      </c>
      <c r="F1346" s="25">
        <v>3</v>
      </c>
      <c r="G1346" s="25">
        <v>27</v>
      </c>
      <c r="H1346" s="25">
        <v>12.7</v>
      </c>
      <c r="I1346" s="25">
        <v>0.03</v>
      </c>
      <c r="J1346" s="25">
        <v>3.39</v>
      </c>
      <c r="K1346" s="26">
        <v>1</v>
      </c>
      <c r="L1346" s="25">
        <f t="shared" si="160"/>
        <v>-5.5008087360333247E-2</v>
      </c>
      <c r="M1346" s="25">
        <f t="shared" si="166"/>
        <v>0.48625144478603238</v>
      </c>
      <c r="N1346" s="25">
        <f t="shared" si="161"/>
        <v>0.48625144478603238</v>
      </c>
      <c r="O1346" s="25">
        <f t="shared" si="162"/>
        <v>-0.7210294127715664</v>
      </c>
      <c r="P1346" s="25">
        <f t="shared" si="163"/>
        <v>1</v>
      </c>
      <c r="Q1346" s="25">
        <f t="shared" si="167"/>
        <v>488.71019785188633</v>
      </c>
      <c r="R1346" s="25">
        <f t="shared" si="164"/>
        <v>7</v>
      </c>
      <c r="S1346" s="26">
        <f t="shared" si="165"/>
        <v>15</v>
      </c>
    </row>
    <row r="1347" spans="2:19" x14ac:dyDescent="0.3">
      <c r="B1347" s="24">
        <v>381121</v>
      </c>
      <c r="C1347" s="25">
        <v>22</v>
      </c>
      <c r="D1347" s="25">
        <v>4</v>
      </c>
      <c r="E1347" s="25">
        <v>0</v>
      </c>
      <c r="F1347" s="25">
        <v>2</v>
      </c>
      <c r="G1347" s="25">
        <v>50</v>
      </c>
      <c r="H1347" s="25">
        <v>1.2</v>
      </c>
      <c r="I1347" s="25">
        <v>0.21</v>
      </c>
      <c r="J1347" s="25">
        <v>0.39</v>
      </c>
      <c r="K1347" s="26">
        <v>0</v>
      </c>
      <c r="L1347" s="25">
        <f t="shared" si="160"/>
        <v>-0.91556429180612864</v>
      </c>
      <c r="M1347" s="25">
        <f t="shared" si="166"/>
        <v>0.28586256186438752</v>
      </c>
      <c r="N1347" s="25">
        <f t="shared" si="161"/>
        <v>0.71413743813561248</v>
      </c>
      <c r="O1347" s="25">
        <f t="shared" si="162"/>
        <v>-0.33667984478043805</v>
      </c>
      <c r="P1347" s="25">
        <f t="shared" si="163"/>
        <v>0</v>
      </c>
      <c r="Q1347" s="25">
        <f t="shared" si="167"/>
        <v>513.54060051934482</v>
      </c>
      <c r="R1347" s="25">
        <f t="shared" si="164"/>
        <v>7</v>
      </c>
      <c r="S1347" s="26">
        <f t="shared" si="165"/>
        <v>13</v>
      </c>
    </row>
    <row r="1348" spans="2:19" x14ac:dyDescent="0.3">
      <c r="B1348" s="24">
        <v>381164</v>
      </c>
      <c r="C1348" s="25">
        <v>19</v>
      </c>
      <c r="D1348" s="25">
        <v>2</v>
      </c>
      <c r="E1348" s="25">
        <v>0</v>
      </c>
      <c r="F1348" s="25">
        <v>0</v>
      </c>
      <c r="G1348" s="25">
        <v>16</v>
      </c>
      <c r="H1348" s="25">
        <v>6.6</v>
      </c>
      <c r="I1348" s="25">
        <v>0</v>
      </c>
      <c r="J1348" s="25">
        <v>1.05</v>
      </c>
      <c r="K1348" s="26">
        <v>0</v>
      </c>
      <c r="L1348" s="25">
        <f t="shared" si="160"/>
        <v>-0.23119829057624702</v>
      </c>
      <c r="M1348" s="25">
        <f t="shared" si="166"/>
        <v>0.44245652025041743</v>
      </c>
      <c r="N1348" s="25">
        <f t="shared" si="161"/>
        <v>0.55754347974958263</v>
      </c>
      <c r="O1348" s="25">
        <f t="shared" si="162"/>
        <v>-0.58421478810675953</v>
      </c>
      <c r="P1348" s="25">
        <f t="shared" si="163"/>
        <v>1</v>
      </c>
      <c r="Q1348" s="25">
        <f t="shared" si="167"/>
        <v>493.79397235645797</v>
      </c>
      <c r="R1348" s="25">
        <f t="shared" si="164"/>
        <v>7</v>
      </c>
      <c r="S1348" s="26">
        <f t="shared" si="165"/>
        <v>14</v>
      </c>
    </row>
    <row r="1349" spans="2:19" x14ac:dyDescent="0.3">
      <c r="B1349" s="24">
        <v>381168</v>
      </c>
      <c r="C1349" s="25">
        <v>35</v>
      </c>
      <c r="D1349" s="25">
        <v>4</v>
      </c>
      <c r="E1349" s="25">
        <v>4</v>
      </c>
      <c r="F1349" s="25">
        <v>6</v>
      </c>
      <c r="G1349" s="25">
        <v>18</v>
      </c>
      <c r="H1349" s="25">
        <v>4.8</v>
      </c>
      <c r="I1349" s="25">
        <v>0.32</v>
      </c>
      <c r="J1349" s="25">
        <v>0.55000000000000004</v>
      </c>
      <c r="K1349" s="26">
        <v>0</v>
      </c>
      <c r="L1349" s="25">
        <f t="shared" ref="L1349:L1412" si="168">$Y$4+SUMPRODUCT($Z$4:$AG$4,C1349:J1349)</f>
        <v>-1.8239272800073283</v>
      </c>
      <c r="M1349" s="25">
        <f t="shared" si="166"/>
        <v>0.13896329747232056</v>
      </c>
      <c r="N1349" s="25">
        <f t="shared" ref="N1349:N1412" si="169">IF(K1349=1,M1349,(1-M1349))</f>
        <v>0.8610367025276795</v>
      </c>
      <c r="O1349" s="25">
        <f t="shared" ref="O1349:O1412" si="170">LN(N1349)</f>
        <v>-0.14961814767237616</v>
      </c>
      <c r="P1349" s="25">
        <f t="shared" ref="P1349:P1412" si="171">IF(M1349&gt;0.4,1,0)</f>
        <v>0</v>
      </c>
      <c r="Q1349" s="25">
        <f t="shared" si="167"/>
        <v>539.75041534460343</v>
      </c>
      <c r="R1349" s="25">
        <f t="shared" ref="R1349:R1412" si="172">VLOOKUP(M1349,$U$9:$W$16,3,TRUE)</f>
        <v>6</v>
      </c>
      <c r="S1349" s="26">
        <f t="shared" ref="S1349:S1412" si="173">VLOOKUP(M1349,$U$21:$W$37,3,TRUE)</f>
        <v>12</v>
      </c>
    </row>
    <row r="1350" spans="2:19" x14ac:dyDescent="0.3">
      <c r="B1350" s="24">
        <v>381175</v>
      </c>
      <c r="C1350" s="25">
        <v>58</v>
      </c>
      <c r="D1350" s="25">
        <v>2</v>
      </c>
      <c r="E1350" s="25">
        <v>9</v>
      </c>
      <c r="F1350" s="25">
        <v>13</v>
      </c>
      <c r="G1350" s="25">
        <v>51</v>
      </c>
      <c r="H1350" s="25">
        <v>4.4000000000000004</v>
      </c>
      <c r="I1350" s="25">
        <v>0.64</v>
      </c>
      <c r="J1350" s="25">
        <v>1.6</v>
      </c>
      <c r="K1350" s="26">
        <v>0</v>
      </c>
      <c r="L1350" s="25">
        <f t="shared" si="168"/>
        <v>-3.4276974200477959</v>
      </c>
      <c r="M1350" s="25">
        <f t="shared" ref="M1350:M1413" si="174">EXP(L1350)/(1+EXP(L1350))</f>
        <v>3.1440975827441341E-2</v>
      </c>
      <c r="N1350" s="25">
        <f t="shared" si="169"/>
        <v>0.96855902417255868</v>
      </c>
      <c r="O1350" s="25">
        <f t="shared" si="170"/>
        <v>-3.1945854086506256E-2</v>
      </c>
      <c r="P1350" s="25">
        <f t="shared" si="171"/>
        <v>0</v>
      </c>
      <c r="Q1350" s="25">
        <f t="shared" si="167"/>
        <v>586.02543858831712</v>
      </c>
      <c r="R1350" s="25">
        <f t="shared" si="172"/>
        <v>5</v>
      </c>
      <c r="S1350" s="26">
        <f t="shared" si="173"/>
        <v>8</v>
      </c>
    </row>
    <row r="1351" spans="2:19" x14ac:dyDescent="0.3">
      <c r="B1351" s="24">
        <v>381210</v>
      </c>
      <c r="C1351" s="25">
        <v>38</v>
      </c>
      <c r="D1351" s="25">
        <v>4</v>
      </c>
      <c r="E1351" s="25">
        <v>12</v>
      </c>
      <c r="F1351" s="25">
        <v>9</v>
      </c>
      <c r="G1351" s="25">
        <v>37</v>
      </c>
      <c r="H1351" s="25">
        <v>13.2</v>
      </c>
      <c r="I1351" s="25">
        <v>3.24</v>
      </c>
      <c r="J1351" s="25">
        <v>1.65</v>
      </c>
      <c r="K1351" s="26">
        <v>1</v>
      </c>
      <c r="L1351" s="25">
        <f t="shared" si="168"/>
        <v>-1.5444162953307354</v>
      </c>
      <c r="M1351" s="25">
        <f t="shared" si="174"/>
        <v>0.17589419224126862</v>
      </c>
      <c r="N1351" s="25">
        <f t="shared" si="169"/>
        <v>0.17589419224126862</v>
      </c>
      <c r="O1351" s="25">
        <f t="shared" si="170"/>
        <v>-1.7378726451727462</v>
      </c>
      <c r="P1351" s="25">
        <f t="shared" si="171"/>
        <v>0</v>
      </c>
      <c r="Q1351" s="25">
        <f t="shared" si="167"/>
        <v>531.68543334384344</v>
      </c>
      <c r="R1351" s="25">
        <f t="shared" si="172"/>
        <v>6</v>
      </c>
      <c r="S1351" s="26">
        <f t="shared" si="173"/>
        <v>12</v>
      </c>
    </row>
    <row r="1352" spans="2:19" x14ac:dyDescent="0.3">
      <c r="B1352" s="24">
        <v>381252</v>
      </c>
      <c r="C1352" s="25">
        <v>43</v>
      </c>
      <c r="D1352" s="25">
        <v>3</v>
      </c>
      <c r="E1352" s="25">
        <v>16</v>
      </c>
      <c r="F1352" s="25">
        <v>6</v>
      </c>
      <c r="G1352" s="25">
        <v>102</v>
      </c>
      <c r="H1352" s="25">
        <v>2.5</v>
      </c>
      <c r="I1352" s="25">
        <v>0.57999999999999996</v>
      </c>
      <c r="J1352" s="25">
        <v>1.97</v>
      </c>
      <c r="K1352" s="26">
        <v>0</v>
      </c>
      <c r="L1352" s="25">
        <f t="shared" si="168"/>
        <v>-4.7099248872220691</v>
      </c>
      <c r="M1352" s="25">
        <f t="shared" si="174"/>
        <v>8.9250795881838374E-3</v>
      </c>
      <c r="N1352" s="25">
        <f t="shared" si="169"/>
        <v>0.99107492041181611</v>
      </c>
      <c r="O1352" s="25">
        <f t="shared" si="170"/>
        <v>-8.965146690558163E-3</v>
      </c>
      <c r="P1352" s="25">
        <f t="shared" si="171"/>
        <v>0</v>
      </c>
      <c r="Q1352" s="25">
        <f t="shared" si="167"/>
        <v>623.02270170341683</v>
      </c>
      <c r="R1352" s="25">
        <f t="shared" si="172"/>
        <v>3</v>
      </c>
      <c r="S1352" s="26">
        <f t="shared" si="173"/>
        <v>5</v>
      </c>
    </row>
    <row r="1353" spans="2:19" x14ac:dyDescent="0.3">
      <c r="B1353" s="24">
        <v>381261</v>
      </c>
      <c r="C1353" s="25">
        <v>34</v>
      </c>
      <c r="D1353" s="25">
        <v>2</v>
      </c>
      <c r="E1353" s="25">
        <v>14</v>
      </c>
      <c r="F1353" s="25">
        <v>4</v>
      </c>
      <c r="G1353" s="25">
        <v>59</v>
      </c>
      <c r="H1353" s="25">
        <v>6.5</v>
      </c>
      <c r="I1353" s="25">
        <v>2.2999999999999998</v>
      </c>
      <c r="J1353" s="25">
        <v>1.54</v>
      </c>
      <c r="K1353" s="26">
        <v>0</v>
      </c>
      <c r="L1353" s="25">
        <f t="shared" si="168"/>
        <v>-2.751466623426257</v>
      </c>
      <c r="M1353" s="25">
        <f t="shared" si="174"/>
        <v>6.000387421141546E-2</v>
      </c>
      <c r="N1353" s="25">
        <f t="shared" si="169"/>
        <v>0.93999612578858449</v>
      </c>
      <c r="O1353" s="25">
        <f t="shared" si="170"/>
        <v>-6.1879525228086742E-2</v>
      </c>
      <c r="P1353" s="25">
        <f t="shared" si="171"/>
        <v>0</v>
      </c>
      <c r="Q1353" s="25">
        <f t="shared" ref="Q1353:Q1416" si="175">28.8539*LN((1-M1353)/(M1353))+487.123</f>
        <v>566.51354280567887</v>
      </c>
      <c r="R1353" s="25">
        <f t="shared" si="172"/>
        <v>5</v>
      </c>
      <c r="S1353" s="26">
        <f t="shared" si="173"/>
        <v>9</v>
      </c>
    </row>
    <row r="1354" spans="2:19" x14ac:dyDescent="0.3">
      <c r="B1354" s="24">
        <v>381274</v>
      </c>
      <c r="C1354" s="25">
        <v>28</v>
      </c>
      <c r="D1354" s="25">
        <v>2</v>
      </c>
      <c r="E1354" s="25">
        <v>7</v>
      </c>
      <c r="F1354" s="25">
        <v>3</v>
      </c>
      <c r="G1354" s="25">
        <v>88</v>
      </c>
      <c r="H1354" s="25">
        <v>10.6</v>
      </c>
      <c r="I1354" s="25">
        <v>2.21</v>
      </c>
      <c r="J1354" s="25">
        <v>7.12</v>
      </c>
      <c r="K1354" s="26">
        <v>0</v>
      </c>
      <c r="L1354" s="25">
        <f t="shared" si="168"/>
        <v>-0.4930621106505777</v>
      </c>
      <c r="M1354" s="25">
        <f t="shared" si="174"/>
        <v>0.37917247840520768</v>
      </c>
      <c r="N1354" s="25">
        <f t="shared" si="169"/>
        <v>0.62082752159479226</v>
      </c>
      <c r="O1354" s="25">
        <f t="shared" si="170"/>
        <v>-0.47670197862994473</v>
      </c>
      <c r="P1354" s="25">
        <f t="shared" si="171"/>
        <v>0</v>
      </c>
      <c r="Q1354" s="25">
        <f t="shared" si="175"/>
        <v>501.34976483450072</v>
      </c>
      <c r="R1354" s="25">
        <f t="shared" si="172"/>
        <v>7</v>
      </c>
      <c r="S1354" s="26">
        <f t="shared" si="173"/>
        <v>14</v>
      </c>
    </row>
    <row r="1355" spans="2:19" x14ac:dyDescent="0.3">
      <c r="B1355" s="24">
        <v>381281</v>
      </c>
      <c r="C1355" s="25">
        <v>23</v>
      </c>
      <c r="D1355" s="25">
        <v>3</v>
      </c>
      <c r="E1355" s="25">
        <v>0</v>
      </c>
      <c r="F1355" s="25">
        <v>2</v>
      </c>
      <c r="G1355" s="25">
        <v>36</v>
      </c>
      <c r="H1355" s="25">
        <v>24.2</v>
      </c>
      <c r="I1355" s="25">
        <v>5.88</v>
      </c>
      <c r="J1355" s="25">
        <v>2.83</v>
      </c>
      <c r="K1355" s="26">
        <v>1</v>
      </c>
      <c r="L1355" s="25">
        <f t="shared" si="168"/>
        <v>4.1519135252056589</v>
      </c>
      <c r="M1355" s="25">
        <f t="shared" si="174"/>
        <v>0.9845094528818803</v>
      </c>
      <c r="N1355" s="25">
        <f t="shared" si="169"/>
        <v>0.9845094528818803</v>
      </c>
      <c r="O1355" s="25">
        <f t="shared" si="170"/>
        <v>-1.5611779240693052E-2</v>
      </c>
      <c r="P1355" s="25">
        <f t="shared" si="171"/>
        <v>1</v>
      </c>
      <c r="Q1355" s="25">
        <f t="shared" si="175"/>
        <v>367.32410233506857</v>
      </c>
      <c r="R1355" s="25">
        <f t="shared" si="172"/>
        <v>8</v>
      </c>
      <c r="S1355" s="26">
        <f t="shared" si="173"/>
        <v>17</v>
      </c>
    </row>
    <row r="1356" spans="2:19" x14ac:dyDescent="0.3">
      <c r="B1356" s="24">
        <v>381288</v>
      </c>
      <c r="C1356" s="25">
        <v>30</v>
      </c>
      <c r="D1356" s="25">
        <v>1</v>
      </c>
      <c r="E1356" s="25">
        <v>6</v>
      </c>
      <c r="F1356" s="25">
        <v>4</v>
      </c>
      <c r="G1356" s="25">
        <v>20</v>
      </c>
      <c r="H1356" s="25">
        <v>8.4</v>
      </c>
      <c r="I1356" s="25">
        <v>0.91</v>
      </c>
      <c r="J1356" s="25">
        <v>0.77</v>
      </c>
      <c r="K1356" s="26">
        <v>1</v>
      </c>
      <c r="L1356" s="25">
        <f t="shared" si="168"/>
        <v>-1.2988794690822387</v>
      </c>
      <c r="M1356" s="25">
        <f t="shared" si="174"/>
        <v>0.21435366087644106</v>
      </c>
      <c r="N1356" s="25">
        <f t="shared" si="169"/>
        <v>0.21435366087644106</v>
      </c>
      <c r="O1356" s="25">
        <f t="shared" si="170"/>
        <v>-1.5401280071176264</v>
      </c>
      <c r="P1356" s="25">
        <f t="shared" si="171"/>
        <v>0</v>
      </c>
      <c r="Q1356" s="25">
        <f t="shared" si="175"/>
        <v>524.60073831295199</v>
      </c>
      <c r="R1356" s="25">
        <f t="shared" si="172"/>
        <v>6</v>
      </c>
      <c r="S1356" s="26">
        <f t="shared" si="173"/>
        <v>13</v>
      </c>
    </row>
    <row r="1357" spans="2:19" x14ac:dyDescent="0.3">
      <c r="B1357" s="24">
        <v>381320</v>
      </c>
      <c r="C1357" s="25">
        <v>21</v>
      </c>
      <c r="D1357" s="25">
        <v>3</v>
      </c>
      <c r="E1357" s="25">
        <v>0</v>
      </c>
      <c r="F1357" s="25">
        <v>1</v>
      </c>
      <c r="G1357" s="25">
        <v>19</v>
      </c>
      <c r="H1357" s="25">
        <v>20.7</v>
      </c>
      <c r="I1357" s="25">
        <v>1.31</v>
      </c>
      <c r="J1357" s="25">
        <v>2.63</v>
      </c>
      <c r="K1357" s="26">
        <v>1</v>
      </c>
      <c r="L1357" s="25">
        <f t="shared" si="168"/>
        <v>1.7052768056079868</v>
      </c>
      <c r="M1357" s="25">
        <f t="shared" si="174"/>
        <v>0.8462226601506565</v>
      </c>
      <c r="N1357" s="25">
        <f t="shared" si="169"/>
        <v>0.8462226601506565</v>
      </c>
      <c r="O1357" s="25">
        <f t="shared" si="170"/>
        <v>-0.16697276233732211</v>
      </c>
      <c r="P1357" s="25">
        <f t="shared" si="171"/>
        <v>1</v>
      </c>
      <c r="Q1357" s="25">
        <f t="shared" si="175"/>
        <v>437.91911357866769</v>
      </c>
      <c r="R1357" s="25">
        <f t="shared" si="172"/>
        <v>8</v>
      </c>
      <c r="S1357" s="26">
        <f t="shared" si="173"/>
        <v>16</v>
      </c>
    </row>
    <row r="1358" spans="2:19" x14ac:dyDescent="0.3">
      <c r="B1358" s="24">
        <v>381329</v>
      </c>
      <c r="C1358" s="25">
        <v>37</v>
      </c>
      <c r="D1358" s="25">
        <v>4</v>
      </c>
      <c r="E1358" s="25">
        <v>0</v>
      </c>
      <c r="F1358" s="25">
        <v>9</v>
      </c>
      <c r="G1358" s="25">
        <v>50</v>
      </c>
      <c r="H1358" s="25">
        <v>1.3</v>
      </c>
      <c r="I1358" s="25">
        <v>0.21</v>
      </c>
      <c r="J1358" s="25">
        <v>0.44</v>
      </c>
      <c r="K1358" s="26">
        <v>0</v>
      </c>
      <c r="L1358" s="25">
        <f t="shared" si="168"/>
        <v>-1.4563803794622232</v>
      </c>
      <c r="M1358" s="25">
        <f t="shared" si="174"/>
        <v>0.18902156110499721</v>
      </c>
      <c r="N1358" s="25">
        <f t="shared" si="169"/>
        <v>0.81097843889500276</v>
      </c>
      <c r="O1358" s="25">
        <f t="shared" si="170"/>
        <v>-0.20951381104627062</v>
      </c>
      <c r="P1358" s="25">
        <f t="shared" si="171"/>
        <v>0</v>
      </c>
      <c r="Q1358" s="25">
        <f t="shared" si="175"/>
        <v>529.14525383096498</v>
      </c>
      <c r="R1358" s="25">
        <f t="shared" si="172"/>
        <v>6</v>
      </c>
      <c r="S1358" s="26">
        <f t="shared" si="173"/>
        <v>12</v>
      </c>
    </row>
    <row r="1359" spans="2:19" x14ac:dyDescent="0.3">
      <c r="B1359" s="24">
        <v>381355</v>
      </c>
      <c r="C1359" s="25">
        <v>34</v>
      </c>
      <c r="D1359" s="25">
        <v>3</v>
      </c>
      <c r="E1359" s="25">
        <v>7</v>
      </c>
      <c r="F1359" s="25">
        <v>8</v>
      </c>
      <c r="G1359" s="25">
        <v>30</v>
      </c>
      <c r="H1359" s="25">
        <v>14.2</v>
      </c>
      <c r="I1359" s="25">
        <v>0.93</v>
      </c>
      <c r="J1359" s="25">
        <v>3.33</v>
      </c>
      <c r="K1359" s="26">
        <v>0</v>
      </c>
      <c r="L1359" s="25">
        <f t="shared" si="168"/>
        <v>-1.1948028492824208</v>
      </c>
      <c r="M1359" s="25">
        <f t="shared" si="174"/>
        <v>0.23240105069757971</v>
      </c>
      <c r="N1359" s="25">
        <f t="shared" si="169"/>
        <v>0.76759894930242023</v>
      </c>
      <c r="O1359" s="25">
        <f t="shared" si="170"/>
        <v>-0.26448788365825721</v>
      </c>
      <c r="P1359" s="25">
        <f t="shared" si="171"/>
        <v>0</v>
      </c>
      <c r="Q1359" s="25">
        <f t="shared" si="175"/>
        <v>521.59772193291008</v>
      </c>
      <c r="R1359" s="25">
        <f t="shared" si="172"/>
        <v>6</v>
      </c>
      <c r="S1359" s="26">
        <f t="shared" si="173"/>
        <v>13</v>
      </c>
    </row>
    <row r="1360" spans="2:19" x14ac:dyDescent="0.3">
      <c r="B1360" s="24">
        <v>381365</v>
      </c>
      <c r="C1360" s="25">
        <v>29</v>
      </c>
      <c r="D1360" s="25">
        <v>2</v>
      </c>
      <c r="E1360" s="25">
        <v>4</v>
      </c>
      <c r="F1360" s="25">
        <v>3</v>
      </c>
      <c r="G1360" s="25">
        <v>48</v>
      </c>
      <c r="H1360" s="25">
        <v>10.8</v>
      </c>
      <c r="I1360" s="25">
        <v>2.96</v>
      </c>
      <c r="J1360" s="25">
        <v>2.2200000000000002</v>
      </c>
      <c r="K1360" s="26">
        <v>0</v>
      </c>
      <c r="L1360" s="25">
        <f t="shared" si="168"/>
        <v>0.4072499770236187</v>
      </c>
      <c r="M1360" s="25">
        <f t="shared" si="174"/>
        <v>0.60042829198150172</v>
      </c>
      <c r="N1360" s="25">
        <f t="shared" si="169"/>
        <v>0.39957170801849828</v>
      </c>
      <c r="O1360" s="25">
        <f t="shared" si="170"/>
        <v>-0.91736203546873918</v>
      </c>
      <c r="P1360" s="25">
        <f t="shared" si="171"/>
        <v>1</v>
      </c>
      <c r="Q1360" s="25">
        <f t="shared" si="175"/>
        <v>475.37224988795822</v>
      </c>
      <c r="R1360" s="25">
        <f t="shared" si="172"/>
        <v>7</v>
      </c>
      <c r="S1360" s="26">
        <f t="shared" si="173"/>
        <v>15</v>
      </c>
    </row>
    <row r="1361" spans="2:19" x14ac:dyDescent="0.3">
      <c r="B1361" s="24">
        <v>381378</v>
      </c>
      <c r="C1361" s="25">
        <v>20</v>
      </c>
      <c r="D1361" s="25">
        <v>3</v>
      </c>
      <c r="E1361" s="25">
        <v>0</v>
      </c>
      <c r="F1361" s="25">
        <v>0</v>
      </c>
      <c r="G1361" s="25">
        <v>39</v>
      </c>
      <c r="H1361" s="25">
        <v>15</v>
      </c>
      <c r="I1361" s="25">
        <v>1.42</v>
      </c>
      <c r="J1361" s="25">
        <v>4.43</v>
      </c>
      <c r="K1361" s="26">
        <v>0</v>
      </c>
      <c r="L1361" s="25">
        <f t="shared" si="168"/>
        <v>1.2933851130711824</v>
      </c>
      <c r="M1361" s="25">
        <f t="shared" si="174"/>
        <v>0.78471960354990511</v>
      </c>
      <c r="N1361" s="25">
        <f t="shared" si="169"/>
        <v>0.21528039645009489</v>
      </c>
      <c r="O1361" s="25">
        <f t="shared" si="170"/>
        <v>-1.5358139310095575</v>
      </c>
      <c r="P1361" s="25">
        <f t="shared" si="171"/>
        <v>1</v>
      </c>
      <c r="Q1361" s="25">
        <f t="shared" si="175"/>
        <v>449.8037952859554</v>
      </c>
      <c r="R1361" s="25">
        <f t="shared" si="172"/>
        <v>8</v>
      </c>
      <c r="S1361" s="26">
        <f t="shared" si="173"/>
        <v>16</v>
      </c>
    </row>
    <row r="1362" spans="2:19" x14ac:dyDescent="0.3">
      <c r="B1362" s="24">
        <v>381393</v>
      </c>
      <c r="C1362" s="25">
        <v>61</v>
      </c>
      <c r="D1362" s="25">
        <v>1</v>
      </c>
      <c r="E1362" s="25">
        <v>26</v>
      </c>
      <c r="F1362" s="25">
        <v>13</v>
      </c>
      <c r="G1362" s="25">
        <v>78</v>
      </c>
      <c r="H1362" s="25">
        <v>5</v>
      </c>
      <c r="I1362" s="25">
        <v>0.2</v>
      </c>
      <c r="J1362" s="25">
        <v>3.7</v>
      </c>
      <c r="K1362" s="26">
        <v>0</v>
      </c>
      <c r="L1362" s="25">
        <f t="shared" si="168"/>
        <v>-7.3751062797053173</v>
      </c>
      <c r="M1362" s="25">
        <f t="shared" si="174"/>
        <v>6.2626763672317875E-4</v>
      </c>
      <c r="N1362" s="25">
        <f t="shared" si="169"/>
        <v>0.99937373236327687</v>
      </c>
      <c r="O1362" s="25">
        <f t="shared" si="170"/>
        <v>-6.2646382421439634E-4</v>
      </c>
      <c r="P1362" s="25">
        <f t="shared" si="171"/>
        <v>0</v>
      </c>
      <c r="Q1362" s="25">
        <f t="shared" si="175"/>
        <v>699.92357908398924</v>
      </c>
      <c r="R1362" s="25">
        <f t="shared" si="172"/>
        <v>1</v>
      </c>
      <c r="S1362" s="26">
        <f t="shared" si="173"/>
        <v>1</v>
      </c>
    </row>
    <row r="1363" spans="2:19" x14ac:dyDescent="0.3">
      <c r="B1363" s="24">
        <v>381405</v>
      </c>
      <c r="C1363" s="25">
        <v>19</v>
      </c>
      <c r="D1363" s="25">
        <v>2</v>
      </c>
      <c r="E1363" s="25">
        <v>0</v>
      </c>
      <c r="F1363" s="25">
        <v>0</v>
      </c>
      <c r="G1363" s="25">
        <v>22</v>
      </c>
      <c r="H1363" s="25">
        <v>1.8</v>
      </c>
      <c r="I1363" s="25">
        <v>0.1</v>
      </c>
      <c r="J1363" s="25">
        <v>0.28999999999999998</v>
      </c>
      <c r="K1363" s="26">
        <v>0</v>
      </c>
      <c r="L1363" s="25">
        <f t="shared" si="168"/>
        <v>-0.67980383076089623</v>
      </c>
      <c r="M1363" s="25">
        <f t="shared" si="174"/>
        <v>0.33630508694353495</v>
      </c>
      <c r="N1363" s="25">
        <f t="shared" si="169"/>
        <v>0.66369491305646511</v>
      </c>
      <c r="O1363" s="25">
        <f t="shared" si="170"/>
        <v>-0.40993270338205751</v>
      </c>
      <c r="P1363" s="25">
        <f t="shared" si="171"/>
        <v>0</v>
      </c>
      <c r="Q1363" s="25">
        <f t="shared" si="175"/>
        <v>506.73799175239179</v>
      </c>
      <c r="R1363" s="25">
        <f t="shared" si="172"/>
        <v>7</v>
      </c>
      <c r="S1363" s="26">
        <f t="shared" si="173"/>
        <v>14</v>
      </c>
    </row>
    <row r="1364" spans="2:19" x14ac:dyDescent="0.3">
      <c r="B1364" s="24">
        <v>381421</v>
      </c>
      <c r="C1364" s="25">
        <v>71</v>
      </c>
      <c r="D1364" s="25">
        <v>1</v>
      </c>
      <c r="E1364" s="25">
        <v>7</v>
      </c>
      <c r="F1364" s="25">
        <v>19</v>
      </c>
      <c r="G1364" s="25">
        <v>26</v>
      </c>
      <c r="H1364" s="25">
        <v>7.6</v>
      </c>
      <c r="I1364" s="25">
        <v>0.37</v>
      </c>
      <c r="J1364" s="25">
        <v>1.61</v>
      </c>
      <c r="K1364" s="26">
        <v>0</v>
      </c>
      <c r="L1364" s="25">
        <f t="shared" si="168"/>
        <v>-3.212431063491481</v>
      </c>
      <c r="M1364" s="25">
        <f t="shared" si="174"/>
        <v>3.8700590462443736E-2</v>
      </c>
      <c r="N1364" s="25">
        <f t="shared" si="169"/>
        <v>0.96129940953755622</v>
      </c>
      <c r="O1364" s="25">
        <f t="shared" si="170"/>
        <v>-3.9469358143826599E-2</v>
      </c>
      <c r="P1364" s="25">
        <f t="shared" si="171"/>
        <v>0</v>
      </c>
      <c r="Q1364" s="25">
        <f t="shared" si="175"/>
        <v>579.81416466287681</v>
      </c>
      <c r="R1364" s="25">
        <f t="shared" si="172"/>
        <v>5</v>
      </c>
      <c r="S1364" s="26">
        <f t="shared" si="173"/>
        <v>8</v>
      </c>
    </row>
    <row r="1365" spans="2:19" x14ac:dyDescent="0.3">
      <c r="B1365" s="24">
        <v>381426</v>
      </c>
      <c r="C1365" s="25">
        <v>33</v>
      </c>
      <c r="D1365" s="25">
        <v>4</v>
      </c>
      <c r="E1365" s="25">
        <v>5</v>
      </c>
      <c r="F1365" s="25">
        <v>7</v>
      </c>
      <c r="G1365" s="25">
        <v>321</v>
      </c>
      <c r="H1365" s="25">
        <v>2.5</v>
      </c>
      <c r="I1365" s="25">
        <v>4.3600000000000003</v>
      </c>
      <c r="J1365" s="25">
        <v>3.67</v>
      </c>
      <c r="K1365" s="26">
        <v>1</v>
      </c>
      <c r="L1365" s="25">
        <f t="shared" si="168"/>
        <v>-0.20944622338401681</v>
      </c>
      <c r="M1365" s="25">
        <f t="shared" si="174"/>
        <v>0.44782902334485597</v>
      </c>
      <c r="N1365" s="25">
        <f t="shared" si="169"/>
        <v>0.44782902334485597</v>
      </c>
      <c r="O1365" s="25">
        <f t="shared" si="170"/>
        <v>-0.8033437637313976</v>
      </c>
      <c r="P1365" s="25">
        <f t="shared" si="171"/>
        <v>1</v>
      </c>
      <c r="Q1365" s="25">
        <f t="shared" si="175"/>
        <v>493.16634038490008</v>
      </c>
      <c r="R1365" s="25">
        <f t="shared" si="172"/>
        <v>7</v>
      </c>
      <c r="S1365" s="26">
        <f t="shared" si="173"/>
        <v>14</v>
      </c>
    </row>
    <row r="1366" spans="2:19" x14ac:dyDescent="0.3">
      <c r="B1366" s="24">
        <v>381434</v>
      </c>
      <c r="C1366" s="25">
        <v>22</v>
      </c>
      <c r="D1366" s="25">
        <v>4</v>
      </c>
      <c r="E1366" s="25">
        <v>0</v>
      </c>
      <c r="F1366" s="25">
        <v>1</v>
      </c>
      <c r="G1366" s="25">
        <v>59</v>
      </c>
      <c r="H1366" s="25">
        <v>3.1</v>
      </c>
      <c r="I1366" s="25">
        <v>0.62</v>
      </c>
      <c r="J1366" s="25">
        <v>1.21</v>
      </c>
      <c r="K1366" s="26">
        <v>0</v>
      </c>
      <c r="L1366" s="25">
        <f t="shared" si="168"/>
        <v>-0.47686585696249123</v>
      </c>
      <c r="M1366" s="25">
        <f t="shared" si="174"/>
        <v>0.38299248008317399</v>
      </c>
      <c r="N1366" s="25">
        <f t="shared" si="169"/>
        <v>0.61700751991682601</v>
      </c>
      <c r="O1366" s="25">
        <f t="shared" si="170"/>
        <v>-0.48287406727934162</v>
      </c>
      <c r="P1366" s="25">
        <f t="shared" si="171"/>
        <v>0</v>
      </c>
      <c r="Q1366" s="25">
        <f t="shared" si="175"/>
        <v>500.88243975021004</v>
      </c>
      <c r="R1366" s="25">
        <f t="shared" si="172"/>
        <v>7</v>
      </c>
      <c r="S1366" s="26">
        <f t="shared" si="173"/>
        <v>14</v>
      </c>
    </row>
    <row r="1367" spans="2:19" x14ac:dyDescent="0.3">
      <c r="B1367" s="24">
        <v>381445</v>
      </c>
      <c r="C1367" s="25">
        <v>30</v>
      </c>
      <c r="D1367" s="25">
        <v>3</v>
      </c>
      <c r="E1367" s="25">
        <v>4</v>
      </c>
      <c r="F1367" s="25">
        <v>5</v>
      </c>
      <c r="G1367" s="25">
        <v>28</v>
      </c>
      <c r="H1367" s="25">
        <v>8.1999999999999993</v>
      </c>
      <c r="I1367" s="25">
        <v>0.4</v>
      </c>
      <c r="J1367" s="25">
        <v>1.9</v>
      </c>
      <c r="K1367" s="26">
        <v>0</v>
      </c>
      <c r="L1367" s="25">
        <f t="shared" si="168"/>
        <v>-1.2171601014897655</v>
      </c>
      <c r="M1367" s="25">
        <f t="shared" si="174"/>
        <v>0.22843660606053276</v>
      </c>
      <c r="N1367" s="25">
        <f t="shared" si="169"/>
        <v>0.77156339393946727</v>
      </c>
      <c r="O1367" s="25">
        <f t="shared" si="170"/>
        <v>-0.25933644083403651</v>
      </c>
      <c r="P1367" s="25">
        <f t="shared" si="171"/>
        <v>0</v>
      </c>
      <c r="Q1367" s="25">
        <f t="shared" si="175"/>
        <v>522.24281585237554</v>
      </c>
      <c r="R1367" s="25">
        <f t="shared" si="172"/>
        <v>6</v>
      </c>
      <c r="S1367" s="26">
        <f t="shared" si="173"/>
        <v>13</v>
      </c>
    </row>
    <row r="1368" spans="2:19" x14ac:dyDescent="0.3">
      <c r="B1368" s="24">
        <v>381449</v>
      </c>
      <c r="C1368" s="25">
        <v>22</v>
      </c>
      <c r="D1368" s="25">
        <v>4</v>
      </c>
      <c r="E1368" s="25">
        <v>0</v>
      </c>
      <c r="F1368" s="25">
        <v>1</v>
      </c>
      <c r="G1368" s="25">
        <v>32</v>
      </c>
      <c r="H1368" s="25">
        <v>3.8</v>
      </c>
      <c r="I1368" s="25">
        <v>0.71</v>
      </c>
      <c r="J1368" s="25">
        <v>0.5</v>
      </c>
      <c r="K1368" s="26">
        <v>0</v>
      </c>
      <c r="L1368" s="25">
        <f t="shared" si="168"/>
        <v>-0.38830882606234929</v>
      </c>
      <c r="M1368" s="25">
        <f t="shared" si="174"/>
        <v>0.40412448260417549</v>
      </c>
      <c r="N1368" s="25">
        <f t="shared" si="169"/>
        <v>0.59587551739582456</v>
      </c>
      <c r="O1368" s="25">
        <f t="shared" si="170"/>
        <v>-0.51772349716161559</v>
      </c>
      <c r="P1368" s="25">
        <f t="shared" si="171"/>
        <v>1</v>
      </c>
      <c r="Q1368" s="25">
        <f t="shared" si="175"/>
        <v>498.32722403632039</v>
      </c>
      <c r="R1368" s="25">
        <f t="shared" si="172"/>
        <v>7</v>
      </c>
      <c r="S1368" s="26">
        <f t="shared" si="173"/>
        <v>14</v>
      </c>
    </row>
    <row r="1369" spans="2:19" x14ac:dyDescent="0.3">
      <c r="B1369" s="24">
        <v>381489</v>
      </c>
      <c r="C1369" s="25">
        <v>20</v>
      </c>
      <c r="D1369" s="25">
        <v>1</v>
      </c>
      <c r="E1369" s="25">
        <v>0</v>
      </c>
      <c r="F1369" s="25">
        <v>1</v>
      </c>
      <c r="G1369" s="25">
        <v>20</v>
      </c>
      <c r="H1369" s="25">
        <v>17.600000000000001</v>
      </c>
      <c r="I1369" s="25">
        <v>0.15</v>
      </c>
      <c r="J1369" s="25">
        <v>3.37</v>
      </c>
      <c r="K1369" s="26">
        <v>1</v>
      </c>
      <c r="L1369" s="25">
        <f t="shared" si="168"/>
        <v>0.99418363054447045</v>
      </c>
      <c r="M1369" s="25">
        <f t="shared" si="174"/>
        <v>0.72991347528551187</v>
      </c>
      <c r="N1369" s="25">
        <f t="shared" si="169"/>
        <v>0.72991347528551187</v>
      </c>
      <c r="O1369" s="25">
        <f t="shared" si="170"/>
        <v>-0.31482927887072903</v>
      </c>
      <c r="P1369" s="25">
        <f t="shared" si="171"/>
        <v>1</v>
      </c>
      <c r="Q1369" s="25">
        <f t="shared" si="175"/>
        <v>458.43692494263291</v>
      </c>
      <c r="R1369" s="25">
        <f t="shared" si="172"/>
        <v>8</v>
      </c>
      <c r="S1369" s="26">
        <f t="shared" si="173"/>
        <v>16</v>
      </c>
    </row>
    <row r="1370" spans="2:19" x14ac:dyDescent="0.3">
      <c r="B1370" s="24">
        <v>381535</v>
      </c>
      <c r="C1370" s="25">
        <v>19</v>
      </c>
      <c r="D1370" s="25">
        <v>2</v>
      </c>
      <c r="E1370" s="25">
        <v>0</v>
      </c>
      <c r="F1370" s="25">
        <v>0</v>
      </c>
      <c r="G1370" s="25">
        <v>19</v>
      </c>
      <c r="H1370" s="25">
        <v>3.3</v>
      </c>
      <c r="I1370" s="25">
        <v>0.1</v>
      </c>
      <c r="J1370" s="25">
        <v>0.52</v>
      </c>
      <c r="K1370" s="26">
        <v>1</v>
      </c>
      <c r="L1370" s="25">
        <f t="shared" si="168"/>
        <v>-0.52524757551194701</v>
      </c>
      <c r="M1370" s="25">
        <f t="shared" si="174"/>
        <v>0.37162599600537011</v>
      </c>
      <c r="N1370" s="25">
        <f t="shared" si="169"/>
        <v>0.37162599600537011</v>
      </c>
      <c r="O1370" s="25">
        <f t="shared" si="170"/>
        <v>-0.98986731753192669</v>
      </c>
      <c r="P1370" s="25">
        <f t="shared" si="171"/>
        <v>0</v>
      </c>
      <c r="Q1370" s="25">
        <f t="shared" si="175"/>
        <v>502.27844101906419</v>
      </c>
      <c r="R1370" s="25">
        <f t="shared" si="172"/>
        <v>7</v>
      </c>
      <c r="S1370" s="26">
        <f t="shared" si="173"/>
        <v>14</v>
      </c>
    </row>
    <row r="1371" spans="2:19" x14ac:dyDescent="0.3">
      <c r="B1371" s="24">
        <v>381568</v>
      </c>
      <c r="C1371" s="25">
        <v>28</v>
      </c>
      <c r="D1371" s="25">
        <v>1</v>
      </c>
      <c r="E1371" s="25">
        <v>2</v>
      </c>
      <c r="F1371" s="25">
        <v>3</v>
      </c>
      <c r="G1371" s="25">
        <v>24</v>
      </c>
      <c r="H1371" s="25">
        <v>1</v>
      </c>
      <c r="I1371" s="25">
        <v>0.11</v>
      </c>
      <c r="J1371" s="25">
        <v>0.13</v>
      </c>
      <c r="K1371" s="26">
        <v>0</v>
      </c>
      <c r="L1371" s="25">
        <f t="shared" si="168"/>
        <v>-1.4495400513719339</v>
      </c>
      <c r="M1371" s="25">
        <f t="shared" si="174"/>
        <v>0.19007236264892233</v>
      </c>
      <c r="N1371" s="25">
        <f t="shared" si="169"/>
        <v>0.80992763735107765</v>
      </c>
      <c r="O1371" s="25">
        <f t="shared" si="170"/>
        <v>-0.21081037191001251</v>
      </c>
      <c r="P1371" s="25">
        <f t="shared" si="171"/>
        <v>0</v>
      </c>
      <c r="Q1371" s="25">
        <f t="shared" si="175"/>
        <v>528.94788368828063</v>
      </c>
      <c r="R1371" s="25">
        <f t="shared" si="172"/>
        <v>6</v>
      </c>
      <c r="S1371" s="26">
        <f t="shared" si="173"/>
        <v>12</v>
      </c>
    </row>
    <row r="1372" spans="2:19" x14ac:dyDescent="0.3">
      <c r="B1372" s="24">
        <v>381583</v>
      </c>
      <c r="C1372" s="25">
        <v>18</v>
      </c>
      <c r="D1372" s="25">
        <v>2</v>
      </c>
      <c r="E1372" s="25">
        <v>0</v>
      </c>
      <c r="F1372" s="25">
        <v>0</v>
      </c>
      <c r="G1372" s="25">
        <v>14</v>
      </c>
      <c r="H1372" s="25">
        <v>5.5</v>
      </c>
      <c r="I1372" s="25">
        <v>0.46</v>
      </c>
      <c r="J1372" s="25">
        <v>0.31</v>
      </c>
      <c r="K1372" s="26">
        <v>0</v>
      </c>
      <c r="L1372" s="25">
        <f t="shared" si="168"/>
        <v>-0.12031760814648057</v>
      </c>
      <c r="M1372" s="25">
        <f t="shared" si="174"/>
        <v>0.46995683211510275</v>
      </c>
      <c r="N1372" s="25">
        <f t="shared" si="169"/>
        <v>0.53004316788489725</v>
      </c>
      <c r="O1372" s="25">
        <f t="shared" si="170"/>
        <v>-0.6347968269133174</v>
      </c>
      <c r="P1372" s="25">
        <f t="shared" si="171"/>
        <v>1</v>
      </c>
      <c r="Q1372" s="25">
        <f t="shared" si="175"/>
        <v>490.59463223369772</v>
      </c>
      <c r="R1372" s="25">
        <f t="shared" si="172"/>
        <v>7</v>
      </c>
      <c r="S1372" s="26">
        <f t="shared" si="173"/>
        <v>15</v>
      </c>
    </row>
    <row r="1373" spans="2:19" x14ac:dyDescent="0.3">
      <c r="B1373" s="24">
        <v>381596</v>
      </c>
      <c r="C1373" s="25">
        <v>56</v>
      </c>
      <c r="D1373" s="25">
        <v>2</v>
      </c>
      <c r="E1373" s="25">
        <v>9</v>
      </c>
      <c r="F1373" s="25">
        <v>7</v>
      </c>
      <c r="G1373" s="25">
        <v>41</v>
      </c>
      <c r="H1373" s="25">
        <v>12.5</v>
      </c>
      <c r="I1373" s="25">
        <v>1.79</v>
      </c>
      <c r="J1373" s="25">
        <v>3.33</v>
      </c>
      <c r="K1373" s="26">
        <v>0</v>
      </c>
      <c r="L1373" s="25">
        <f t="shared" si="168"/>
        <v>-1.7959973960013158</v>
      </c>
      <c r="M1373" s="25">
        <f t="shared" si="174"/>
        <v>0.14233899805927416</v>
      </c>
      <c r="N1373" s="25">
        <f t="shared" si="169"/>
        <v>0.85766100194072581</v>
      </c>
      <c r="O1373" s="25">
        <f t="shared" si="170"/>
        <v>-0.15354636020097226</v>
      </c>
      <c r="P1373" s="25">
        <f t="shared" si="171"/>
        <v>0</v>
      </c>
      <c r="Q1373" s="25">
        <f t="shared" si="175"/>
        <v>538.9445292644823</v>
      </c>
      <c r="R1373" s="25">
        <f t="shared" si="172"/>
        <v>6</v>
      </c>
      <c r="S1373" s="26">
        <f t="shared" si="173"/>
        <v>12</v>
      </c>
    </row>
    <row r="1374" spans="2:19" x14ac:dyDescent="0.3">
      <c r="B1374" s="24">
        <v>381632</v>
      </c>
      <c r="C1374" s="25">
        <v>32</v>
      </c>
      <c r="D1374" s="25">
        <v>3</v>
      </c>
      <c r="E1374" s="25">
        <v>6</v>
      </c>
      <c r="F1374" s="25">
        <v>7</v>
      </c>
      <c r="G1374" s="25">
        <v>50</v>
      </c>
      <c r="H1374" s="25">
        <v>9.8000000000000007</v>
      </c>
      <c r="I1374" s="25">
        <v>3.09</v>
      </c>
      <c r="J1374" s="25">
        <v>1.81</v>
      </c>
      <c r="K1374" s="26">
        <v>0</v>
      </c>
      <c r="L1374" s="25">
        <f t="shared" si="168"/>
        <v>-0.34167269130343414</v>
      </c>
      <c r="M1374" s="25">
        <f t="shared" si="174"/>
        <v>0.41540321765465049</v>
      </c>
      <c r="N1374" s="25">
        <f t="shared" si="169"/>
        <v>0.58459678234534951</v>
      </c>
      <c r="O1374" s="25">
        <f t="shared" si="170"/>
        <v>-0.53683293034793633</v>
      </c>
      <c r="P1374" s="25">
        <f t="shared" si="171"/>
        <v>1</v>
      </c>
      <c r="Q1374" s="25">
        <f t="shared" si="175"/>
        <v>496.98158966760013</v>
      </c>
      <c r="R1374" s="25">
        <f t="shared" si="172"/>
        <v>7</v>
      </c>
      <c r="S1374" s="26">
        <f t="shared" si="173"/>
        <v>14</v>
      </c>
    </row>
    <row r="1375" spans="2:19" x14ac:dyDescent="0.3">
      <c r="B1375" s="24">
        <v>381643</v>
      </c>
      <c r="C1375" s="25">
        <v>29</v>
      </c>
      <c r="D1375" s="25">
        <v>2</v>
      </c>
      <c r="E1375" s="25">
        <v>0</v>
      </c>
      <c r="F1375" s="25">
        <v>5</v>
      </c>
      <c r="G1375" s="25">
        <v>21</v>
      </c>
      <c r="H1375" s="25">
        <v>12.4</v>
      </c>
      <c r="I1375" s="25">
        <v>0.38</v>
      </c>
      <c r="J1375" s="25">
        <v>2.2200000000000002</v>
      </c>
      <c r="K1375" s="26">
        <v>1</v>
      </c>
      <c r="L1375" s="25">
        <f t="shared" si="168"/>
        <v>0.17827682763743474</v>
      </c>
      <c r="M1375" s="25">
        <f t="shared" si="174"/>
        <v>0.54445153700682614</v>
      </c>
      <c r="N1375" s="25">
        <f t="shared" si="169"/>
        <v>0.54445153700682614</v>
      </c>
      <c r="O1375" s="25">
        <f t="shared" si="170"/>
        <v>-0.60797634514909615</v>
      </c>
      <c r="P1375" s="25">
        <f t="shared" si="171"/>
        <v>1</v>
      </c>
      <c r="Q1375" s="25">
        <f t="shared" si="175"/>
        <v>481.97901824303221</v>
      </c>
      <c r="R1375" s="25">
        <f t="shared" si="172"/>
        <v>7</v>
      </c>
      <c r="S1375" s="26">
        <f t="shared" si="173"/>
        <v>15</v>
      </c>
    </row>
    <row r="1376" spans="2:19" x14ac:dyDescent="0.3">
      <c r="B1376" s="24">
        <v>381669</v>
      </c>
      <c r="C1376" s="25">
        <v>46</v>
      </c>
      <c r="D1376" s="25">
        <v>1</v>
      </c>
      <c r="E1376" s="25">
        <v>0</v>
      </c>
      <c r="F1376" s="25">
        <v>9</v>
      </c>
      <c r="G1376" s="25">
        <v>25</v>
      </c>
      <c r="H1376" s="25">
        <v>3</v>
      </c>
      <c r="I1376" s="25">
        <v>0.43</v>
      </c>
      <c r="J1376" s="25">
        <v>0.32</v>
      </c>
      <c r="K1376" s="26">
        <v>0</v>
      </c>
      <c r="L1376" s="25">
        <f t="shared" si="168"/>
        <v>-1.2254701220459554</v>
      </c>
      <c r="M1376" s="25">
        <f t="shared" si="174"/>
        <v>0.22697524358528284</v>
      </c>
      <c r="N1376" s="25">
        <f t="shared" si="169"/>
        <v>0.77302475641471713</v>
      </c>
      <c r="O1376" s="25">
        <f t="shared" si="170"/>
        <v>-0.25744420449782496</v>
      </c>
      <c r="P1376" s="25">
        <f t="shared" si="171"/>
        <v>0</v>
      </c>
      <c r="Q1376" s="25">
        <f t="shared" si="175"/>
        <v>522.48259235450178</v>
      </c>
      <c r="R1376" s="25">
        <f t="shared" si="172"/>
        <v>6</v>
      </c>
      <c r="S1376" s="26">
        <f t="shared" si="173"/>
        <v>13</v>
      </c>
    </row>
    <row r="1377" spans="2:19" x14ac:dyDescent="0.3">
      <c r="B1377" s="24">
        <v>381690</v>
      </c>
      <c r="C1377" s="25">
        <v>39</v>
      </c>
      <c r="D1377" s="25">
        <v>1</v>
      </c>
      <c r="E1377" s="25">
        <v>22</v>
      </c>
      <c r="F1377" s="25">
        <v>13</v>
      </c>
      <c r="G1377" s="25">
        <v>48</v>
      </c>
      <c r="H1377" s="25">
        <v>6.8</v>
      </c>
      <c r="I1377" s="25">
        <v>1.01</v>
      </c>
      <c r="J1377" s="25">
        <v>2.2599999999999998</v>
      </c>
      <c r="K1377" s="26">
        <v>0</v>
      </c>
      <c r="L1377" s="25">
        <f t="shared" si="168"/>
        <v>-5.4747392543110944</v>
      </c>
      <c r="M1377" s="25">
        <f t="shared" si="174"/>
        <v>4.1738274247803886E-3</v>
      </c>
      <c r="N1377" s="25">
        <f t="shared" si="169"/>
        <v>0.99582617257521966</v>
      </c>
      <c r="O1377" s="25">
        <f t="shared" si="170"/>
        <v>-4.1825621557786772E-3</v>
      </c>
      <c r="P1377" s="25">
        <f t="shared" si="171"/>
        <v>0</v>
      </c>
      <c r="Q1377" s="25">
        <f t="shared" si="175"/>
        <v>645.09057896996683</v>
      </c>
      <c r="R1377" s="25">
        <f t="shared" si="172"/>
        <v>3</v>
      </c>
      <c r="S1377" s="26">
        <f t="shared" si="173"/>
        <v>3</v>
      </c>
    </row>
    <row r="1378" spans="2:19" x14ac:dyDescent="0.3">
      <c r="B1378" s="24">
        <v>381763</v>
      </c>
      <c r="C1378" s="25">
        <v>28</v>
      </c>
      <c r="D1378" s="25">
        <v>4</v>
      </c>
      <c r="E1378" s="25">
        <v>4</v>
      </c>
      <c r="F1378" s="25">
        <v>3</v>
      </c>
      <c r="G1378" s="25">
        <v>30</v>
      </c>
      <c r="H1378" s="25">
        <v>13.8</v>
      </c>
      <c r="I1378" s="25">
        <v>0.68</v>
      </c>
      <c r="J1378" s="25">
        <v>3.46</v>
      </c>
      <c r="K1378" s="26">
        <v>0</v>
      </c>
      <c r="L1378" s="25">
        <f t="shared" si="168"/>
        <v>-0.43202175664675257</v>
      </c>
      <c r="M1378" s="25">
        <f t="shared" si="174"/>
        <v>0.39364365823024422</v>
      </c>
      <c r="N1378" s="25">
        <f t="shared" si="169"/>
        <v>0.60635634176975572</v>
      </c>
      <c r="O1378" s="25">
        <f t="shared" si="170"/>
        <v>-0.5002874430080706</v>
      </c>
      <c r="P1378" s="25">
        <f t="shared" si="171"/>
        <v>0</v>
      </c>
      <c r="Q1378" s="25">
        <f t="shared" si="175"/>
        <v>499.58851256410969</v>
      </c>
      <c r="R1378" s="25">
        <f t="shared" si="172"/>
        <v>7</v>
      </c>
      <c r="S1378" s="26">
        <f t="shared" si="173"/>
        <v>14</v>
      </c>
    </row>
    <row r="1379" spans="2:19" x14ac:dyDescent="0.3">
      <c r="B1379" s="24">
        <v>381765</v>
      </c>
      <c r="C1379" s="25">
        <v>37</v>
      </c>
      <c r="D1379" s="25">
        <v>1</v>
      </c>
      <c r="E1379" s="25">
        <v>17</v>
      </c>
      <c r="F1379" s="25">
        <v>8</v>
      </c>
      <c r="G1379" s="25">
        <v>76</v>
      </c>
      <c r="H1379" s="25">
        <v>12.6</v>
      </c>
      <c r="I1379" s="25">
        <v>4.18</v>
      </c>
      <c r="J1379" s="25">
        <v>5.39</v>
      </c>
      <c r="K1379" s="26">
        <v>0</v>
      </c>
      <c r="L1379" s="25">
        <f t="shared" si="168"/>
        <v>-1.9730083720535287</v>
      </c>
      <c r="M1379" s="25">
        <f t="shared" si="174"/>
        <v>0.12206612493966244</v>
      </c>
      <c r="N1379" s="25">
        <f t="shared" si="169"/>
        <v>0.8779338750603376</v>
      </c>
      <c r="O1379" s="25">
        <f t="shared" si="170"/>
        <v>-0.13018400132632102</v>
      </c>
      <c r="P1379" s="25">
        <f t="shared" si="171"/>
        <v>0</v>
      </c>
      <c r="Q1379" s="25">
        <f t="shared" si="175"/>
        <v>544.05198626639526</v>
      </c>
      <c r="R1379" s="25">
        <f t="shared" si="172"/>
        <v>6</v>
      </c>
      <c r="S1379" s="26">
        <f t="shared" si="173"/>
        <v>11</v>
      </c>
    </row>
    <row r="1380" spans="2:19" x14ac:dyDescent="0.3">
      <c r="B1380" s="24">
        <v>381780</v>
      </c>
      <c r="C1380" s="25">
        <v>39</v>
      </c>
      <c r="D1380" s="25">
        <v>4</v>
      </c>
      <c r="E1380" s="25">
        <v>4</v>
      </c>
      <c r="F1380" s="25">
        <v>13</v>
      </c>
      <c r="G1380" s="25">
        <v>47</v>
      </c>
      <c r="H1380" s="25">
        <v>9.6999999999999993</v>
      </c>
      <c r="I1380" s="25">
        <v>1.67</v>
      </c>
      <c r="J1380" s="25">
        <v>2.89</v>
      </c>
      <c r="K1380" s="26">
        <v>1</v>
      </c>
      <c r="L1380" s="25">
        <f t="shared" si="168"/>
        <v>-0.94543685229112318</v>
      </c>
      <c r="M1380" s="25">
        <f t="shared" si="174"/>
        <v>0.27980343311013056</v>
      </c>
      <c r="N1380" s="25">
        <f t="shared" si="169"/>
        <v>0.27980343311013056</v>
      </c>
      <c r="O1380" s="25">
        <f t="shared" si="170"/>
        <v>-1.2736679469542271</v>
      </c>
      <c r="P1380" s="25">
        <f t="shared" si="171"/>
        <v>0</v>
      </c>
      <c r="Q1380" s="25">
        <f t="shared" si="175"/>
        <v>514.40254039232286</v>
      </c>
      <c r="R1380" s="25">
        <f t="shared" si="172"/>
        <v>7</v>
      </c>
      <c r="S1380" s="26">
        <f t="shared" si="173"/>
        <v>13</v>
      </c>
    </row>
    <row r="1381" spans="2:19" x14ac:dyDescent="0.3">
      <c r="B1381" s="24">
        <v>381799</v>
      </c>
      <c r="C1381" s="25">
        <v>27</v>
      </c>
      <c r="D1381" s="25">
        <v>2</v>
      </c>
      <c r="E1381" s="25">
        <v>2</v>
      </c>
      <c r="F1381" s="25">
        <v>4</v>
      </c>
      <c r="G1381" s="25">
        <v>30</v>
      </c>
      <c r="H1381" s="25">
        <v>2.7</v>
      </c>
      <c r="I1381" s="25">
        <v>0.34</v>
      </c>
      <c r="J1381" s="25">
        <v>0.47</v>
      </c>
      <c r="K1381" s="26">
        <v>1</v>
      </c>
      <c r="L1381" s="25">
        <f t="shared" si="168"/>
        <v>-1.2257468050096532</v>
      </c>
      <c r="M1381" s="25">
        <f t="shared" si="174"/>
        <v>0.22692670115632149</v>
      </c>
      <c r="N1381" s="25">
        <f t="shared" si="169"/>
        <v>0.22692670115632149</v>
      </c>
      <c r="O1381" s="25">
        <f t="shared" si="170"/>
        <v>-1.4831282160399974</v>
      </c>
      <c r="P1381" s="25">
        <f t="shared" si="171"/>
        <v>0</v>
      </c>
      <c r="Q1381" s="25">
        <f t="shared" si="175"/>
        <v>522.49057573706807</v>
      </c>
      <c r="R1381" s="25">
        <f t="shared" si="172"/>
        <v>6</v>
      </c>
      <c r="S1381" s="26">
        <f t="shared" si="173"/>
        <v>13</v>
      </c>
    </row>
    <row r="1382" spans="2:19" x14ac:dyDescent="0.3">
      <c r="B1382" s="24">
        <v>381851</v>
      </c>
      <c r="C1382" s="25">
        <v>25</v>
      </c>
      <c r="D1382" s="25">
        <v>2</v>
      </c>
      <c r="E1382" s="25">
        <v>4</v>
      </c>
      <c r="F1382" s="25">
        <v>3</v>
      </c>
      <c r="G1382" s="25">
        <v>21</v>
      </c>
      <c r="H1382" s="25">
        <v>10</v>
      </c>
      <c r="I1382" s="25">
        <v>1</v>
      </c>
      <c r="J1382" s="25">
        <v>1.1000000000000001</v>
      </c>
      <c r="K1382" s="26">
        <v>0</v>
      </c>
      <c r="L1382" s="25">
        <f t="shared" si="168"/>
        <v>-0.54868740247466241</v>
      </c>
      <c r="M1382" s="25">
        <f t="shared" si="174"/>
        <v>0.3661689952311184</v>
      </c>
      <c r="N1382" s="25">
        <f t="shared" si="169"/>
        <v>0.63383100476888155</v>
      </c>
      <c r="O1382" s="25">
        <f t="shared" si="170"/>
        <v>-0.45597291406904117</v>
      </c>
      <c r="P1382" s="25">
        <f t="shared" si="171"/>
        <v>0</v>
      </c>
      <c r="Q1382" s="25">
        <f t="shared" si="175"/>
        <v>502.95477144226368</v>
      </c>
      <c r="R1382" s="25">
        <f t="shared" si="172"/>
        <v>7</v>
      </c>
      <c r="S1382" s="26">
        <f t="shared" si="173"/>
        <v>14</v>
      </c>
    </row>
    <row r="1383" spans="2:19" x14ac:dyDescent="0.3">
      <c r="B1383" s="24">
        <v>381896</v>
      </c>
      <c r="C1383" s="25">
        <v>49</v>
      </c>
      <c r="D1383" s="25">
        <v>2</v>
      </c>
      <c r="E1383" s="25">
        <v>14</v>
      </c>
      <c r="F1383" s="25">
        <v>11</v>
      </c>
      <c r="G1383" s="25">
        <v>94</v>
      </c>
      <c r="H1383" s="25">
        <v>6.9</v>
      </c>
      <c r="I1383" s="25">
        <v>3.79</v>
      </c>
      <c r="J1383" s="25">
        <v>2.7</v>
      </c>
      <c r="K1383" s="26">
        <v>0</v>
      </c>
      <c r="L1383" s="25">
        <f t="shared" si="168"/>
        <v>-2.5208978898518093</v>
      </c>
      <c r="M1383" s="25">
        <f t="shared" si="174"/>
        <v>7.4406084019495652E-2</v>
      </c>
      <c r="N1383" s="25">
        <f t="shared" si="169"/>
        <v>0.92559391598050433</v>
      </c>
      <c r="O1383" s="25">
        <f t="shared" si="170"/>
        <v>-7.7319676179043451E-2</v>
      </c>
      <c r="P1383" s="25">
        <f t="shared" si="171"/>
        <v>0</v>
      </c>
      <c r="Q1383" s="25">
        <f t="shared" si="175"/>
        <v>559.86073562399508</v>
      </c>
      <c r="R1383" s="25">
        <f t="shared" si="172"/>
        <v>5</v>
      </c>
      <c r="S1383" s="26">
        <f t="shared" si="173"/>
        <v>10</v>
      </c>
    </row>
    <row r="1384" spans="2:19" x14ac:dyDescent="0.3">
      <c r="B1384" s="24">
        <v>381918</v>
      </c>
      <c r="C1384" s="25">
        <v>24</v>
      </c>
      <c r="D1384" s="25">
        <v>2</v>
      </c>
      <c r="E1384" s="25">
        <v>5</v>
      </c>
      <c r="F1384" s="25">
        <v>1</v>
      </c>
      <c r="G1384" s="25">
        <v>60</v>
      </c>
      <c r="H1384" s="25">
        <v>11.2</v>
      </c>
      <c r="I1384" s="25">
        <v>0.23</v>
      </c>
      <c r="J1384" s="25">
        <v>6.49</v>
      </c>
      <c r="K1384" s="26">
        <v>0</v>
      </c>
      <c r="L1384" s="25">
        <f t="shared" si="168"/>
        <v>-0.78925902811038828</v>
      </c>
      <c r="M1384" s="25">
        <f t="shared" si="174"/>
        <v>0.31232779258935395</v>
      </c>
      <c r="N1384" s="25">
        <f t="shared" si="169"/>
        <v>0.68767220741064605</v>
      </c>
      <c r="O1384" s="25">
        <f t="shared" si="170"/>
        <v>-0.3744429973007723</v>
      </c>
      <c r="P1384" s="25">
        <f t="shared" si="171"/>
        <v>0</v>
      </c>
      <c r="Q1384" s="25">
        <f t="shared" si="175"/>
        <v>509.8962010711943</v>
      </c>
      <c r="R1384" s="25">
        <f t="shared" si="172"/>
        <v>7</v>
      </c>
      <c r="S1384" s="26">
        <f t="shared" si="173"/>
        <v>14</v>
      </c>
    </row>
    <row r="1385" spans="2:19" x14ac:dyDescent="0.3">
      <c r="B1385" s="24">
        <v>381929</v>
      </c>
      <c r="C1385" s="25">
        <v>24</v>
      </c>
      <c r="D1385" s="25">
        <v>4</v>
      </c>
      <c r="E1385" s="25">
        <v>0</v>
      </c>
      <c r="F1385" s="25">
        <v>2</v>
      </c>
      <c r="G1385" s="25">
        <v>45</v>
      </c>
      <c r="H1385" s="25">
        <v>5.5</v>
      </c>
      <c r="I1385" s="25">
        <v>0.59</v>
      </c>
      <c r="J1385" s="25">
        <v>1.89</v>
      </c>
      <c r="K1385" s="26">
        <v>1</v>
      </c>
      <c r="L1385" s="25">
        <f t="shared" si="168"/>
        <v>-0.31375132486344209</v>
      </c>
      <c r="M1385" s="25">
        <f t="shared" si="174"/>
        <v>0.4221993481134283</v>
      </c>
      <c r="N1385" s="25">
        <f t="shared" si="169"/>
        <v>0.4221993481134283</v>
      </c>
      <c r="O1385" s="25">
        <f t="shared" si="170"/>
        <v>-0.86227768759225354</v>
      </c>
      <c r="P1385" s="25">
        <f t="shared" si="171"/>
        <v>1</v>
      </c>
      <c r="Q1385" s="25">
        <f t="shared" si="175"/>
        <v>496.17594935247723</v>
      </c>
      <c r="R1385" s="25">
        <f t="shared" si="172"/>
        <v>7</v>
      </c>
      <c r="S1385" s="26">
        <f t="shared" si="173"/>
        <v>14</v>
      </c>
    </row>
    <row r="1386" spans="2:19" x14ac:dyDescent="0.3">
      <c r="B1386" s="24">
        <v>381933</v>
      </c>
      <c r="C1386" s="25">
        <v>30</v>
      </c>
      <c r="D1386" s="25">
        <v>4</v>
      </c>
      <c r="E1386" s="25">
        <v>6</v>
      </c>
      <c r="F1386" s="25">
        <v>5</v>
      </c>
      <c r="G1386" s="25">
        <v>58</v>
      </c>
      <c r="H1386" s="25">
        <v>8.6</v>
      </c>
      <c r="I1386" s="25">
        <v>2.38</v>
      </c>
      <c r="J1386" s="25">
        <v>2.6</v>
      </c>
      <c r="K1386" s="26">
        <v>0</v>
      </c>
      <c r="L1386" s="25">
        <f t="shared" si="168"/>
        <v>-0.72100477206750868</v>
      </c>
      <c r="M1386" s="25">
        <f t="shared" si="174"/>
        <v>0.32717176365760786</v>
      </c>
      <c r="N1386" s="25">
        <f t="shared" si="169"/>
        <v>0.67282823634239208</v>
      </c>
      <c r="O1386" s="25">
        <f t="shared" si="170"/>
        <v>-0.39626520279977873</v>
      </c>
      <c r="P1386" s="25">
        <f t="shared" si="171"/>
        <v>0</v>
      </c>
      <c r="Q1386" s="25">
        <f t="shared" si="175"/>
        <v>507.9267995927587</v>
      </c>
      <c r="R1386" s="25">
        <f t="shared" si="172"/>
        <v>7</v>
      </c>
      <c r="S1386" s="26">
        <f t="shared" si="173"/>
        <v>14</v>
      </c>
    </row>
    <row r="1387" spans="2:19" x14ac:dyDescent="0.3">
      <c r="B1387" s="24">
        <v>381947</v>
      </c>
      <c r="C1387" s="25">
        <v>22</v>
      </c>
      <c r="D1387" s="25">
        <v>1</v>
      </c>
      <c r="E1387" s="25">
        <v>1</v>
      </c>
      <c r="F1387" s="25">
        <v>0</v>
      </c>
      <c r="G1387" s="25">
        <v>24</v>
      </c>
      <c r="H1387" s="25">
        <v>19.899999999999999</v>
      </c>
      <c r="I1387" s="25">
        <v>1.1599999999999999</v>
      </c>
      <c r="J1387" s="25">
        <v>3.62</v>
      </c>
      <c r="K1387" s="26">
        <v>1</v>
      </c>
      <c r="L1387" s="25">
        <f t="shared" si="168"/>
        <v>1.4720918167178505</v>
      </c>
      <c r="M1387" s="25">
        <f t="shared" si="174"/>
        <v>0.81337512367767872</v>
      </c>
      <c r="N1387" s="25">
        <f t="shared" si="169"/>
        <v>0.81337512367767872</v>
      </c>
      <c r="O1387" s="25">
        <f t="shared" si="170"/>
        <v>-0.20656286911207042</v>
      </c>
      <c r="P1387" s="25">
        <f t="shared" si="171"/>
        <v>1</v>
      </c>
      <c r="Q1387" s="25">
        <f t="shared" si="175"/>
        <v>444.64740992960481</v>
      </c>
      <c r="R1387" s="25">
        <f t="shared" si="172"/>
        <v>8</v>
      </c>
      <c r="S1387" s="26">
        <f t="shared" si="173"/>
        <v>16</v>
      </c>
    </row>
    <row r="1388" spans="2:19" x14ac:dyDescent="0.3">
      <c r="B1388" s="24">
        <v>381959</v>
      </c>
      <c r="C1388" s="25">
        <v>47</v>
      </c>
      <c r="D1388" s="25">
        <v>1</v>
      </c>
      <c r="E1388" s="25">
        <v>17</v>
      </c>
      <c r="F1388" s="25">
        <v>11</v>
      </c>
      <c r="G1388" s="25">
        <v>47</v>
      </c>
      <c r="H1388" s="25">
        <v>18.899999999999999</v>
      </c>
      <c r="I1388" s="25">
        <v>3.77</v>
      </c>
      <c r="J1388" s="25">
        <v>5.12</v>
      </c>
      <c r="K1388" s="26">
        <v>0</v>
      </c>
      <c r="L1388" s="25">
        <f t="shared" si="168"/>
        <v>-1.8665284494290473</v>
      </c>
      <c r="M1388" s="25">
        <f t="shared" si="174"/>
        <v>0.13394392111977058</v>
      </c>
      <c r="N1388" s="25">
        <f t="shared" si="169"/>
        <v>0.8660560788802294</v>
      </c>
      <c r="O1388" s="25">
        <f t="shared" si="170"/>
        <v>-0.1438056163035589</v>
      </c>
      <c r="P1388" s="25">
        <f t="shared" si="171"/>
        <v>0</v>
      </c>
      <c r="Q1388" s="25">
        <f t="shared" si="175"/>
        <v>540.97962522698083</v>
      </c>
      <c r="R1388" s="25">
        <f t="shared" si="172"/>
        <v>6</v>
      </c>
      <c r="S1388" s="26">
        <f t="shared" si="173"/>
        <v>11</v>
      </c>
    </row>
    <row r="1389" spans="2:19" x14ac:dyDescent="0.3">
      <c r="B1389" s="24">
        <v>381983</v>
      </c>
      <c r="C1389" s="25">
        <v>32</v>
      </c>
      <c r="D1389" s="25">
        <v>3</v>
      </c>
      <c r="E1389" s="25">
        <v>5</v>
      </c>
      <c r="F1389" s="25">
        <v>8</v>
      </c>
      <c r="G1389" s="25">
        <v>52</v>
      </c>
      <c r="H1389" s="25">
        <v>5.9</v>
      </c>
      <c r="I1389" s="25">
        <v>1.35</v>
      </c>
      <c r="J1389" s="25">
        <v>1.72</v>
      </c>
      <c r="K1389" s="26">
        <v>0</v>
      </c>
      <c r="L1389" s="25">
        <f t="shared" si="168"/>
        <v>-1.362652330732858</v>
      </c>
      <c r="M1389" s="25">
        <f t="shared" si="174"/>
        <v>0.20380956718948637</v>
      </c>
      <c r="N1389" s="25">
        <f t="shared" si="169"/>
        <v>0.7961904328105136</v>
      </c>
      <c r="O1389" s="25">
        <f t="shared" si="170"/>
        <v>-0.22791688455127168</v>
      </c>
      <c r="P1389" s="25">
        <f t="shared" si="171"/>
        <v>0</v>
      </c>
      <c r="Q1389" s="25">
        <f t="shared" si="175"/>
        <v>526.44083408573283</v>
      </c>
      <c r="R1389" s="25">
        <f t="shared" si="172"/>
        <v>6</v>
      </c>
      <c r="S1389" s="26">
        <f t="shared" si="173"/>
        <v>12</v>
      </c>
    </row>
    <row r="1390" spans="2:19" x14ac:dyDescent="0.3">
      <c r="B1390" s="24">
        <v>382000</v>
      </c>
      <c r="C1390" s="25">
        <v>41</v>
      </c>
      <c r="D1390" s="25">
        <v>2</v>
      </c>
      <c r="E1390" s="25">
        <v>17</v>
      </c>
      <c r="F1390" s="25">
        <v>9</v>
      </c>
      <c r="G1390" s="25">
        <v>68</v>
      </c>
      <c r="H1390" s="25">
        <v>9.6</v>
      </c>
      <c r="I1390" s="25">
        <v>3.06</v>
      </c>
      <c r="J1390" s="25">
        <v>3.47</v>
      </c>
      <c r="K1390" s="26">
        <v>0</v>
      </c>
      <c r="L1390" s="25">
        <f t="shared" si="168"/>
        <v>-3.0248964582360203</v>
      </c>
      <c r="M1390" s="25">
        <f t="shared" si="174"/>
        <v>4.6313722945204437E-2</v>
      </c>
      <c r="N1390" s="25">
        <f t="shared" si="169"/>
        <v>0.95368627705479558</v>
      </c>
      <c r="O1390" s="25">
        <f t="shared" si="170"/>
        <v>-4.7420511664268569E-2</v>
      </c>
      <c r="P1390" s="25">
        <f t="shared" si="171"/>
        <v>0</v>
      </c>
      <c r="Q1390" s="25">
        <f t="shared" si="175"/>
        <v>574.40305991629634</v>
      </c>
      <c r="R1390" s="25">
        <f t="shared" si="172"/>
        <v>5</v>
      </c>
      <c r="S1390" s="26">
        <f t="shared" si="173"/>
        <v>9</v>
      </c>
    </row>
    <row r="1391" spans="2:19" x14ac:dyDescent="0.3">
      <c r="B1391" s="24">
        <v>382001</v>
      </c>
      <c r="C1391" s="25">
        <v>18</v>
      </c>
      <c r="D1391" s="25">
        <v>2</v>
      </c>
      <c r="E1391" s="25">
        <v>0</v>
      </c>
      <c r="F1391" s="25">
        <v>0</v>
      </c>
      <c r="G1391" s="25">
        <v>18</v>
      </c>
      <c r="H1391" s="25">
        <v>10</v>
      </c>
      <c r="I1391" s="25">
        <v>1.1200000000000001</v>
      </c>
      <c r="J1391" s="25">
        <v>0.68</v>
      </c>
      <c r="K1391" s="26">
        <v>1</v>
      </c>
      <c r="L1391" s="25">
        <f t="shared" si="168"/>
        <v>0.65083808788467157</v>
      </c>
      <c r="M1391" s="25">
        <f t="shared" si="174"/>
        <v>0.65719929900319773</v>
      </c>
      <c r="N1391" s="25">
        <f t="shared" si="169"/>
        <v>0.65719929900319773</v>
      </c>
      <c r="O1391" s="25">
        <f t="shared" si="170"/>
        <v>-0.41976795946110579</v>
      </c>
      <c r="P1391" s="25">
        <f t="shared" si="171"/>
        <v>1</v>
      </c>
      <c r="Q1391" s="25">
        <f t="shared" si="175"/>
        <v>468.34378289598448</v>
      </c>
      <c r="R1391" s="25">
        <f t="shared" si="172"/>
        <v>7</v>
      </c>
      <c r="S1391" s="26">
        <f t="shared" si="173"/>
        <v>15</v>
      </c>
    </row>
    <row r="1392" spans="2:19" x14ac:dyDescent="0.3">
      <c r="B1392" s="24">
        <v>382011</v>
      </c>
      <c r="C1392" s="25">
        <v>37</v>
      </c>
      <c r="D1392" s="25">
        <v>1</v>
      </c>
      <c r="E1392" s="25">
        <v>11</v>
      </c>
      <c r="F1392" s="25">
        <v>5</v>
      </c>
      <c r="G1392" s="25">
        <v>34</v>
      </c>
      <c r="H1392" s="25">
        <v>13.6</v>
      </c>
      <c r="I1392" s="25">
        <v>2.98</v>
      </c>
      <c r="J1392" s="25">
        <v>1.65</v>
      </c>
      <c r="K1392" s="26">
        <v>0</v>
      </c>
      <c r="L1392" s="25">
        <f t="shared" si="168"/>
        <v>-1.0899833375253281</v>
      </c>
      <c r="M1392" s="25">
        <f t="shared" si="174"/>
        <v>0.25162141605854765</v>
      </c>
      <c r="N1392" s="25">
        <f t="shared" si="169"/>
        <v>0.74837858394145229</v>
      </c>
      <c r="O1392" s="25">
        <f t="shared" si="170"/>
        <v>-0.28984630078339474</v>
      </c>
      <c r="P1392" s="25">
        <f t="shared" si="171"/>
        <v>0</v>
      </c>
      <c r="Q1392" s="25">
        <f t="shared" si="175"/>
        <v>518.573270222622</v>
      </c>
      <c r="R1392" s="25">
        <f t="shared" si="172"/>
        <v>6</v>
      </c>
      <c r="S1392" s="26">
        <f t="shared" si="173"/>
        <v>13</v>
      </c>
    </row>
    <row r="1393" spans="2:19" x14ac:dyDescent="0.3">
      <c r="B1393" s="24">
        <v>382012</v>
      </c>
      <c r="C1393" s="25">
        <v>35</v>
      </c>
      <c r="D1393" s="25">
        <v>1</v>
      </c>
      <c r="E1393" s="25">
        <v>5</v>
      </c>
      <c r="F1393" s="25">
        <v>5</v>
      </c>
      <c r="G1393" s="25">
        <v>40</v>
      </c>
      <c r="H1393" s="25">
        <v>10.5</v>
      </c>
      <c r="I1393" s="25">
        <v>0.91</v>
      </c>
      <c r="J1393" s="25">
        <v>3.29</v>
      </c>
      <c r="K1393" s="26">
        <v>1</v>
      </c>
      <c r="L1393" s="25">
        <f t="shared" si="168"/>
        <v>-0.93622100664692343</v>
      </c>
      <c r="M1393" s="25">
        <f t="shared" si="174"/>
        <v>0.28166431327161512</v>
      </c>
      <c r="N1393" s="25">
        <f t="shared" si="169"/>
        <v>0.28166431327161512</v>
      </c>
      <c r="O1393" s="25">
        <f t="shared" si="170"/>
        <v>-1.2670392955766818</v>
      </c>
      <c r="P1393" s="25">
        <f t="shared" si="171"/>
        <v>0</v>
      </c>
      <c r="Q1393" s="25">
        <f t="shared" si="175"/>
        <v>514.13662730368969</v>
      </c>
      <c r="R1393" s="25">
        <f t="shared" si="172"/>
        <v>7</v>
      </c>
      <c r="S1393" s="26">
        <f t="shared" si="173"/>
        <v>13</v>
      </c>
    </row>
    <row r="1394" spans="2:19" x14ac:dyDescent="0.3">
      <c r="B1394" s="24">
        <v>382038</v>
      </c>
      <c r="C1394" s="25">
        <v>36</v>
      </c>
      <c r="D1394" s="25">
        <v>5</v>
      </c>
      <c r="E1394" s="25">
        <v>3</v>
      </c>
      <c r="F1394" s="25">
        <v>9</v>
      </c>
      <c r="G1394" s="25">
        <v>69</v>
      </c>
      <c r="H1394" s="25">
        <v>8.3000000000000007</v>
      </c>
      <c r="I1394" s="25">
        <v>1.45</v>
      </c>
      <c r="J1394" s="25">
        <v>4.2699999999999996</v>
      </c>
      <c r="K1394" s="26">
        <v>0</v>
      </c>
      <c r="L1394" s="25">
        <f t="shared" si="168"/>
        <v>-0.78164061884540637</v>
      </c>
      <c r="M1394" s="25">
        <f t="shared" si="174"/>
        <v>0.31396640289908734</v>
      </c>
      <c r="N1394" s="25">
        <f t="shared" si="169"/>
        <v>0.68603359710091261</v>
      </c>
      <c r="O1394" s="25">
        <f t="shared" si="170"/>
        <v>-0.3768286770897441</v>
      </c>
      <c r="P1394" s="25">
        <f t="shared" si="171"/>
        <v>0</v>
      </c>
      <c r="Q1394" s="25">
        <f t="shared" si="175"/>
        <v>509.67638025210346</v>
      </c>
      <c r="R1394" s="25">
        <f t="shared" si="172"/>
        <v>7</v>
      </c>
      <c r="S1394" s="26">
        <f t="shared" si="173"/>
        <v>14</v>
      </c>
    </row>
    <row r="1395" spans="2:19" x14ac:dyDescent="0.3">
      <c r="B1395" s="24">
        <v>382039</v>
      </c>
      <c r="C1395" s="25">
        <v>44</v>
      </c>
      <c r="D1395" s="25">
        <v>3</v>
      </c>
      <c r="E1395" s="25">
        <v>7</v>
      </c>
      <c r="F1395" s="25">
        <v>10</v>
      </c>
      <c r="G1395" s="25">
        <v>115</v>
      </c>
      <c r="H1395" s="25">
        <v>14.4</v>
      </c>
      <c r="I1395" s="25">
        <v>1.08</v>
      </c>
      <c r="J1395" s="25">
        <v>15.48</v>
      </c>
      <c r="K1395" s="26">
        <v>1</v>
      </c>
      <c r="L1395" s="25">
        <f t="shared" si="168"/>
        <v>-1.06069516099404</v>
      </c>
      <c r="M1395" s="25">
        <f t="shared" si="174"/>
        <v>0.25717663094209753</v>
      </c>
      <c r="N1395" s="25">
        <f t="shared" si="169"/>
        <v>0.25717663094209753</v>
      </c>
      <c r="O1395" s="25">
        <f t="shared" si="170"/>
        <v>-1.3579921502252708</v>
      </c>
      <c r="P1395" s="25">
        <f t="shared" si="171"/>
        <v>0</v>
      </c>
      <c r="Q1395" s="25">
        <f t="shared" si="175"/>
        <v>517.72819210580587</v>
      </c>
      <c r="R1395" s="25">
        <f t="shared" si="172"/>
        <v>6</v>
      </c>
      <c r="S1395" s="26">
        <f t="shared" si="173"/>
        <v>13</v>
      </c>
    </row>
    <row r="1396" spans="2:19" x14ac:dyDescent="0.3">
      <c r="B1396" s="24">
        <v>382073</v>
      </c>
      <c r="C1396" s="25">
        <v>19</v>
      </c>
      <c r="D1396" s="25">
        <v>2</v>
      </c>
      <c r="E1396" s="25">
        <v>0</v>
      </c>
      <c r="F1396" s="25">
        <v>0</v>
      </c>
      <c r="G1396" s="25">
        <v>25</v>
      </c>
      <c r="H1396" s="25">
        <v>9.3000000000000007</v>
      </c>
      <c r="I1396" s="25">
        <v>1.17</v>
      </c>
      <c r="J1396" s="25">
        <v>1.1499999999999999</v>
      </c>
      <c r="K1396" s="26">
        <v>1</v>
      </c>
      <c r="L1396" s="25">
        <f t="shared" si="168"/>
        <v>0.59655232746500531</v>
      </c>
      <c r="M1396" s="25">
        <f t="shared" si="174"/>
        <v>0.64486713756426706</v>
      </c>
      <c r="N1396" s="25">
        <f t="shared" si="169"/>
        <v>0.64486713756426706</v>
      </c>
      <c r="O1396" s="25">
        <f t="shared" si="170"/>
        <v>-0.43871097167731682</v>
      </c>
      <c r="P1396" s="25">
        <f t="shared" si="171"/>
        <v>1</v>
      </c>
      <c r="Q1396" s="25">
        <f t="shared" si="175"/>
        <v>469.91013879855745</v>
      </c>
      <c r="R1396" s="25">
        <f t="shared" si="172"/>
        <v>7</v>
      </c>
      <c r="S1396" s="26">
        <f t="shared" si="173"/>
        <v>15</v>
      </c>
    </row>
    <row r="1397" spans="2:19" x14ac:dyDescent="0.3">
      <c r="B1397" s="24">
        <v>382086</v>
      </c>
      <c r="C1397" s="25">
        <v>24</v>
      </c>
      <c r="D1397" s="25">
        <v>4</v>
      </c>
      <c r="E1397" s="25">
        <v>0</v>
      </c>
      <c r="F1397" s="25">
        <v>2</v>
      </c>
      <c r="G1397" s="25">
        <v>64</v>
      </c>
      <c r="H1397" s="25">
        <v>4.4000000000000004</v>
      </c>
      <c r="I1397" s="25">
        <v>0.81</v>
      </c>
      <c r="J1397" s="25">
        <v>2.0099999999999998</v>
      </c>
      <c r="K1397" s="26">
        <v>0</v>
      </c>
      <c r="L1397" s="25">
        <f t="shared" si="168"/>
        <v>-0.31190334052308188</v>
      </c>
      <c r="M1397" s="25">
        <f t="shared" si="174"/>
        <v>0.4226502231535042</v>
      </c>
      <c r="N1397" s="25">
        <f t="shared" si="169"/>
        <v>0.5773497768464958</v>
      </c>
      <c r="O1397" s="25">
        <f t="shared" si="170"/>
        <v>-0.54930699709773434</v>
      </c>
      <c r="P1397" s="25">
        <f t="shared" si="171"/>
        <v>1</v>
      </c>
      <c r="Q1397" s="25">
        <f t="shared" si="175"/>
        <v>496.12262779711892</v>
      </c>
      <c r="R1397" s="25">
        <f t="shared" si="172"/>
        <v>7</v>
      </c>
      <c r="S1397" s="26">
        <f t="shared" si="173"/>
        <v>14</v>
      </c>
    </row>
    <row r="1398" spans="2:19" x14ac:dyDescent="0.3">
      <c r="B1398" s="24">
        <v>382127</v>
      </c>
      <c r="C1398" s="25">
        <v>18</v>
      </c>
      <c r="D1398" s="25">
        <v>2</v>
      </c>
      <c r="E1398" s="25">
        <v>0</v>
      </c>
      <c r="F1398" s="25">
        <v>0</v>
      </c>
      <c r="G1398" s="25">
        <v>22</v>
      </c>
      <c r="H1398" s="25">
        <v>10.5</v>
      </c>
      <c r="I1398" s="25">
        <v>0.3</v>
      </c>
      <c r="J1398" s="25">
        <v>2.0099999999999998</v>
      </c>
      <c r="K1398" s="26">
        <v>1</v>
      </c>
      <c r="L1398" s="25">
        <f t="shared" si="168"/>
        <v>0.34651622242376973</v>
      </c>
      <c r="M1398" s="25">
        <f t="shared" si="174"/>
        <v>0.58577251778235617</v>
      </c>
      <c r="N1398" s="25">
        <f t="shared" si="169"/>
        <v>0.58577251778235617</v>
      </c>
      <c r="O1398" s="25">
        <f t="shared" si="170"/>
        <v>-0.53482375968292917</v>
      </c>
      <c r="P1398" s="25">
        <f t="shared" si="171"/>
        <v>1</v>
      </c>
      <c r="Q1398" s="25">
        <f t="shared" si="175"/>
        <v>477.12465556980681</v>
      </c>
      <c r="R1398" s="25">
        <f t="shared" si="172"/>
        <v>7</v>
      </c>
      <c r="S1398" s="26">
        <f t="shared" si="173"/>
        <v>15</v>
      </c>
    </row>
    <row r="1399" spans="2:19" x14ac:dyDescent="0.3">
      <c r="B1399" s="24">
        <v>382157</v>
      </c>
      <c r="C1399" s="25">
        <v>20</v>
      </c>
      <c r="D1399" s="25">
        <v>3</v>
      </c>
      <c r="E1399" s="25">
        <v>0</v>
      </c>
      <c r="F1399" s="25">
        <v>0</v>
      </c>
      <c r="G1399" s="25">
        <v>13</v>
      </c>
      <c r="H1399" s="25">
        <v>0</v>
      </c>
      <c r="I1399" s="25">
        <v>0</v>
      </c>
      <c r="J1399" s="25">
        <v>0</v>
      </c>
      <c r="K1399" s="26">
        <v>0</v>
      </c>
      <c r="L1399" s="25">
        <f t="shared" si="168"/>
        <v>-0.99079885844531534</v>
      </c>
      <c r="M1399" s="25">
        <f t="shared" si="174"/>
        <v>0.27075431703002628</v>
      </c>
      <c r="N1399" s="25">
        <f t="shared" si="169"/>
        <v>0.72924568296997372</v>
      </c>
      <c r="O1399" s="25">
        <f t="shared" si="170"/>
        <v>-0.31574459007359917</v>
      </c>
      <c r="P1399" s="25">
        <f t="shared" si="171"/>
        <v>0</v>
      </c>
      <c r="Q1399" s="25">
        <f t="shared" si="175"/>
        <v>515.71141118169521</v>
      </c>
      <c r="R1399" s="25">
        <f t="shared" si="172"/>
        <v>7</v>
      </c>
      <c r="S1399" s="26">
        <f t="shared" si="173"/>
        <v>13</v>
      </c>
    </row>
    <row r="1400" spans="2:19" x14ac:dyDescent="0.3">
      <c r="B1400" s="24">
        <v>382168</v>
      </c>
      <c r="C1400" s="25">
        <v>38</v>
      </c>
      <c r="D1400" s="25">
        <v>4</v>
      </c>
      <c r="E1400" s="25">
        <v>4</v>
      </c>
      <c r="F1400" s="25">
        <v>8</v>
      </c>
      <c r="G1400" s="25">
        <v>61</v>
      </c>
      <c r="H1400" s="25">
        <v>2.7</v>
      </c>
      <c r="I1400" s="25">
        <v>0.91</v>
      </c>
      <c r="J1400" s="25">
        <v>0.73</v>
      </c>
      <c r="K1400" s="26">
        <v>0</v>
      </c>
      <c r="L1400" s="25">
        <f t="shared" si="168"/>
        <v>-1.8695677537279098</v>
      </c>
      <c r="M1400" s="25">
        <f t="shared" si="174"/>
        <v>0.13359174495066675</v>
      </c>
      <c r="N1400" s="25">
        <f t="shared" si="169"/>
        <v>0.86640825504933328</v>
      </c>
      <c r="O1400" s="25">
        <f t="shared" si="170"/>
        <v>-0.14339905535213537</v>
      </c>
      <c r="P1400" s="25">
        <f t="shared" si="171"/>
        <v>0</v>
      </c>
      <c r="Q1400" s="25">
        <f t="shared" si="175"/>
        <v>541.06732100928969</v>
      </c>
      <c r="R1400" s="25">
        <f t="shared" si="172"/>
        <v>6</v>
      </c>
      <c r="S1400" s="26">
        <f t="shared" si="173"/>
        <v>11</v>
      </c>
    </row>
    <row r="1401" spans="2:19" x14ac:dyDescent="0.3">
      <c r="B1401" s="24">
        <v>382202</v>
      </c>
      <c r="C1401" s="25">
        <v>24</v>
      </c>
      <c r="D1401" s="25">
        <v>1</v>
      </c>
      <c r="E1401" s="25">
        <v>6</v>
      </c>
      <c r="F1401" s="25">
        <v>1</v>
      </c>
      <c r="G1401" s="25">
        <v>21</v>
      </c>
      <c r="H1401" s="25">
        <v>4.5</v>
      </c>
      <c r="I1401" s="25">
        <v>0.18</v>
      </c>
      <c r="J1401" s="25">
        <v>0.76</v>
      </c>
      <c r="K1401" s="26">
        <v>0</v>
      </c>
      <c r="L1401" s="25">
        <f t="shared" si="168"/>
        <v>-1.8059359926070273</v>
      </c>
      <c r="M1401" s="25">
        <f t="shared" si="174"/>
        <v>0.14113001548274637</v>
      </c>
      <c r="N1401" s="25">
        <f t="shared" si="169"/>
        <v>0.8588699845172536</v>
      </c>
      <c r="O1401" s="25">
        <f t="shared" si="170"/>
        <v>-0.15213772524363536</v>
      </c>
      <c r="P1401" s="25">
        <f t="shared" si="171"/>
        <v>0</v>
      </c>
      <c r="Q1401" s="25">
        <f t="shared" si="175"/>
        <v>539.23129653708384</v>
      </c>
      <c r="R1401" s="25">
        <f t="shared" si="172"/>
        <v>6</v>
      </c>
      <c r="S1401" s="26">
        <f t="shared" si="173"/>
        <v>12</v>
      </c>
    </row>
    <row r="1402" spans="2:19" x14ac:dyDescent="0.3">
      <c r="B1402" s="24">
        <v>382229</v>
      </c>
      <c r="C1402" s="25">
        <v>61</v>
      </c>
      <c r="D1402" s="25">
        <v>2</v>
      </c>
      <c r="E1402" s="25">
        <v>33</v>
      </c>
      <c r="F1402" s="25">
        <v>26</v>
      </c>
      <c r="G1402" s="25">
        <v>126</v>
      </c>
      <c r="H1402" s="25">
        <v>12.4</v>
      </c>
      <c r="I1402" s="25">
        <v>8.4700000000000006</v>
      </c>
      <c r="J1402" s="25">
        <v>7.16</v>
      </c>
      <c r="K1402" s="26">
        <v>0</v>
      </c>
      <c r="L1402" s="25">
        <f t="shared" si="168"/>
        <v>-4.6831787059087198</v>
      </c>
      <c r="M1402" s="25">
        <f t="shared" si="174"/>
        <v>9.1647950874515025E-3</v>
      </c>
      <c r="N1402" s="25">
        <f t="shared" si="169"/>
        <v>0.99083520491254851</v>
      </c>
      <c r="O1402" s="25">
        <f t="shared" si="170"/>
        <v>-9.2070501930162554E-3</v>
      </c>
      <c r="P1402" s="25">
        <f t="shared" si="171"/>
        <v>0</v>
      </c>
      <c r="Q1402" s="25">
        <f t="shared" si="175"/>
        <v>622.25097006241958</v>
      </c>
      <c r="R1402" s="25">
        <f t="shared" si="172"/>
        <v>3</v>
      </c>
      <c r="S1402" s="26">
        <f t="shared" si="173"/>
        <v>5</v>
      </c>
    </row>
    <row r="1403" spans="2:19" x14ac:dyDescent="0.3">
      <c r="B1403" s="24">
        <v>382231</v>
      </c>
      <c r="C1403" s="25">
        <v>18</v>
      </c>
      <c r="D1403" s="25">
        <v>2</v>
      </c>
      <c r="E1403" s="25">
        <v>0</v>
      </c>
      <c r="F1403" s="25">
        <v>0</v>
      </c>
      <c r="G1403" s="25">
        <v>22</v>
      </c>
      <c r="H1403" s="25">
        <v>38.799999999999997</v>
      </c>
      <c r="I1403" s="25">
        <v>3.64</v>
      </c>
      <c r="J1403" s="25">
        <v>4.9000000000000004</v>
      </c>
      <c r="K1403" s="26">
        <v>0</v>
      </c>
      <c r="L1403" s="25">
        <f t="shared" si="168"/>
        <v>4.8207946027766271</v>
      </c>
      <c r="M1403" s="25">
        <f t="shared" si="174"/>
        <v>0.99200407043546834</v>
      </c>
      <c r="N1403" s="25">
        <f t="shared" si="169"/>
        <v>7.9959295645316564E-3</v>
      </c>
      <c r="O1403" s="25">
        <f t="shared" si="170"/>
        <v>-4.8288226712207436</v>
      </c>
      <c r="P1403" s="25">
        <f t="shared" si="171"/>
        <v>1</v>
      </c>
      <c r="Q1403" s="25">
        <f t="shared" si="175"/>
        <v>348.02427461094362</v>
      </c>
      <c r="R1403" s="25">
        <f t="shared" si="172"/>
        <v>8</v>
      </c>
      <c r="S1403" s="26">
        <f t="shared" si="173"/>
        <v>17</v>
      </c>
    </row>
    <row r="1404" spans="2:19" x14ac:dyDescent="0.3">
      <c r="B1404" s="24">
        <v>450002</v>
      </c>
      <c r="C1404" s="25">
        <v>51</v>
      </c>
      <c r="D1404" s="25">
        <v>5</v>
      </c>
      <c r="E1404" s="25">
        <v>22</v>
      </c>
      <c r="F1404" s="25">
        <v>14</v>
      </c>
      <c r="G1404" s="25">
        <v>75</v>
      </c>
      <c r="H1404" s="25">
        <v>7.7</v>
      </c>
      <c r="I1404" s="25">
        <v>2.0499999999999998</v>
      </c>
      <c r="J1404" s="25">
        <v>3.72</v>
      </c>
      <c r="K1404" s="26">
        <v>0</v>
      </c>
      <c r="L1404" s="25">
        <f t="shared" si="168"/>
        <v>-5.3551762750980894</v>
      </c>
      <c r="M1404" s="25">
        <f t="shared" si="174"/>
        <v>4.7014289220763542E-3</v>
      </c>
      <c r="N1404" s="25">
        <f t="shared" si="169"/>
        <v>0.99529857107792363</v>
      </c>
      <c r="O1404" s="25">
        <f t="shared" si="170"/>
        <v>-4.7125154008738302E-3</v>
      </c>
      <c r="P1404" s="25">
        <f t="shared" si="171"/>
        <v>0</v>
      </c>
      <c r="Q1404" s="25">
        <f t="shared" si="175"/>
        <v>641.6407207240527</v>
      </c>
      <c r="R1404" s="25">
        <f t="shared" si="172"/>
        <v>3</v>
      </c>
      <c r="S1404" s="26">
        <f t="shared" si="173"/>
        <v>3</v>
      </c>
    </row>
    <row r="1405" spans="2:19" x14ac:dyDescent="0.3">
      <c r="B1405" s="24">
        <v>450068</v>
      </c>
      <c r="C1405" s="25">
        <v>33</v>
      </c>
      <c r="D1405" s="25">
        <v>3</v>
      </c>
      <c r="E1405" s="25">
        <v>5</v>
      </c>
      <c r="F1405" s="25">
        <v>6</v>
      </c>
      <c r="G1405" s="25">
        <v>38</v>
      </c>
      <c r="H1405" s="25">
        <v>18.3</v>
      </c>
      <c r="I1405" s="25">
        <v>1.74</v>
      </c>
      <c r="J1405" s="25">
        <v>5.22</v>
      </c>
      <c r="K1405" s="26">
        <v>0</v>
      </c>
      <c r="L1405" s="25">
        <f t="shared" si="168"/>
        <v>0.1859064588268588</v>
      </c>
      <c r="M1405" s="25">
        <f t="shared" si="174"/>
        <v>0.54634321837932109</v>
      </c>
      <c r="N1405" s="25">
        <f t="shared" si="169"/>
        <v>0.45365678162067891</v>
      </c>
      <c r="O1405" s="25">
        <f t="shared" si="170"/>
        <v>-0.79041435446318131</v>
      </c>
      <c r="P1405" s="25">
        <f t="shared" si="171"/>
        <v>1</v>
      </c>
      <c r="Q1405" s="25">
        <f t="shared" si="175"/>
        <v>481.7588736276557</v>
      </c>
      <c r="R1405" s="25">
        <f t="shared" si="172"/>
        <v>7</v>
      </c>
      <c r="S1405" s="26">
        <f t="shared" si="173"/>
        <v>15</v>
      </c>
    </row>
    <row r="1406" spans="2:19" x14ac:dyDescent="0.3">
      <c r="B1406" s="24">
        <v>450181</v>
      </c>
      <c r="C1406" s="25">
        <v>34</v>
      </c>
      <c r="D1406" s="25">
        <v>3</v>
      </c>
      <c r="E1406" s="25">
        <v>0</v>
      </c>
      <c r="F1406" s="25">
        <v>7</v>
      </c>
      <c r="G1406" s="25">
        <v>49</v>
      </c>
      <c r="H1406" s="25">
        <v>5</v>
      </c>
      <c r="I1406" s="25">
        <v>0.18</v>
      </c>
      <c r="J1406" s="25">
        <v>2.27</v>
      </c>
      <c r="K1406" s="26">
        <v>0</v>
      </c>
      <c r="L1406" s="25">
        <f t="shared" si="168"/>
        <v>-0.87281713879247769</v>
      </c>
      <c r="M1406" s="25">
        <f t="shared" si="174"/>
        <v>0.29466845232189354</v>
      </c>
      <c r="N1406" s="25">
        <f t="shared" si="169"/>
        <v>0.70533154767810646</v>
      </c>
      <c r="O1406" s="25">
        <f t="shared" si="170"/>
        <v>-0.34908730632255847</v>
      </c>
      <c r="P1406" s="25">
        <f t="shared" si="171"/>
        <v>0</v>
      </c>
      <c r="Q1406" s="25">
        <f t="shared" si="175"/>
        <v>512.30717844100423</v>
      </c>
      <c r="R1406" s="25">
        <f t="shared" si="172"/>
        <v>7</v>
      </c>
      <c r="S1406" s="26">
        <f t="shared" si="173"/>
        <v>13</v>
      </c>
    </row>
    <row r="1407" spans="2:19" x14ac:dyDescent="0.3">
      <c r="B1407" s="24">
        <v>450204</v>
      </c>
      <c r="C1407" s="25">
        <v>33</v>
      </c>
      <c r="D1407" s="25">
        <v>4</v>
      </c>
      <c r="E1407" s="25">
        <v>6</v>
      </c>
      <c r="F1407" s="25">
        <v>3</v>
      </c>
      <c r="G1407" s="25">
        <v>25</v>
      </c>
      <c r="H1407" s="25">
        <v>13.7</v>
      </c>
      <c r="I1407" s="25">
        <v>1.18</v>
      </c>
      <c r="J1407" s="25">
        <v>2.25</v>
      </c>
      <c r="K1407" s="26">
        <v>0</v>
      </c>
      <c r="L1407" s="25">
        <f t="shared" si="168"/>
        <v>-0.79712984276574184</v>
      </c>
      <c r="M1407" s="25">
        <f t="shared" si="174"/>
        <v>0.31063980785877743</v>
      </c>
      <c r="N1407" s="25">
        <f t="shared" si="169"/>
        <v>0.68936019214122257</v>
      </c>
      <c r="O1407" s="25">
        <f t="shared" si="170"/>
        <v>-0.37199136932659788</v>
      </c>
      <c r="P1407" s="25">
        <f t="shared" si="171"/>
        <v>0</v>
      </c>
      <c r="Q1407" s="25">
        <f t="shared" si="175"/>
        <v>510.12330477017844</v>
      </c>
      <c r="R1407" s="25">
        <f t="shared" si="172"/>
        <v>7</v>
      </c>
      <c r="S1407" s="26">
        <f t="shared" si="173"/>
        <v>14</v>
      </c>
    </row>
    <row r="1408" spans="2:19" x14ac:dyDescent="0.3">
      <c r="B1408" s="24">
        <v>450251</v>
      </c>
      <c r="C1408" s="25">
        <v>27</v>
      </c>
      <c r="D1408" s="25">
        <v>4</v>
      </c>
      <c r="E1408" s="25">
        <v>1</v>
      </c>
      <c r="F1408" s="25">
        <v>3</v>
      </c>
      <c r="G1408" s="25">
        <v>32</v>
      </c>
      <c r="H1408" s="25">
        <v>15.4</v>
      </c>
      <c r="I1408" s="25">
        <v>2.15</v>
      </c>
      <c r="J1408" s="25">
        <v>2.77</v>
      </c>
      <c r="K1408" s="26">
        <v>1</v>
      </c>
      <c r="L1408" s="25">
        <f t="shared" si="168"/>
        <v>1.1071800674448482</v>
      </c>
      <c r="M1408" s="25">
        <f t="shared" si="174"/>
        <v>0.75160301514484418</v>
      </c>
      <c r="N1408" s="25">
        <f t="shared" si="169"/>
        <v>0.75160301514484418</v>
      </c>
      <c r="O1408" s="25">
        <f t="shared" si="170"/>
        <v>-0.28554699981590242</v>
      </c>
      <c r="P1408" s="25">
        <f t="shared" si="171"/>
        <v>1</v>
      </c>
      <c r="Q1408" s="25">
        <f t="shared" si="175"/>
        <v>455.17653705195306</v>
      </c>
      <c r="R1408" s="25">
        <f t="shared" si="172"/>
        <v>8</v>
      </c>
      <c r="S1408" s="26">
        <f t="shared" si="173"/>
        <v>16</v>
      </c>
    </row>
    <row r="1409" spans="2:19" x14ac:dyDescent="0.3">
      <c r="B1409" s="24">
        <v>450252</v>
      </c>
      <c r="C1409" s="25">
        <v>37</v>
      </c>
      <c r="D1409" s="25">
        <v>4</v>
      </c>
      <c r="E1409" s="25">
        <v>3</v>
      </c>
      <c r="F1409" s="25">
        <v>4</v>
      </c>
      <c r="G1409" s="25">
        <v>28</v>
      </c>
      <c r="H1409" s="25">
        <v>18.100000000000001</v>
      </c>
      <c r="I1409" s="25">
        <v>1</v>
      </c>
      <c r="J1409" s="25">
        <v>4.0599999999999996</v>
      </c>
      <c r="K1409" s="26">
        <v>0</v>
      </c>
      <c r="L1409" s="25">
        <f t="shared" si="168"/>
        <v>0.16187031151507086</v>
      </c>
      <c r="M1409" s="25">
        <f t="shared" si="174"/>
        <v>0.54037944784116099</v>
      </c>
      <c r="N1409" s="25">
        <f t="shared" si="169"/>
        <v>0.45962055215883901</v>
      </c>
      <c r="O1409" s="25">
        <f t="shared" si="170"/>
        <v>-0.77735401651638714</v>
      </c>
      <c r="P1409" s="25">
        <f t="shared" si="171"/>
        <v>1</v>
      </c>
      <c r="Q1409" s="25">
        <f t="shared" si="175"/>
        <v>482.45241021857527</v>
      </c>
      <c r="R1409" s="25">
        <f t="shared" si="172"/>
        <v>7</v>
      </c>
      <c r="S1409" s="26">
        <f t="shared" si="173"/>
        <v>15</v>
      </c>
    </row>
    <row r="1410" spans="2:19" x14ac:dyDescent="0.3">
      <c r="B1410" s="24">
        <v>450310</v>
      </c>
      <c r="C1410" s="25">
        <v>34</v>
      </c>
      <c r="D1410" s="25">
        <v>1</v>
      </c>
      <c r="E1410" s="25">
        <v>12</v>
      </c>
      <c r="F1410" s="25">
        <v>6</v>
      </c>
      <c r="G1410" s="25">
        <v>59</v>
      </c>
      <c r="H1410" s="25">
        <v>9.1999999999999993</v>
      </c>
      <c r="I1410" s="25">
        <v>2</v>
      </c>
      <c r="J1410" s="25">
        <v>3.43</v>
      </c>
      <c r="K1410" s="26">
        <v>0</v>
      </c>
      <c r="L1410" s="25">
        <f t="shared" si="168"/>
        <v>-2.1363290797317256</v>
      </c>
      <c r="M1410" s="25">
        <f t="shared" si="174"/>
        <v>0.10561564657135611</v>
      </c>
      <c r="N1410" s="25">
        <f t="shared" si="169"/>
        <v>0.89438435342864386</v>
      </c>
      <c r="O1410" s="25">
        <f t="shared" si="170"/>
        <v>-0.11161967066473005</v>
      </c>
      <c r="P1410" s="25">
        <f t="shared" si="171"/>
        <v>0</v>
      </c>
      <c r="Q1410" s="25">
        <f t="shared" si="175"/>
        <v>548.76442563367118</v>
      </c>
      <c r="R1410" s="25">
        <f t="shared" si="172"/>
        <v>6</v>
      </c>
      <c r="S1410" s="26">
        <f t="shared" si="173"/>
        <v>11</v>
      </c>
    </row>
    <row r="1411" spans="2:19" x14ac:dyDescent="0.3">
      <c r="B1411" s="24">
        <v>450317</v>
      </c>
      <c r="C1411" s="25">
        <v>23</v>
      </c>
      <c r="D1411" s="25">
        <v>2</v>
      </c>
      <c r="E1411" s="25">
        <v>2</v>
      </c>
      <c r="F1411" s="25">
        <v>2</v>
      </c>
      <c r="G1411" s="25">
        <v>35</v>
      </c>
      <c r="H1411" s="25">
        <v>5.8</v>
      </c>
      <c r="I1411" s="25">
        <v>0.46</v>
      </c>
      <c r="J1411" s="25">
        <v>1.57</v>
      </c>
      <c r="K1411" s="26">
        <v>0</v>
      </c>
      <c r="L1411" s="25">
        <f t="shared" si="168"/>
        <v>-0.67974947219628423</v>
      </c>
      <c r="M1411" s="25">
        <f t="shared" si="174"/>
        <v>0.336317220099216</v>
      </c>
      <c r="N1411" s="25">
        <f t="shared" si="169"/>
        <v>0.66368277990078406</v>
      </c>
      <c r="O1411" s="25">
        <f t="shared" si="170"/>
        <v>-0.4099509847736249</v>
      </c>
      <c r="P1411" s="25">
        <f t="shared" si="171"/>
        <v>0</v>
      </c>
      <c r="Q1411" s="25">
        <f t="shared" si="175"/>
        <v>506.73642329580434</v>
      </c>
      <c r="R1411" s="25">
        <f t="shared" si="172"/>
        <v>7</v>
      </c>
      <c r="S1411" s="26">
        <f t="shared" si="173"/>
        <v>14</v>
      </c>
    </row>
    <row r="1412" spans="2:19" x14ac:dyDescent="0.3">
      <c r="B1412" s="24">
        <v>450383</v>
      </c>
      <c r="C1412" s="25">
        <v>29</v>
      </c>
      <c r="D1412" s="25">
        <v>3</v>
      </c>
      <c r="E1412" s="25">
        <v>5</v>
      </c>
      <c r="F1412" s="25">
        <v>6</v>
      </c>
      <c r="G1412" s="25">
        <v>37</v>
      </c>
      <c r="H1412" s="25">
        <v>4.3</v>
      </c>
      <c r="I1412" s="25">
        <v>0.53</v>
      </c>
      <c r="J1412" s="25">
        <v>1.06</v>
      </c>
      <c r="K1412" s="26">
        <v>0</v>
      </c>
      <c r="L1412" s="25">
        <f t="shared" si="168"/>
        <v>-1.800463013726461</v>
      </c>
      <c r="M1412" s="25">
        <f t="shared" si="174"/>
        <v>0.14179471189092829</v>
      </c>
      <c r="N1412" s="25">
        <f t="shared" si="169"/>
        <v>0.85820528810907171</v>
      </c>
      <c r="O1412" s="25">
        <f t="shared" si="170"/>
        <v>-0.15291194458274177</v>
      </c>
      <c r="P1412" s="25">
        <f t="shared" si="171"/>
        <v>0</v>
      </c>
      <c r="Q1412" s="25">
        <f t="shared" si="175"/>
        <v>539.07337975176188</v>
      </c>
      <c r="R1412" s="25">
        <f t="shared" si="172"/>
        <v>6</v>
      </c>
      <c r="S1412" s="26">
        <f t="shared" si="173"/>
        <v>12</v>
      </c>
    </row>
    <row r="1413" spans="2:19" x14ac:dyDescent="0.3">
      <c r="B1413" s="24">
        <v>450387</v>
      </c>
      <c r="C1413" s="25">
        <v>25</v>
      </c>
      <c r="D1413" s="25">
        <v>1</v>
      </c>
      <c r="E1413" s="25">
        <v>1</v>
      </c>
      <c r="F1413" s="25">
        <v>4</v>
      </c>
      <c r="G1413" s="25">
        <v>19</v>
      </c>
      <c r="H1413" s="25">
        <v>2.6</v>
      </c>
      <c r="I1413" s="25">
        <v>0.13</v>
      </c>
      <c r="J1413" s="25">
        <v>0.36</v>
      </c>
      <c r="K1413" s="26">
        <v>0</v>
      </c>
      <c r="L1413" s="25">
        <f t="shared" ref="L1413:L1476" si="176">$Y$4+SUMPRODUCT($Z$4:$AG$4,C1413:J1413)</f>
        <v>-1.017525838446002</v>
      </c>
      <c r="M1413" s="25">
        <f t="shared" si="174"/>
        <v>0.26550961730681283</v>
      </c>
      <c r="N1413" s="25">
        <f t="shared" ref="N1413:N1476" si="177">IF(K1413=1,M1413,(1-M1413))</f>
        <v>0.73449038269318723</v>
      </c>
      <c r="O1413" s="25">
        <f t="shared" ref="O1413:O1476" si="178">LN(N1413)</f>
        <v>-0.30857837713236608</v>
      </c>
      <c r="P1413" s="25">
        <f t="shared" ref="P1413:P1476" si="179">IF(M1413&gt;0.4,1,0)</f>
        <v>0</v>
      </c>
      <c r="Q1413" s="25">
        <f t="shared" si="175"/>
        <v>516.48258878993704</v>
      </c>
      <c r="R1413" s="25">
        <f t="shared" ref="R1413:R1476" si="180">VLOOKUP(M1413,$U$9:$W$16,3,TRUE)</f>
        <v>7</v>
      </c>
      <c r="S1413" s="26">
        <f t="shared" ref="S1413:S1476" si="181">VLOOKUP(M1413,$U$21:$W$37,3,TRUE)</f>
        <v>13</v>
      </c>
    </row>
    <row r="1414" spans="2:19" x14ac:dyDescent="0.3">
      <c r="B1414" s="24">
        <v>450400</v>
      </c>
      <c r="C1414" s="25">
        <v>21</v>
      </c>
      <c r="D1414" s="25">
        <v>1</v>
      </c>
      <c r="E1414" s="25">
        <v>4</v>
      </c>
      <c r="F1414" s="25">
        <v>1</v>
      </c>
      <c r="G1414" s="25">
        <v>44</v>
      </c>
      <c r="H1414" s="25">
        <v>6.4</v>
      </c>
      <c r="I1414" s="25">
        <v>0.99</v>
      </c>
      <c r="J1414" s="25">
        <v>1.83</v>
      </c>
      <c r="K1414" s="26">
        <v>1</v>
      </c>
      <c r="L1414" s="25">
        <f t="shared" si="176"/>
        <v>-0.6836618994798862</v>
      </c>
      <c r="M1414" s="25">
        <f t="shared" ref="M1414:M1477" si="182">EXP(L1414)/(1+EXP(L1414))</f>
        <v>0.33544449523884906</v>
      </c>
      <c r="N1414" s="25">
        <f t="shared" si="177"/>
        <v>0.33544449523884906</v>
      </c>
      <c r="O1414" s="25">
        <f t="shared" si="178"/>
        <v>-1.0922987751873352</v>
      </c>
      <c r="P1414" s="25">
        <f t="shared" si="179"/>
        <v>0</v>
      </c>
      <c r="Q1414" s="25">
        <f t="shared" si="175"/>
        <v>506.84931208140267</v>
      </c>
      <c r="R1414" s="25">
        <f t="shared" si="180"/>
        <v>7</v>
      </c>
      <c r="S1414" s="26">
        <f t="shared" si="181"/>
        <v>14</v>
      </c>
    </row>
    <row r="1415" spans="2:19" x14ac:dyDescent="0.3">
      <c r="B1415" s="24">
        <v>450406</v>
      </c>
      <c r="C1415" s="25">
        <v>26</v>
      </c>
      <c r="D1415" s="25">
        <v>1</v>
      </c>
      <c r="E1415" s="25">
        <v>6</v>
      </c>
      <c r="F1415" s="25">
        <v>2</v>
      </c>
      <c r="G1415" s="25">
        <v>24</v>
      </c>
      <c r="H1415" s="25">
        <v>11.5</v>
      </c>
      <c r="I1415" s="25">
        <v>0.91</v>
      </c>
      <c r="J1415" s="25">
        <v>1.85</v>
      </c>
      <c r="K1415" s="26">
        <v>0</v>
      </c>
      <c r="L1415" s="25">
        <f t="shared" si="176"/>
        <v>-0.81045348752849644</v>
      </c>
      <c r="M1415" s="25">
        <f t="shared" si="182"/>
        <v>0.30779386867449993</v>
      </c>
      <c r="N1415" s="25">
        <f t="shared" si="177"/>
        <v>0.69220613132550013</v>
      </c>
      <c r="O1415" s="25">
        <f t="shared" si="178"/>
        <v>-0.36787149008319675</v>
      </c>
      <c r="P1415" s="25">
        <f t="shared" si="179"/>
        <v>0</v>
      </c>
      <c r="Q1415" s="25">
        <f t="shared" si="175"/>
        <v>510.50774388379847</v>
      </c>
      <c r="R1415" s="25">
        <f t="shared" si="180"/>
        <v>7</v>
      </c>
      <c r="S1415" s="26">
        <f t="shared" si="181"/>
        <v>13</v>
      </c>
    </row>
    <row r="1416" spans="2:19" x14ac:dyDescent="0.3">
      <c r="B1416" s="24">
        <v>450446</v>
      </c>
      <c r="C1416" s="25">
        <v>37</v>
      </c>
      <c r="D1416" s="25">
        <v>2</v>
      </c>
      <c r="E1416" s="25">
        <v>4</v>
      </c>
      <c r="F1416" s="25">
        <v>2</v>
      </c>
      <c r="G1416" s="25">
        <v>32</v>
      </c>
      <c r="H1416" s="25">
        <v>3.2</v>
      </c>
      <c r="I1416" s="25">
        <v>0.14000000000000001</v>
      </c>
      <c r="J1416" s="25">
        <v>0.88</v>
      </c>
      <c r="K1416" s="26">
        <v>0</v>
      </c>
      <c r="L1416" s="25">
        <f t="shared" si="176"/>
        <v>-1.8632526503591196</v>
      </c>
      <c r="M1416" s="25">
        <f t="shared" si="182"/>
        <v>0.13432437934322755</v>
      </c>
      <c r="N1416" s="25">
        <f t="shared" si="177"/>
        <v>0.86567562065677239</v>
      </c>
      <c r="O1416" s="25">
        <f t="shared" si="178"/>
        <v>-0.14424501257918285</v>
      </c>
      <c r="P1416" s="25">
        <f t="shared" si="179"/>
        <v>0</v>
      </c>
      <c r="Q1416" s="25">
        <f t="shared" si="175"/>
        <v>540.88510564819694</v>
      </c>
      <c r="R1416" s="25">
        <f t="shared" si="180"/>
        <v>6</v>
      </c>
      <c r="S1416" s="26">
        <f t="shared" si="181"/>
        <v>11</v>
      </c>
    </row>
    <row r="1417" spans="2:19" x14ac:dyDescent="0.3">
      <c r="B1417" s="24">
        <v>450448</v>
      </c>
      <c r="C1417" s="25">
        <v>26</v>
      </c>
      <c r="D1417" s="25">
        <v>5</v>
      </c>
      <c r="E1417" s="25">
        <v>0</v>
      </c>
      <c r="F1417" s="25">
        <v>4</v>
      </c>
      <c r="G1417" s="25">
        <v>19</v>
      </c>
      <c r="H1417" s="25">
        <v>4.4000000000000004</v>
      </c>
      <c r="I1417" s="25">
        <v>0.05</v>
      </c>
      <c r="J1417" s="25">
        <v>0.78</v>
      </c>
      <c r="K1417" s="26">
        <v>1</v>
      </c>
      <c r="L1417" s="25">
        <f t="shared" si="176"/>
        <v>-0.87457900506469766</v>
      </c>
      <c r="M1417" s="25">
        <f t="shared" si="182"/>
        <v>0.29430240039619343</v>
      </c>
      <c r="N1417" s="25">
        <f t="shared" si="177"/>
        <v>0.29430240039619343</v>
      </c>
      <c r="O1417" s="25">
        <f t="shared" si="178"/>
        <v>-1.2231474674858145</v>
      </c>
      <c r="P1417" s="25">
        <f t="shared" si="179"/>
        <v>0</v>
      </c>
      <c r="Q1417" s="25">
        <f t="shared" ref="Q1417:Q1480" si="183">28.8539*LN((1-M1417)/(M1417))+487.123</f>
        <v>512.35801515423623</v>
      </c>
      <c r="R1417" s="25">
        <f t="shared" si="180"/>
        <v>7</v>
      </c>
      <c r="S1417" s="26">
        <f t="shared" si="181"/>
        <v>13</v>
      </c>
    </row>
    <row r="1418" spans="2:19" x14ac:dyDescent="0.3">
      <c r="B1418" s="24">
        <v>450450</v>
      </c>
      <c r="C1418" s="25">
        <v>35</v>
      </c>
      <c r="D1418" s="25">
        <v>3</v>
      </c>
      <c r="E1418" s="25">
        <v>11</v>
      </c>
      <c r="F1418" s="25">
        <v>8</v>
      </c>
      <c r="G1418" s="25">
        <v>59</v>
      </c>
      <c r="H1418" s="25">
        <v>1.4</v>
      </c>
      <c r="I1418" s="25">
        <v>0.13</v>
      </c>
      <c r="J1418" s="25">
        <v>0.7</v>
      </c>
      <c r="K1418" s="26">
        <v>0</v>
      </c>
      <c r="L1418" s="25">
        <f t="shared" si="176"/>
        <v>-3.8352665552707359</v>
      </c>
      <c r="M1418" s="25">
        <f t="shared" si="182"/>
        <v>2.1139070765836588E-2</v>
      </c>
      <c r="N1418" s="25">
        <f t="shared" si="177"/>
        <v>0.97886092923416346</v>
      </c>
      <c r="O1418" s="25">
        <f t="shared" si="178"/>
        <v>-2.1365700439925202E-2</v>
      </c>
      <c r="P1418" s="25">
        <f t="shared" si="179"/>
        <v>0</v>
      </c>
      <c r="Q1418" s="25">
        <f t="shared" si="183"/>
        <v>597.78539765912626</v>
      </c>
      <c r="R1418" s="25">
        <f t="shared" si="180"/>
        <v>4</v>
      </c>
      <c r="S1418" s="26">
        <f t="shared" si="181"/>
        <v>7</v>
      </c>
    </row>
    <row r="1419" spans="2:19" x14ac:dyDescent="0.3">
      <c r="B1419" s="24">
        <v>450455</v>
      </c>
      <c r="C1419" s="25">
        <v>22</v>
      </c>
      <c r="D1419" s="25">
        <v>3</v>
      </c>
      <c r="E1419" s="25">
        <v>0</v>
      </c>
      <c r="F1419" s="25">
        <v>1</v>
      </c>
      <c r="G1419" s="25">
        <v>29</v>
      </c>
      <c r="H1419" s="25">
        <v>19.7</v>
      </c>
      <c r="I1419" s="25">
        <v>1.68</v>
      </c>
      <c r="J1419" s="25">
        <v>4.03</v>
      </c>
      <c r="K1419" s="26">
        <v>1</v>
      </c>
      <c r="L1419" s="25">
        <f t="shared" si="176"/>
        <v>1.796744031676526</v>
      </c>
      <c r="M1419" s="25">
        <f t="shared" si="182"/>
        <v>0.85775212584622229</v>
      </c>
      <c r="N1419" s="25">
        <f t="shared" si="177"/>
        <v>0.85775212584622229</v>
      </c>
      <c r="O1419" s="25">
        <f t="shared" si="178"/>
        <v>-0.15344011884825537</v>
      </c>
      <c r="P1419" s="25">
        <f t="shared" si="179"/>
        <v>1</v>
      </c>
      <c r="Q1419" s="25">
        <f t="shared" si="183"/>
        <v>435.27992738440867</v>
      </c>
      <c r="R1419" s="25">
        <f t="shared" si="180"/>
        <v>8</v>
      </c>
      <c r="S1419" s="26">
        <f t="shared" si="181"/>
        <v>16</v>
      </c>
    </row>
    <row r="1420" spans="2:19" x14ac:dyDescent="0.3">
      <c r="B1420" s="24">
        <v>450465</v>
      </c>
      <c r="C1420" s="25">
        <v>30</v>
      </c>
      <c r="D1420" s="25">
        <v>2</v>
      </c>
      <c r="E1420" s="25">
        <v>4</v>
      </c>
      <c r="F1420" s="25">
        <v>2</v>
      </c>
      <c r="G1420" s="25">
        <v>26</v>
      </c>
      <c r="H1420" s="25">
        <v>9.3000000000000007</v>
      </c>
      <c r="I1420" s="25">
        <v>0.27</v>
      </c>
      <c r="J1420" s="25">
        <v>2.15</v>
      </c>
      <c r="K1420" s="26">
        <v>0</v>
      </c>
      <c r="L1420" s="25">
        <f t="shared" si="176"/>
        <v>-1.0121598767112947</v>
      </c>
      <c r="M1420" s="25">
        <f t="shared" si="182"/>
        <v>0.26655737220673315</v>
      </c>
      <c r="N1420" s="25">
        <f t="shared" si="177"/>
        <v>0.73344262779326685</v>
      </c>
      <c r="O1420" s="25">
        <f t="shared" si="178"/>
        <v>-0.31000590150897461</v>
      </c>
      <c r="P1420" s="25">
        <f t="shared" si="179"/>
        <v>0</v>
      </c>
      <c r="Q1420" s="25">
        <f t="shared" si="183"/>
        <v>516.32775986664001</v>
      </c>
      <c r="R1420" s="25">
        <f t="shared" si="180"/>
        <v>7</v>
      </c>
      <c r="S1420" s="26">
        <f t="shared" si="181"/>
        <v>13</v>
      </c>
    </row>
    <row r="1421" spans="2:19" x14ac:dyDescent="0.3">
      <c r="B1421" s="24">
        <v>450485</v>
      </c>
      <c r="C1421" s="25">
        <v>62</v>
      </c>
      <c r="D1421" s="25">
        <v>2</v>
      </c>
      <c r="E1421" s="25">
        <v>24</v>
      </c>
      <c r="F1421" s="25">
        <v>17</v>
      </c>
      <c r="G1421" s="25">
        <v>199</v>
      </c>
      <c r="H1421" s="25">
        <v>4.7</v>
      </c>
      <c r="I1421" s="25">
        <v>3.4</v>
      </c>
      <c r="J1421" s="25">
        <v>5.95</v>
      </c>
      <c r="K1421" s="26">
        <v>0</v>
      </c>
      <c r="L1421" s="25">
        <f t="shared" si="176"/>
        <v>-5.5586056133568773</v>
      </c>
      <c r="M1421" s="25">
        <f t="shared" si="182"/>
        <v>3.8393494070455979E-3</v>
      </c>
      <c r="N1421" s="25">
        <f t="shared" si="177"/>
        <v>0.99616065059295444</v>
      </c>
      <c r="O1421" s="25">
        <f t="shared" si="178"/>
        <v>-3.8467386282452212E-3</v>
      </c>
      <c r="P1421" s="25">
        <f t="shared" si="179"/>
        <v>0</v>
      </c>
      <c r="Q1421" s="25">
        <f t="shared" si="183"/>
        <v>647.51045050723792</v>
      </c>
      <c r="R1421" s="25">
        <f t="shared" si="180"/>
        <v>3</v>
      </c>
      <c r="S1421" s="26">
        <f t="shared" si="181"/>
        <v>3</v>
      </c>
    </row>
    <row r="1422" spans="2:19" x14ac:dyDescent="0.3">
      <c r="B1422" s="24">
        <v>450501</v>
      </c>
      <c r="C1422" s="25">
        <v>43</v>
      </c>
      <c r="D1422" s="25">
        <v>1</v>
      </c>
      <c r="E1422" s="25">
        <v>17</v>
      </c>
      <c r="F1422" s="25">
        <v>10</v>
      </c>
      <c r="G1422" s="25">
        <v>104</v>
      </c>
      <c r="H1422" s="25">
        <v>14.2</v>
      </c>
      <c r="I1422" s="25">
        <v>3.57</v>
      </c>
      <c r="J1422" s="25">
        <v>11.19</v>
      </c>
      <c r="K1422" s="26">
        <v>0</v>
      </c>
      <c r="L1422" s="25">
        <f t="shared" si="176"/>
        <v>-2.1453183242215039</v>
      </c>
      <c r="M1422" s="25">
        <f t="shared" si="182"/>
        <v>0.10476951911494579</v>
      </c>
      <c r="N1422" s="25">
        <f t="shared" si="177"/>
        <v>0.89523048088505419</v>
      </c>
      <c r="O1422" s="25">
        <f t="shared" si="178"/>
        <v>-0.11067407331804491</v>
      </c>
      <c r="P1422" s="25">
        <f t="shared" si="179"/>
        <v>0</v>
      </c>
      <c r="Q1422" s="25">
        <f t="shared" si="183"/>
        <v>549.02380039525485</v>
      </c>
      <c r="R1422" s="25">
        <f t="shared" si="180"/>
        <v>6</v>
      </c>
      <c r="S1422" s="26">
        <f t="shared" si="181"/>
        <v>11</v>
      </c>
    </row>
    <row r="1423" spans="2:19" x14ac:dyDescent="0.3">
      <c r="B1423" s="24">
        <v>450563</v>
      </c>
      <c r="C1423" s="25">
        <v>45</v>
      </c>
      <c r="D1423" s="25">
        <v>1</v>
      </c>
      <c r="E1423" s="25">
        <v>12</v>
      </c>
      <c r="F1423" s="25">
        <v>9</v>
      </c>
      <c r="G1423" s="25">
        <v>57</v>
      </c>
      <c r="H1423" s="25">
        <v>1</v>
      </c>
      <c r="I1423" s="25">
        <v>0.34</v>
      </c>
      <c r="J1423" s="25">
        <v>0.23</v>
      </c>
      <c r="K1423" s="26">
        <v>0</v>
      </c>
      <c r="L1423" s="25">
        <f t="shared" si="176"/>
        <v>-4.1558650318708583</v>
      </c>
      <c r="M1423" s="25">
        <f t="shared" si="182"/>
        <v>1.5430399543159789E-2</v>
      </c>
      <c r="N1423" s="25">
        <f t="shared" si="177"/>
        <v>0.98456960045684017</v>
      </c>
      <c r="O1423" s="25">
        <f t="shared" si="178"/>
        <v>-1.5550687153123901E-2</v>
      </c>
      <c r="P1423" s="25">
        <f t="shared" si="179"/>
        <v>0</v>
      </c>
      <c r="Q1423" s="25">
        <f t="shared" si="183"/>
        <v>607.0359140430985</v>
      </c>
      <c r="R1423" s="25">
        <f t="shared" si="180"/>
        <v>4</v>
      </c>
      <c r="S1423" s="26">
        <f t="shared" si="181"/>
        <v>6</v>
      </c>
    </row>
    <row r="1424" spans="2:19" x14ac:dyDescent="0.3">
      <c r="B1424" s="24">
        <v>450580</v>
      </c>
      <c r="C1424" s="25">
        <v>21</v>
      </c>
      <c r="D1424" s="25">
        <v>3</v>
      </c>
      <c r="E1424" s="25">
        <v>0</v>
      </c>
      <c r="F1424" s="25">
        <v>1</v>
      </c>
      <c r="G1424" s="25">
        <v>23</v>
      </c>
      <c r="H1424" s="25">
        <v>6.8</v>
      </c>
      <c r="I1424" s="25">
        <v>0.69</v>
      </c>
      <c r="J1424" s="25">
        <v>0.87</v>
      </c>
      <c r="K1424" s="26">
        <v>1</v>
      </c>
      <c r="L1424" s="25">
        <f t="shared" si="176"/>
        <v>-1.6576734201664278E-2</v>
      </c>
      <c r="M1424" s="25">
        <f t="shared" si="182"/>
        <v>0.49585591134467583</v>
      </c>
      <c r="N1424" s="25">
        <f t="shared" si="177"/>
        <v>0.49585591134467583</v>
      </c>
      <c r="O1424" s="25">
        <f t="shared" si="178"/>
        <v>-0.70146989578211016</v>
      </c>
      <c r="P1424" s="25">
        <f t="shared" si="179"/>
        <v>1</v>
      </c>
      <c r="Q1424" s="25">
        <f t="shared" si="183"/>
        <v>487.60130343098137</v>
      </c>
      <c r="R1424" s="25">
        <f t="shared" si="180"/>
        <v>7</v>
      </c>
      <c r="S1424" s="26">
        <f t="shared" si="181"/>
        <v>15</v>
      </c>
    </row>
    <row r="1425" spans="2:19" x14ac:dyDescent="0.3">
      <c r="B1425" s="24">
        <v>450614</v>
      </c>
      <c r="C1425" s="25">
        <v>27</v>
      </c>
      <c r="D1425" s="25">
        <v>1</v>
      </c>
      <c r="E1425" s="25">
        <v>3</v>
      </c>
      <c r="F1425" s="25">
        <v>3</v>
      </c>
      <c r="G1425" s="25">
        <v>37</v>
      </c>
      <c r="H1425" s="25">
        <v>13.9</v>
      </c>
      <c r="I1425" s="25">
        <v>3.04</v>
      </c>
      <c r="J1425" s="25">
        <v>2.1</v>
      </c>
      <c r="K1425" s="26">
        <v>1</v>
      </c>
      <c r="L1425" s="25">
        <f t="shared" si="176"/>
        <v>1.0713974070927132</v>
      </c>
      <c r="M1425" s="25">
        <f t="shared" si="182"/>
        <v>0.74486257317118243</v>
      </c>
      <c r="N1425" s="25">
        <f t="shared" si="177"/>
        <v>0.74486257317118243</v>
      </c>
      <c r="O1425" s="25">
        <f t="shared" si="178"/>
        <v>-0.29455554316047522</v>
      </c>
      <c r="P1425" s="25">
        <f t="shared" si="179"/>
        <v>1</v>
      </c>
      <c r="Q1425" s="25">
        <f t="shared" si="183"/>
        <v>456.20900635548753</v>
      </c>
      <c r="R1425" s="25">
        <f t="shared" si="180"/>
        <v>8</v>
      </c>
      <c r="S1425" s="26">
        <f t="shared" si="181"/>
        <v>16</v>
      </c>
    </row>
    <row r="1426" spans="2:19" x14ac:dyDescent="0.3">
      <c r="B1426" s="24">
        <v>450772</v>
      </c>
      <c r="C1426" s="25">
        <v>73</v>
      </c>
      <c r="D1426" s="25">
        <v>2</v>
      </c>
      <c r="E1426" s="25">
        <v>2</v>
      </c>
      <c r="F1426" s="25">
        <v>16</v>
      </c>
      <c r="G1426" s="25">
        <v>39</v>
      </c>
      <c r="H1426" s="25">
        <v>19.399999999999999</v>
      </c>
      <c r="I1426" s="25">
        <v>2.12</v>
      </c>
      <c r="J1426" s="25">
        <v>5.45</v>
      </c>
      <c r="K1426" s="26">
        <v>1</v>
      </c>
      <c r="L1426" s="25">
        <f t="shared" si="176"/>
        <v>2.3911556861293481E-2</v>
      </c>
      <c r="M1426" s="25">
        <f t="shared" si="182"/>
        <v>0.50597760440384199</v>
      </c>
      <c r="N1426" s="25">
        <f t="shared" si="177"/>
        <v>0.50597760440384199</v>
      </c>
      <c r="O1426" s="25">
        <f t="shared" si="178"/>
        <v>-0.68126287074563585</v>
      </c>
      <c r="P1426" s="25">
        <f t="shared" si="179"/>
        <v>1</v>
      </c>
      <c r="Q1426" s="25">
        <f t="shared" si="183"/>
        <v>486.43305832947993</v>
      </c>
      <c r="R1426" s="25">
        <f t="shared" si="180"/>
        <v>7</v>
      </c>
      <c r="S1426" s="26">
        <f t="shared" si="181"/>
        <v>15</v>
      </c>
    </row>
    <row r="1427" spans="2:19" x14ac:dyDescent="0.3">
      <c r="B1427" s="24">
        <v>450776</v>
      </c>
      <c r="C1427" s="25">
        <v>35</v>
      </c>
      <c r="D1427" s="25">
        <v>4</v>
      </c>
      <c r="E1427" s="25">
        <v>2</v>
      </c>
      <c r="F1427" s="25">
        <v>6</v>
      </c>
      <c r="G1427" s="25">
        <v>56</v>
      </c>
      <c r="H1427" s="25">
        <v>11.1</v>
      </c>
      <c r="I1427" s="25">
        <v>1.39</v>
      </c>
      <c r="J1427" s="25">
        <v>4.83</v>
      </c>
      <c r="K1427" s="26">
        <v>1</v>
      </c>
      <c r="L1427" s="25">
        <f t="shared" si="176"/>
        <v>-0.12091137942077751</v>
      </c>
      <c r="M1427" s="25">
        <f t="shared" si="182"/>
        <v>0.46980892787246809</v>
      </c>
      <c r="N1427" s="25">
        <f t="shared" si="177"/>
        <v>0.46980892787246809</v>
      </c>
      <c r="O1427" s="25">
        <f t="shared" si="178"/>
        <v>-0.7554292033779324</v>
      </c>
      <c r="P1427" s="25">
        <f t="shared" si="179"/>
        <v>1</v>
      </c>
      <c r="Q1427" s="25">
        <f t="shared" si="183"/>
        <v>490.61176485066915</v>
      </c>
      <c r="R1427" s="25">
        <f t="shared" si="180"/>
        <v>7</v>
      </c>
      <c r="S1427" s="26">
        <f t="shared" si="181"/>
        <v>15</v>
      </c>
    </row>
    <row r="1428" spans="2:19" x14ac:dyDescent="0.3">
      <c r="B1428" s="24">
        <v>450846</v>
      </c>
      <c r="C1428" s="25">
        <v>38</v>
      </c>
      <c r="D1428" s="25">
        <v>1</v>
      </c>
      <c r="E1428" s="25">
        <v>14</v>
      </c>
      <c r="F1428" s="25">
        <v>8</v>
      </c>
      <c r="G1428" s="25">
        <v>37</v>
      </c>
      <c r="H1428" s="25">
        <v>4.4000000000000004</v>
      </c>
      <c r="I1428" s="25">
        <v>0.39</v>
      </c>
      <c r="J1428" s="25">
        <v>1.23</v>
      </c>
      <c r="K1428" s="26">
        <v>0</v>
      </c>
      <c r="L1428" s="25">
        <f t="shared" si="176"/>
        <v>-4.0414435959194233</v>
      </c>
      <c r="M1428" s="25">
        <f t="shared" si="182"/>
        <v>1.7268641039222675E-2</v>
      </c>
      <c r="N1428" s="25">
        <f t="shared" si="177"/>
        <v>0.98273135896077735</v>
      </c>
      <c r="O1428" s="25">
        <f t="shared" si="178"/>
        <v>-1.7419483101453286E-2</v>
      </c>
      <c r="P1428" s="25">
        <f t="shared" si="179"/>
        <v>0</v>
      </c>
      <c r="Q1428" s="25">
        <f t="shared" si="183"/>
        <v>603.73440937229941</v>
      </c>
      <c r="R1428" s="25">
        <f t="shared" si="180"/>
        <v>4</v>
      </c>
      <c r="S1428" s="26">
        <f t="shared" si="181"/>
        <v>6</v>
      </c>
    </row>
    <row r="1429" spans="2:19" x14ac:dyDescent="0.3">
      <c r="B1429" s="24">
        <v>450942</v>
      </c>
      <c r="C1429" s="25">
        <v>26</v>
      </c>
      <c r="D1429" s="25">
        <v>2</v>
      </c>
      <c r="E1429" s="25">
        <v>5</v>
      </c>
      <c r="F1429" s="25">
        <v>2</v>
      </c>
      <c r="G1429" s="25">
        <v>22</v>
      </c>
      <c r="H1429" s="25">
        <v>3.3</v>
      </c>
      <c r="I1429" s="25">
        <v>0.1</v>
      </c>
      <c r="J1429" s="25">
        <v>0.63</v>
      </c>
      <c r="K1429" s="26">
        <v>0</v>
      </c>
      <c r="L1429" s="25">
        <f t="shared" si="176"/>
        <v>-1.8693849521980461</v>
      </c>
      <c r="M1429" s="25">
        <f t="shared" si="182"/>
        <v>0.13361290472925111</v>
      </c>
      <c r="N1429" s="25">
        <f t="shared" si="177"/>
        <v>0.86638709527074886</v>
      </c>
      <c r="O1429" s="25">
        <f t="shared" si="178"/>
        <v>-0.14342347806146635</v>
      </c>
      <c r="P1429" s="25">
        <f t="shared" si="179"/>
        <v>0</v>
      </c>
      <c r="Q1429" s="25">
        <f t="shared" si="183"/>
        <v>541.06204647222717</v>
      </c>
      <c r="R1429" s="25">
        <f t="shared" si="180"/>
        <v>6</v>
      </c>
      <c r="S1429" s="26">
        <f t="shared" si="181"/>
        <v>11</v>
      </c>
    </row>
    <row r="1430" spans="2:19" x14ac:dyDescent="0.3">
      <c r="B1430" s="24">
        <v>451028</v>
      </c>
      <c r="C1430" s="25">
        <v>29</v>
      </c>
      <c r="D1430" s="25">
        <v>4</v>
      </c>
      <c r="E1430" s="25">
        <v>4</v>
      </c>
      <c r="F1430" s="25">
        <v>6</v>
      </c>
      <c r="G1430" s="25">
        <v>58</v>
      </c>
      <c r="H1430" s="25">
        <v>18.2</v>
      </c>
      <c r="I1430" s="25">
        <v>1.62</v>
      </c>
      <c r="J1430" s="25">
        <v>8.94</v>
      </c>
      <c r="K1430" s="26">
        <v>1</v>
      </c>
      <c r="L1430" s="25">
        <f t="shared" si="176"/>
        <v>0.47626885300244198</v>
      </c>
      <c r="M1430" s="25">
        <f t="shared" si="182"/>
        <v>0.61686643251325857</v>
      </c>
      <c r="N1430" s="25">
        <f t="shared" si="177"/>
        <v>0.61686643251325857</v>
      </c>
      <c r="O1430" s="25">
        <f t="shared" si="178"/>
        <v>-0.48310275742050957</v>
      </c>
      <c r="P1430" s="25">
        <f t="shared" si="179"/>
        <v>1</v>
      </c>
      <c r="Q1430" s="25">
        <f t="shared" si="183"/>
        <v>473.3807861423528</v>
      </c>
      <c r="R1430" s="25">
        <f t="shared" si="180"/>
        <v>7</v>
      </c>
      <c r="S1430" s="26">
        <f t="shared" si="181"/>
        <v>15</v>
      </c>
    </row>
    <row r="1431" spans="2:19" x14ac:dyDescent="0.3">
      <c r="B1431" s="24">
        <v>451034</v>
      </c>
      <c r="C1431" s="25">
        <v>42</v>
      </c>
      <c r="D1431" s="25">
        <v>4</v>
      </c>
      <c r="E1431" s="25">
        <v>10</v>
      </c>
      <c r="F1431" s="25">
        <v>10</v>
      </c>
      <c r="G1431" s="25">
        <v>76</v>
      </c>
      <c r="H1431" s="25">
        <v>6.1</v>
      </c>
      <c r="I1431" s="25">
        <v>0.32</v>
      </c>
      <c r="J1431" s="25">
        <v>4.32</v>
      </c>
      <c r="K1431" s="26">
        <v>0</v>
      </c>
      <c r="L1431" s="25">
        <f t="shared" si="176"/>
        <v>-3.2257787162816505</v>
      </c>
      <c r="M1431" s="25">
        <f t="shared" si="182"/>
        <v>3.8207065763503308E-2</v>
      </c>
      <c r="N1431" s="25">
        <f t="shared" si="177"/>
        <v>0.9617929342364967</v>
      </c>
      <c r="O1431" s="25">
        <f t="shared" si="178"/>
        <v>-3.8956096561383449E-2</v>
      </c>
      <c r="P1431" s="25">
        <f t="shared" si="179"/>
        <v>0</v>
      </c>
      <c r="Q1431" s="25">
        <f t="shared" si="183"/>
        <v>580.19929650171912</v>
      </c>
      <c r="R1431" s="25">
        <f t="shared" si="180"/>
        <v>5</v>
      </c>
      <c r="S1431" s="26">
        <f t="shared" si="181"/>
        <v>8</v>
      </c>
    </row>
    <row r="1432" spans="2:19" x14ac:dyDescent="0.3">
      <c r="B1432" s="24">
        <v>451036</v>
      </c>
      <c r="C1432" s="25">
        <v>37</v>
      </c>
      <c r="D1432" s="25">
        <v>2</v>
      </c>
      <c r="E1432" s="25">
        <v>3</v>
      </c>
      <c r="F1432" s="25">
        <v>8</v>
      </c>
      <c r="G1432" s="25">
        <v>38</v>
      </c>
      <c r="H1432" s="25">
        <v>12.3</v>
      </c>
      <c r="I1432" s="25">
        <v>1.37</v>
      </c>
      <c r="J1432" s="25">
        <v>3.3</v>
      </c>
      <c r="K1432" s="26">
        <v>0</v>
      </c>
      <c r="L1432" s="25">
        <f t="shared" si="176"/>
        <v>-0.28103991378943793</v>
      </c>
      <c r="M1432" s="25">
        <f t="shared" si="182"/>
        <v>0.43019884580085349</v>
      </c>
      <c r="N1432" s="25">
        <f t="shared" si="177"/>
        <v>0.56980115419914656</v>
      </c>
      <c r="O1432" s="25">
        <f t="shared" si="178"/>
        <v>-0.56246783129885281</v>
      </c>
      <c r="P1432" s="25">
        <f t="shared" si="179"/>
        <v>1</v>
      </c>
      <c r="Q1432" s="25">
        <f t="shared" si="183"/>
        <v>495.23209756848905</v>
      </c>
      <c r="R1432" s="25">
        <f t="shared" si="180"/>
        <v>7</v>
      </c>
      <c r="S1432" s="26">
        <f t="shared" si="181"/>
        <v>14</v>
      </c>
    </row>
    <row r="1433" spans="2:19" x14ac:dyDescent="0.3">
      <c r="B1433" s="24">
        <v>451046</v>
      </c>
      <c r="C1433" s="25">
        <v>62</v>
      </c>
      <c r="D1433" s="25">
        <v>4</v>
      </c>
      <c r="E1433" s="25">
        <v>26</v>
      </c>
      <c r="F1433" s="25">
        <v>12</v>
      </c>
      <c r="G1433" s="25">
        <v>87</v>
      </c>
      <c r="H1433" s="25">
        <v>16.2</v>
      </c>
      <c r="I1433" s="25">
        <v>4.82</v>
      </c>
      <c r="J1433" s="25">
        <v>9.27</v>
      </c>
      <c r="K1433" s="26">
        <v>0</v>
      </c>
      <c r="L1433" s="25">
        <f t="shared" si="176"/>
        <v>-4.0779292320832186</v>
      </c>
      <c r="M1433" s="25">
        <f t="shared" si="182"/>
        <v>1.66602469095125E-2</v>
      </c>
      <c r="N1433" s="25">
        <f t="shared" si="177"/>
        <v>0.98333975309048749</v>
      </c>
      <c r="O1433" s="25">
        <f t="shared" si="178"/>
        <v>-1.6800589771094786E-2</v>
      </c>
      <c r="P1433" s="25">
        <f t="shared" si="179"/>
        <v>0</v>
      </c>
      <c r="Q1433" s="25">
        <f t="shared" si="183"/>
        <v>604.78716226960591</v>
      </c>
      <c r="R1433" s="25">
        <f t="shared" si="180"/>
        <v>4</v>
      </c>
      <c r="S1433" s="26">
        <f t="shared" si="181"/>
        <v>6</v>
      </c>
    </row>
    <row r="1434" spans="2:19" x14ac:dyDescent="0.3">
      <c r="B1434" s="24">
        <v>451050</v>
      </c>
      <c r="C1434" s="25">
        <v>23</v>
      </c>
      <c r="D1434" s="25">
        <v>1</v>
      </c>
      <c r="E1434" s="25">
        <v>1</v>
      </c>
      <c r="F1434" s="25">
        <v>2</v>
      </c>
      <c r="G1434" s="25">
        <v>19</v>
      </c>
      <c r="H1434" s="25">
        <v>7.2</v>
      </c>
      <c r="I1434" s="25">
        <v>0.71</v>
      </c>
      <c r="J1434" s="25">
        <v>0.66</v>
      </c>
      <c r="K1434" s="26">
        <v>0</v>
      </c>
      <c r="L1434" s="25">
        <f t="shared" si="176"/>
        <v>-0.16859496922097239</v>
      </c>
      <c r="M1434" s="25">
        <f t="shared" si="182"/>
        <v>0.45795081197558823</v>
      </c>
      <c r="N1434" s="25">
        <f t="shared" si="177"/>
        <v>0.54204918802441182</v>
      </c>
      <c r="O1434" s="25">
        <f t="shared" si="178"/>
        <v>-0.61239852884771029</v>
      </c>
      <c r="P1434" s="25">
        <f t="shared" si="179"/>
        <v>1</v>
      </c>
      <c r="Q1434" s="25">
        <f t="shared" si="183"/>
        <v>491.98762238240499</v>
      </c>
      <c r="R1434" s="25">
        <f t="shared" si="180"/>
        <v>7</v>
      </c>
      <c r="S1434" s="26">
        <f t="shared" si="181"/>
        <v>14</v>
      </c>
    </row>
    <row r="1435" spans="2:19" x14ac:dyDescent="0.3">
      <c r="B1435" s="24">
        <v>451067</v>
      </c>
      <c r="C1435" s="25">
        <v>64</v>
      </c>
      <c r="D1435" s="25">
        <v>2</v>
      </c>
      <c r="E1435" s="25">
        <v>44</v>
      </c>
      <c r="F1435" s="25">
        <v>18</v>
      </c>
      <c r="G1435" s="25">
        <v>397</v>
      </c>
      <c r="H1435" s="25">
        <v>19.2</v>
      </c>
      <c r="I1435" s="25">
        <v>35.520000000000003</v>
      </c>
      <c r="J1435" s="25">
        <v>40.700000000000003</v>
      </c>
      <c r="K1435" s="26">
        <v>1</v>
      </c>
      <c r="L1435" s="25">
        <f t="shared" si="176"/>
        <v>7.4189992093862784</v>
      </c>
      <c r="M1435" s="25">
        <f t="shared" si="182"/>
        <v>0.99940061041484141</v>
      </c>
      <c r="N1435" s="25">
        <f t="shared" si="177"/>
        <v>0.99940061041484141</v>
      </c>
      <c r="O1435" s="25">
        <f t="shared" si="178"/>
        <v>-5.9956929090875021E-4</v>
      </c>
      <c r="P1435" s="25">
        <f t="shared" si="179"/>
        <v>1</v>
      </c>
      <c r="Q1435" s="25">
        <f t="shared" si="183"/>
        <v>273.05593871229121</v>
      </c>
      <c r="R1435" s="25">
        <f t="shared" si="180"/>
        <v>8</v>
      </c>
      <c r="S1435" s="26">
        <f t="shared" si="181"/>
        <v>17</v>
      </c>
    </row>
    <row r="1436" spans="2:19" x14ac:dyDescent="0.3">
      <c r="B1436" s="24">
        <v>451118</v>
      </c>
      <c r="C1436" s="25">
        <v>45</v>
      </c>
      <c r="D1436" s="25">
        <v>4</v>
      </c>
      <c r="E1436" s="25">
        <v>16</v>
      </c>
      <c r="F1436" s="25">
        <v>5</v>
      </c>
      <c r="G1436" s="25">
        <v>219</v>
      </c>
      <c r="H1436" s="25">
        <v>1</v>
      </c>
      <c r="I1436" s="25">
        <v>0.96</v>
      </c>
      <c r="J1436" s="25">
        <v>1.23</v>
      </c>
      <c r="K1436" s="26">
        <v>0</v>
      </c>
      <c r="L1436" s="25">
        <f t="shared" si="176"/>
        <v>-4.7361504917201263</v>
      </c>
      <c r="M1436" s="25">
        <f t="shared" si="182"/>
        <v>8.6960655719993396E-3</v>
      </c>
      <c r="N1436" s="25">
        <f t="shared" si="177"/>
        <v>0.99130393442800069</v>
      </c>
      <c r="O1436" s="25">
        <f t="shared" si="178"/>
        <v>-8.7340969932268309E-3</v>
      </c>
      <c r="P1436" s="25">
        <f t="shared" si="179"/>
        <v>0</v>
      </c>
      <c r="Q1436" s="25">
        <f t="shared" si="183"/>
        <v>623.77941267304334</v>
      </c>
      <c r="R1436" s="25">
        <f t="shared" si="180"/>
        <v>3</v>
      </c>
      <c r="S1436" s="26">
        <f t="shared" si="181"/>
        <v>5</v>
      </c>
    </row>
    <row r="1437" spans="2:19" x14ac:dyDescent="0.3">
      <c r="B1437" s="24">
        <v>451123</v>
      </c>
      <c r="C1437" s="25">
        <v>23</v>
      </c>
      <c r="D1437" s="25">
        <v>3</v>
      </c>
      <c r="E1437" s="25">
        <v>1</v>
      </c>
      <c r="F1437" s="25">
        <v>2</v>
      </c>
      <c r="G1437" s="25">
        <v>22</v>
      </c>
      <c r="H1437" s="25">
        <v>14.2</v>
      </c>
      <c r="I1437" s="25">
        <v>1.56</v>
      </c>
      <c r="J1437" s="25">
        <v>1.56</v>
      </c>
      <c r="K1437" s="26">
        <v>1</v>
      </c>
      <c r="L1437" s="25">
        <f t="shared" si="176"/>
        <v>0.84789354689352647</v>
      </c>
      <c r="M1437" s="25">
        <f t="shared" si="182"/>
        <v>0.70012507926102363</v>
      </c>
      <c r="N1437" s="25">
        <f t="shared" si="177"/>
        <v>0.70012507926102363</v>
      </c>
      <c r="O1437" s="25">
        <f t="shared" si="178"/>
        <v>-0.35649627524232935</v>
      </c>
      <c r="P1437" s="25">
        <f t="shared" si="179"/>
        <v>1</v>
      </c>
      <c r="Q1437" s="25">
        <f t="shared" si="183"/>
        <v>462.65796438728887</v>
      </c>
      <c r="R1437" s="25">
        <f t="shared" si="180"/>
        <v>8</v>
      </c>
      <c r="S1437" s="26">
        <f t="shared" si="181"/>
        <v>16</v>
      </c>
    </row>
    <row r="1438" spans="2:19" x14ac:dyDescent="0.3">
      <c r="B1438" s="24">
        <v>451156</v>
      </c>
      <c r="C1438" s="25">
        <v>19</v>
      </c>
      <c r="D1438" s="25">
        <v>2</v>
      </c>
      <c r="E1438" s="25">
        <v>0</v>
      </c>
      <c r="F1438" s="25">
        <v>0</v>
      </c>
      <c r="G1438" s="25">
        <v>20</v>
      </c>
      <c r="H1438" s="25">
        <v>8.1</v>
      </c>
      <c r="I1438" s="25">
        <v>0.36</v>
      </c>
      <c r="J1438" s="25">
        <v>1.26</v>
      </c>
      <c r="K1438" s="26">
        <v>0</v>
      </c>
      <c r="L1438" s="25">
        <f t="shared" si="176"/>
        <v>9.4943921309546431E-2</v>
      </c>
      <c r="M1438" s="25">
        <f t="shared" si="182"/>
        <v>0.52371816601970256</v>
      </c>
      <c r="N1438" s="25">
        <f t="shared" si="177"/>
        <v>0.47628183398029744</v>
      </c>
      <c r="O1438" s="25">
        <f t="shared" si="178"/>
        <v>-0.74174551177187109</v>
      </c>
      <c r="P1438" s="25">
        <f t="shared" si="179"/>
        <v>1</v>
      </c>
      <c r="Q1438" s="25">
        <f t="shared" si="183"/>
        <v>484.38349758892645</v>
      </c>
      <c r="R1438" s="25">
        <f t="shared" si="180"/>
        <v>7</v>
      </c>
      <c r="S1438" s="26">
        <f t="shared" si="181"/>
        <v>15</v>
      </c>
    </row>
    <row r="1439" spans="2:19" x14ac:dyDescent="0.3">
      <c r="B1439" s="24">
        <v>451171</v>
      </c>
      <c r="C1439" s="25">
        <v>34</v>
      </c>
      <c r="D1439" s="25">
        <v>5</v>
      </c>
      <c r="E1439" s="25">
        <v>8</v>
      </c>
      <c r="F1439" s="25">
        <v>7</v>
      </c>
      <c r="G1439" s="25">
        <v>526</v>
      </c>
      <c r="H1439" s="25">
        <v>2.6</v>
      </c>
      <c r="I1439" s="25">
        <v>5.47</v>
      </c>
      <c r="J1439" s="25">
        <v>8.2100000000000009</v>
      </c>
      <c r="K1439" s="26">
        <v>0</v>
      </c>
      <c r="L1439" s="25">
        <f t="shared" si="176"/>
        <v>-0.2679627662307606</v>
      </c>
      <c r="M1439" s="25">
        <f t="shared" si="182"/>
        <v>0.43340730115195497</v>
      </c>
      <c r="N1439" s="25">
        <f t="shared" si="177"/>
        <v>0.56659269884804497</v>
      </c>
      <c r="O1439" s="25">
        <f t="shared" si="178"/>
        <v>-0.56811457757053629</v>
      </c>
      <c r="P1439" s="25">
        <f t="shared" si="179"/>
        <v>1</v>
      </c>
      <c r="Q1439" s="25">
        <f t="shared" si="183"/>
        <v>494.85477086054573</v>
      </c>
      <c r="R1439" s="25">
        <f t="shared" si="180"/>
        <v>7</v>
      </c>
      <c r="S1439" s="26">
        <f t="shared" si="181"/>
        <v>14</v>
      </c>
    </row>
    <row r="1440" spans="2:19" x14ac:dyDescent="0.3">
      <c r="B1440" s="24">
        <v>451181</v>
      </c>
      <c r="C1440" s="25">
        <v>20</v>
      </c>
      <c r="D1440" s="25">
        <v>3</v>
      </c>
      <c r="E1440" s="25">
        <v>0</v>
      </c>
      <c r="F1440" s="25">
        <v>0</v>
      </c>
      <c r="G1440" s="25">
        <v>58</v>
      </c>
      <c r="H1440" s="25">
        <v>2.8</v>
      </c>
      <c r="I1440" s="25">
        <v>0.46</v>
      </c>
      <c r="J1440" s="25">
        <v>1.17</v>
      </c>
      <c r="K1440" s="26">
        <v>0</v>
      </c>
      <c r="L1440" s="25">
        <f t="shared" si="176"/>
        <v>-0.45457937008033572</v>
      </c>
      <c r="M1440" s="25">
        <f t="shared" si="182"/>
        <v>0.3882725330471275</v>
      </c>
      <c r="N1440" s="25">
        <f t="shared" si="177"/>
        <v>0.6117274669528725</v>
      </c>
      <c r="O1440" s="25">
        <f t="shared" si="178"/>
        <v>-0.49146841108865885</v>
      </c>
      <c r="P1440" s="25">
        <f t="shared" si="179"/>
        <v>0</v>
      </c>
      <c r="Q1440" s="25">
        <f t="shared" si="183"/>
        <v>500.239387686361</v>
      </c>
      <c r="R1440" s="25">
        <f t="shared" si="180"/>
        <v>7</v>
      </c>
      <c r="S1440" s="26">
        <f t="shared" si="181"/>
        <v>14</v>
      </c>
    </row>
    <row r="1441" spans="2:19" x14ac:dyDescent="0.3">
      <c r="B1441" s="24">
        <v>451185</v>
      </c>
      <c r="C1441" s="25">
        <v>18</v>
      </c>
      <c r="D1441" s="25">
        <v>2</v>
      </c>
      <c r="E1441" s="25">
        <v>0</v>
      </c>
      <c r="F1441" s="25">
        <v>0</v>
      </c>
      <c r="G1441" s="25">
        <v>29</v>
      </c>
      <c r="H1441" s="25">
        <v>7.5</v>
      </c>
      <c r="I1441" s="25">
        <v>0.86</v>
      </c>
      <c r="J1441" s="25">
        <v>1.32</v>
      </c>
      <c r="K1441" s="26">
        <v>1</v>
      </c>
      <c r="L1441" s="25">
        <f t="shared" si="176"/>
        <v>0.29713032088936459</v>
      </c>
      <c r="M1441" s="25">
        <f t="shared" si="182"/>
        <v>0.57374085048843571</v>
      </c>
      <c r="N1441" s="25">
        <f t="shared" si="177"/>
        <v>0.57374085048843571</v>
      </c>
      <c r="O1441" s="25">
        <f t="shared" si="178"/>
        <v>-0.55557746459564894</v>
      </c>
      <c r="P1441" s="25">
        <f t="shared" si="179"/>
        <v>1</v>
      </c>
      <c r="Q1441" s="25">
        <f t="shared" si="183"/>
        <v>478.54963143409037</v>
      </c>
      <c r="R1441" s="25">
        <f t="shared" si="180"/>
        <v>7</v>
      </c>
      <c r="S1441" s="26">
        <f t="shared" si="181"/>
        <v>15</v>
      </c>
    </row>
    <row r="1442" spans="2:19" x14ac:dyDescent="0.3">
      <c r="B1442" s="24">
        <v>451218</v>
      </c>
      <c r="C1442" s="25">
        <v>37</v>
      </c>
      <c r="D1442" s="25">
        <v>2</v>
      </c>
      <c r="E1442" s="25">
        <v>2</v>
      </c>
      <c r="F1442" s="25">
        <v>7</v>
      </c>
      <c r="G1442" s="25">
        <v>38</v>
      </c>
      <c r="H1442" s="25">
        <v>2.1</v>
      </c>
      <c r="I1442" s="25">
        <v>7.0000000000000007E-2</v>
      </c>
      <c r="J1442" s="25">
        <v>0.73</v>
      </c>
      <c r="K1442" s="26">
        <v>0</v>
      </c>
      <c r="L1442" s="25">
        <f t="shared" si="176"/>
        <v>-1.7188509173824473</v>
      </c>
      <c r="M1442" s="25">
        <f t="shared" si="182"/>
        <v>0.15201923196760611</v>
      </c>
      <c r="N1442" s="25">
        <f t="shared" si="177"/>
        <v>0.84798076803239386</v>
      </c>
      <c r="O1442" s="25">
        <f t="shared" si="178"/>
        <v>-0.16489732265449381</v>
      </c>
      <c r="P1442" s="25">
        <f t="shared" si="179"/>
        <v>0</v>
      </c>
      <c r="Q1442" s="25">
        <f t="shared" si="183"/>
        <v>536.71855248506142</v>
      </c>
      <c r="R1442" s="25">
        <f t="shared" si="180"/>
        <v>6</v>
      </c>
      <c r="S1442" s="26">
        <f t="shared" si="181"/>
        <v>12</v>
      </c>
    </row>
    <row r="1443" spans="2:19" x14ac:dyDescent="0.3">
      <c r="B1443" s="24">
        <v>451226</v>
      </c>
      <c r="C1443" s="25">
        <v>43</v>
      </c>
      <c r="D1443" s="25">
        <v>3</v>
      </c>
      <c r="E1443" s="25">
        <v>21</v>
      </c>
      <c r="F1443" s="25">
        <v>14</v>
      </c>
      <c r="G1443" s="25">
        <v>101</v>
      </c>
      <c r="H1443" s="25">
        <v>9.6999999999999993</v>
      </c>
      <c r="I1443" s="25">
        <v>4.76</v>
      </c>
      <c r="J1443" s="25">
        <v>5.04</v>
      </c>
      <c r="K1443" s="26">
        <v>1</v>
      </c>
      <c r="L1443" s="25">
        <f t="shared" si="176"/>
        <v>-3.3273096834146187</v>
      </c>
      <c r="M1443" s="25">
        <f t="shared" si="182"/>
        <v>3.4646097366343963E-2</v>
      </c>
      <c r="N1443" s="25">
        <f t="shared" si="177"/>
        <v>3.4646097366343963E-2</v>
      </c>
      <c r="O1443" s="25">
        <f t="shared" si="178"/>
        <v>-3.3625701898094165</v>
      </c>
      <c r="P1443" s="25">
        <f t="shared" si="179"/>
        <v>0</v>
      </c>
      <c r="Q1443" s="25">
        <f t="shared" si="183"/>
        <v>583.12886087427705</v>
      </c>
      <c r="R1443" s="25">
        <f t="shared" si="180"/>
        <v>5</v>
      </c>
      <c r="S1443" s="26">
        <f t="shared" si="181"/>
        <v>8</v>
      </c>
    </row>
    <row r="1444" spans="2:19" x14ac:dyDescent="0.3">
      <c r="B1444" s="24">
        <v>451251</v>
      </c>
      <c r="C1444" s="25">
        <v>42</v>
      </c>
      <c r="D1444" s="25">
        <v>1</v>
      </c>
      <c r="E1444" s="25">
        <v>8</v>
      </c>
      <c r="F1444" s="25">
        <v>12</v>
      </c>
      <c r="G1444" s="25">
        <v>43</v>
      </c>
      <c r="H1444" s="25">
        <v>1.3</v>
      </c>
      <c r="I1444" s="25">
        <v>0.15</v>
      </c>
      <c r="J1444" s="25">
        <v>0.41</v>
      </c>
      <c r="K1444" s="26">
        <v>0</v>
      </c>
      <c r="L1444" s="25">
        <f t="shared" si="176"/>
        <v>-3.3425173237262449</v>
      </c>
      <c r="M1444" s="25">
        <f t="shared" si="182"/>
        <v>3.4141050419686431E-2</v>
      </c>
      <c r="N1444" s="25">
        <f t="shared" si="177"/>
        <v>0.9658589495803136</v>
      </c>
      <c r="O1444" s="25">
        <f t="shared" si="178"/>
        <v>-3.4737470358047945E-2</v>
      </c>
      <c r="P1444" s="25">
        <f t="shared" si="179"/>
        <v>0</v>
      </c>
      <c r="Q1444" s="25">
        <f t="shared" si="183"/>
        <v>583.56766060706468</v>
      </c>
      <c r="R1444" s="25">
        <f t="shared" si="180"/>
        <v>5</v>
      </c>
      <c r="S1444" s="26">
        <f t="shared" si="181"/>
        <v>8</v>
      </c>
    </row>
    <row r="1445" spans="2:19" x14ac:dyDescent="0.3">
      <c r="B1445" s="24">
        <v>451377</v>
      </c>
      <c r="C1445" s="25">
        <v>23</v>
      </c>
      <c r="D1445" s="25">
        <v>2</v>
      </c>
      <c r="E1445" s="25">
        <v>2</v>
      </c>
      <c r="F1445" s="25">
        <v>1</v>
      </c>
      <c r="G1445" s="25">
        <v>24</v>
      </c>
      <c r="H1445" s="25">
        <v>1.6</v>
      </c>
      <c r="I1445" s="25">
        <v>0.05</v>
      </c>
      <c r="J1445" s="25">
        <v>0.34</v>
      </c>
      <c r="K1445" s="26">
        <v>0</v>
      </c>
      <c r="L1445" s="25">
        <f t="shared" si="176"/>
        <v>-1.2931772449567049</v>
      </c>
      <c r="M1445" s="25">
        <f t="shared" si="182"/>
        <v>0.21531551467581223</v>
      </c>
      <c r="N1445" s="25">
        <f t="shared" si="177"/>
        <v>0.78468448532418777</v>
      </c>
      <c r="O1445" s="25">
        <f t="shared" si="178"/>
        <v>-0.24247357151837723</v>
      </c>
      <c r="P1445" s="25">
        <f t="shared" si="179"/>
        <v>0</v>
      </c>
      <c r="Q1445" s="25">
        <f t="shared" si="183"/>
        <v>524.43620690825628</v>
      </c>
      <c r="R1445" s="25">
        <f t="shared" si="180"/>
        <v>6</v>
      </c>
      <c r="S1445" s="26">
        <f t="shared" si="181"/>
        <v>13</v>
      </c>
    </row>
    <row r="1446" spans="2:19" x14ac:dyDescent="0.3">
      <c r="B1446" s="24">
        <v>451400</v>
      </c>
      <c r="C1446" s="25">
        <v>19</v>
      </c>
      <c r="D1446" s="25">
        <v>2</v>
      </c>
      <c r="E1446" s="25">
        <v>0</v>
      </c>
      <c r="F1446" s="25">
        <v>0</v>
      </c>
      <c r="G1446" s="25">
        <v>22</v>
      </c>
      <c r="H1446" s="25">
        <v>6.8</v>
      </c>
      <c r="I1446" s="25">
        <v>0.41</v>
      </c>
      <c r="J1446" s="25">
        <v>1.08</v>
      </c>
      <c r="K1446" s="26">
        <v>1</v>
      </c>
      <c r="L1446" s="25">
        <f t="shared" si="176"/>
        <v>-1.4964722841175671E-2</v>
      </c>
      <c r="M1446" s="25">
        <f t="shared" si="182"/>
        <v>0.49625888910572336</v>
      </c>
      <c r="N1446" s="25">
        <f t="shared" si="177"/>
        <v>0.49625888910572336</v>
      </c>
      <c r="O1446" s="25">
        <f t="shared" si="178"/>
        <v>-0.70065753458555102</v>
      </c>
      <c r="P1446" s="25">
        <f t="shared" si="179"/>
        <v>1</v>
      </c>
      <c r="Q1446" s="25">
        <f t="shared" si="183"/>
        <v>487.55479061638698</v>
      </c>
      <c r="R1446" s="25">
        <f t="shared" si="180"/>
        <v>7</v>
      </c>
      <c r="S1446" s="26">
        <f t="shared" si="181"/>
        <v>15</v>
      </c>
    </row>
    <row r="1447" spans="2:19" x14ac:dyDescent="0.3">
      <c r="B1447" s="24">
        <v>451408</v>
      </c>
      <c r="C1447" s="25">
        <v>26</v>
      </c>
      <c r="D1447" s="25">
        <v>1</v>
      </c>
      <c r="E1447" s="25">
        <v>1</v>
      </c>
      <c r="F1447" s="25">
        <v>3</v>
      </c>
      <c r="G1447" s="25">
        <v>15</v>
      </c>
      <c r="H1447" s="25">
        <v>6.7</v>
      </c>
      <c r="I1447" s="25">
        <v>0.2</v>
      </c>
      <c r="J1447" s="25">
        <v>0.8</v>
      </c>
      <c r="K1447" s="26">
        <v>0</v>
      </c>
      <c r="L1447" s="25">
        <f t="shared" si="176"/>
        <v>-0.5547484016333204</v>
      </c>
      <c r="M1447" s="25">
        <f t="shared" si="182"/>
        <v>0.36476344682127404</v>
      </c>
      <c r="N1447" s="25">
        <f t="shared" si="177"/>
        <v>0.63523655317872596</v>
      </c>
      <c r="O1447" s="25">
        <f t="shared" si="178"/>
        <v>-0.45375782476863352</v>
      </c>
      <c r="P1447" s="25">
        <f t="shared" si="179"/>
        <v>0</v>
      </c>
      <c r="Q1447" s="25">
        <f t="shared" si="183"/>
        <v>503.12965490588766</v>
      </c>
      <c r="R1447" s="25">
        <f t="shared" si="180"/>
        <v>7</v>
      </c>
      <c r="S1447" s="26">
        <f t="shared" si="181"/>
        <v>14</v>
      </c>
    </row>
    <row r="1448" spans="2:19" x14ac:dyDescent="0.3">
      <c r="B1448" s="24">
        <v>451409</v>
      </c>
      <c r="C1448" s="25">
        <v>40</v>
      </c>
      <c r="D1448" s="25">
        <v>3</v>
      </c>
      <c r="E1448" s="25">
        <v>4</v>
      </c>
      <c r="F1448" s="25">
        <v>14</v>
      </c>
      <c r="G1448" s="25">
        <v>54</v>
      </c>
      <c r="H1448" s="25">
        <v>4.5999999999999996</v>
      </c>
      <c r="I1448" s="25">
        <v>1.19</v>
      </c>
      <c r="J1448" s="25">
        <v>1.29</v>
      </c>
      <c r="K1448" s="26">
        <v>0</v>
      </c>
      <c r="L1448" s="25">
        <f t="shared" si="176"/>
        <v>-1.7203500280732036</v>
      </c>
      <c r="M1448" s="25">
        <f t="shared" si="182"/>
        <v>0.15182608332471434</v>
      </c>
      <c r="N1448" s="25">
        <f t="shared" si="177"/>
        <v>0.84817391667528563</v>
      </c>
      <c r="O1448" s="25">
        <f t="shared" si="178"/>
        <v>-0.16466957379942998</v>
      </c>
      <c r="P1448" s="25">
        <f t="shared" si="179"/>
        <v>0</v>
      </c>
      <c r="Q1448" s="25">
        <f t="shared" si="183"/>
        <v>536.76180767502137</v>
      </c>
      <c r="R1448" s="25">
        <f t="shared" si="180"/>
        <v>6</v>
      </c>
      <c r="S1448" s="26">
        <f t="shared" si="181"/>
        <v>12</v>
      </c>
    </row>
    <row r="1449" spans="2:19" x14ac:dyDescent="0.3">
      <c r="B1449" s="24">
        <v>451468</v>
      </c>
      <c r="C1449" s="25">
        <v>43</v>
      </c>
      <c r="D1449" s="25">
        <v>2</v>
      </c>
      <c r="E1449" s="25">
        <v>10</v>
      </c>
      <c r="F1449" s="25">
        <v>9</v>
      </c>
      <c r="G1449" s="25">
        <v>92</v>
      </c>
      <c r="H1449" s="25">
        <v>14.7</v>
      </c>
      <c r="I1449" s="25">
        <v>3.85</v>
      </c>
      <c r="J1449" s="25">
        <v>9.67</v>
      </c>
      <c r="K1449" s="26">
        <v>1</v>
      </c>
      <c r="L1449" s="25">
        <f t="shared" si="176"/>
        <v>-0.44087290375307853</v>
      </c>
      <c r="M1449" s="25">
        <f t="shared" si="182"/>
        <v>0.39153299342954745</v>
      </c>
      <c r="N1449" s="25">
        <f t="shared" si="177"/>
        <v>0.39153299342954745</v>
      </c>
      <c r="O1449" s="25">
        <f t="shared" si="178"/>
        <v>-0.93768549269719315</v>
      </c>
      <c r="P1449" s="25">
        <f t="shared" si="179"/>
        <v>0</v>
      </c>
      <c r="Q1449" s="25">
        <f t="shared" si="183"/>
        <v>499.84390267760097</v>
      </c>
      <c r="R1449" s="25">
        <f t="shared" si="180"/>
        <v>7</v>
      </c>
      <c r="S1449" s="26">
        <f t="shared" si="181"/>
        <v>14</v>
      </c>
    </row>
    <row r="1450" spans="2:19" x14ac:dyDescent="0.3">
      <c r="B1450" s="24">
        <v>451517</v>
      </c>
      <c r="C1450" s="25">
        <v>28</v>
      </c>
      <c r="D1450" s="25">
        <v>4</v>
      </c>
      <c r="E1450" s="25">
        <v>3</v>
      </c>
      <c r="F1450" s="25">
        <v>5</v>
      </c>
      <c r="G1450" s="25">
        <v>35</v>
      </c>
      <c r="H1450" s="25">
        <v>5.2</v>
      </c>
      <c r="I1450" s="25">
        <v>0.78</v>
      </c>
      <c r="J1450" s="25">
        <v>1.04</v>
      </c>
      <c r="K1450" s="26">
        <v>0</v>
      </c>
      <c r="L1450" s="25">
        <f t="shared" si="176"/>
        <v>-1.1400708523141583</v>
      </c>
      <c r="M1450" s="25">
        <f t="shared" si="182"/>
        <v>0.24230735266363596</v>
      </c>
      <c r="N1450" s="25">
        <f t="shared" si="177"/>
        <v>0.7576926473363641</v>
      </c>
      <c r="O1450" s="25">
        <f t="shared" si="178"/>
        <v>-0.27747745401644847</v>
      </c>
      <c r="P1450" s="25">
        <f t="shared" si="179"/>
        <v>0</v>
      </c>
      <c r="Q1450" s="25">
        <f t="shared" si="183"/>
        <v>520.01849036558747</v>
      </c>
      <c r="R1450" s="25">
        <f t="shared" si="180"/>
        <v>6</v>
      </c>
      <c r="S1450" s="26">
        <f t="shared" si="181"/>
        <v>13</v>
      </c>
    </row>
    <row r="1451" spans="2:19" x14ac:dyDescent="0.3">
      <c r="B1451" s="24">
        <v>451518</v>
      </c>
      <c r="C1451" s="25">
        <v>24</v>
      </c>
      <c r="D1451" s="25">
        <v>2</v>
      </c>
      <c r="E1451" s="25">
        <v>0</v>
      </c>
      <c r="F1451" s="25">
        <v>2</v>
      </c>
      <c r="G1451" s="25">
        <v>36</v>
      </c>
      <c r="H1451" s="25">
        <v>8.5</v>
      </c>
      <c r="I1451" s="25">
        <v>1.47</v>
      </c>
      <c r="J1451" s="25">
        <v>1.59</v>
      </c>
      <c r="K1451" s="26">
        <v>1</v>
      </c>
      <c r="L1451" s="25">
        <f t="shared" si="176"/>
        <v>0.49931256697984266</v>
      </c>
      <c r="M1451" s="25">
        <f t="shared" si="182"/>
        <v>0.62229776829580652</v>
      </c>
      <c r="N1451" s="25">
        <f t="shared" si="177"/>
        <v>0.62229776829580652</v>
      </c>
      <c r="O1451" s="25">
        <f t="shared" si="178"/>
        <v>-0.47433657363257176</v>
      </c>
      <c r="P1451" s="25">
        <f t="shared" si="179"/>
        <v>1</v>
      </c>
      <c r="Q1451" s="25">
        <f t="shared" si="183"/>
        <v>472.7158851236203</v>
      </c>
      <c r="R1451" s="25">
        <f t="shared" si="180"/>
        <v>7</v>
      </c>
      <c r="S1451" s="26">
        <f t="shared" si="181"/>
        <v>15</v>
      </c>
    </row>
    <row r="1452" spans="2:19" x14ac:dyDescent="0.3">
      <c r="B1452" s="24">
        <v>451525</v>
      </c>
      <c r="C1452" s="25">
        <v>22</v>
      </c>
      <c r="D1452" s="25">
        <v>2</v>
      </c>
      <c r="E1452" s="25">
        <v>1</v>
      </c>
      <c r="F1452" s="25">
        <v>1</v>
      </c>
      <c r="G1452" s="25">
        <v>14</v>
      </c>
      <c r="H1452" s="25">
        <v>11.7</v>
      </c>
      <c r="I1452" s="25">
        <v>0.37</v>
      </c>
      <c r="J1452" s="25">
        <v>1.27</v>
      </c>
      <c r="K1452" s="26">
        <v>1</v>
      </c>
      <c r="L1452" s="25">
        <f t="shared" si="176"/>
        <v>0.13363437188988153</v>
      </c>
      <c r="M1452" s="25">
        <f t="shared" si="182"/>
        <v>0.5333589636402648</v>
      </c>
      <c r="N1452" s="25">
        <f t="shared" si="177"/>
        <v>0.5333589636402648</v>
      </c>
      <c r="O1452" s="25">
        <f t="shared" si="178"/>
        <v>-0.62856060375156986</v>
      </c>
      <c r="P1452" s="25">
        <f t="shared" si="179"/>
        <v>1</v>
      </c>
      <c r="Q1452" s="25">
        <f t="shared" si="183"/>
        <v>483.26712719692654</v>
      </c>
      <c r="R1452" s="25">
        <f t="shared" si="180"/>
        <v>7</v>
      </c>
      <c r="S1452" s="26">
        <f t="shared" si="181"/>
        <v>15</v>
      </c>
    </row>
    <row r="1453" spans="2:19" x14ac:dyDescent="0.3">
      <c r="B1453" s="24">
        <v>451559</v>
      </c>
      <c r="C1453" s="25">
        <v>27</v>
      </c>
      <c r="D1453" s="25">
        <v>2</v>
      </c>
      <c r="E1453" s="25">
        <v>1</v>
      </c>
      <c r="F1453" s="25">
        <v>4</v>
      </c>
      <c r="G1453" s="25">
        <v>25</v>
      </c>
      <c r="H1453" s="25">
        <v>0.6</v>
      </c>
      <c r="I1453" s="25">
        <v>0.03</v>
      </c>
      <c r="J1453" s="25">
        <v>0.12</v>
      </c>
      <c r="K1453" s="26">
        <v>0</v>
      </c>
      <c r="L1453" s="25">
        <f t="shared" si="176"/>
        <v>-1.3654748659805998</v>
      </c>
      <c r="M1453" s="25">
        <f t="shared" si="182"/>
        <v>0.20335193381908964</v>
      </c>
      <c r="N1453" s="25">
        <f t="shared" si="177"/>
        <v>0.79664806618091033</v>
      </c>
      <c r="O1453" s="25">
        <f t="shared" si="178"/>
        <v>-0.22734227088732734</v>
      </c>
      <c r="P1453" s="25">
        <f t="shared" si="179"/>
        <v>0</v>
      </c>
      <c r="Q1453" s="25">
        <f t="shared" si="183"/>
        <v>526.52227523551755</v>
      </c>
      <c r="R1453" s="25">
        <f t="shared" si="180"/>
        <v>6</v>
      </c>
      <c r="S1453" s="26">
        <f t="shared" si="181"/>
        <v>12</v>
      </c>
    </row>
    <row r="1454" spans="2:19" x14ac:dyDescent="0.3">
      <c r="B1454" s="24">
        <v>451783</v>
      </c>
      <c r="C1454" s="25">
        <v>33</v>
      </c>
      <c r="D1454" s="25">
        <v>3</v>
      </c>
      <c r="E1454" s="25">
        <v>11</v>
      </c>
      <c r="F1454" s="25">
        <v>4</v>
      </c>
      <c r="G1454" s="25">
        <v>61</v>
      </c>
      <c r="H1454" s="25">
        <v>14.9</v>
      </c>
      <c r="I1454" s="25">
        <v>4.24</v>
      </c>
      <c r="J1454" s="25">
        <v>4.84</v>
      </c>
      <c r="K1454" s="26">
        <v>1</v>
      </c>
      <c r="L1454" s="25">
        <f t="shared" si="176"/>
        <v>-0.26526566930368067</v>
      </c>
      <c r="M1454" s="25">
        <f t="shared" si="182"/>
        <v>0.43406973344718869</v>
      </c>
      <c r="N1454" s="25">
        <f t="shared" si="177"/>
        <v>0.43406973344718869</v>
      </c>
      <c r="O1454" s="25">
        <f t="shared" si="178"/>
        <v>-0.83455008164316546</v>
      </c>
      <c r="P1454" s="25">
        <f t="shared" si="179"/>
        <v>1</v>
      </c>
      <c r="Q1454" s="25">
        <f t="shared" si="183"/>
        <v>494.77694909552145</v>
      </c>
      <c r="R1454" s="25">
        <f t="shared" si="180"/>
        <v>7</v>
      </c>
      <c r="S1454" s="26">
        <f t="shared" si="181"/>
        <v>14</v>
      </c>
    </row>
    <row r="1455" spans="2:19" x14ac:dyDescent="0.3">
      <c r="B1455" s="24">
        <v>451824</v>
      </c>
      <c r="C1455" s="25">
        <v>64</v>
      </c>
      <c r="D1455" s="25">
        <v>1</v>
      </c>
      <c r="E1455" s="25">
        <v>40</v>
      </c>
      <c r="F1455" s="25">
        <v>18</v>
      </c>
      <c r="G1455" s="25">
        <v>198</v>
      </c>
      <c r="H1455" s="25">
        <v>6.9</v>
      </c>
      <c r="I1455" s="25">
        <v>8.1</v>
      </c>
      <c r="J1455" s="25">
        <v>5.56</v>
      </c>
      <c r="K1455" s="26">
        <v>0</v>
      </c>
      <c r="L1455" s="25">
        <f t="shared" si="176"/>
        <v>-6.7651718987494229</v>
      </c>
      <c r="M1455" s="25">
        <f t="shared" si="182"/>
        <v>1.1519207833758701E-3</v>
      </c>
      <c r="N1455" s="25">
        <f t="shared" si="177"/>
        <v>0.99884807921662411</v>
      </c>
      <c r="O1455" s="25">
        <f t="shared" si="178"/>
        <v>-1.1525847540648801E-3</v>
      </c>
      <c r="P1455" s="25">
        <f t="shared" si="179"/>
        <v>0</v>
      </c>
      <c r="Q1455" s="25">
        <f t="shared" si="183"/>
        <v>682.3245934493259</v>
      </c>
      <c r="R1455" s="25">
        <f t="shared" si="180"/>
        <v>1</v>
      </c>
      <c r="S1455" s="26">
        <f t="shared" si="181"/>
        <v>1</v>
      </c>
    </row>
    <row r="1456" spans="2:19" x14ac:dyDescent="0.3">
      <c r="B1456" s="24">
        <v>451852</v>
      </c>
      <c r="C1456" s="25">
        <v>63</v>
      </c>
      <c r="D1456" s="25">
        <v>4</v>
      </c>
      <c r="E1456" s="25">
        <v>22</v>
      </c>
      <c r="F1456" s="25">
        <v>27</v>
      </c>
      <c r="G1456" s="25">
        <v>129</v>
      </c>
      <c r="H1456" s="25">
        <v>4.9000000000000004</v>
      </c>
      <c r="I1456" s="25">
        <v>0.8</v>
      </c>
      <c r="J1456" s="25">
        <v>5.52</v>
      </c>
      <c r="K1456" s="26">
        <v>0</v>
      </c>
      <c r="L1456" s="25">
        <f t="shared" si="176"/>
        <v>-6.7983860575977921</v>
      </c>
      <c r="M1456" s="25">
        <f t="shared" si="182"/>
        <v>1.1143310492162299E-3</v>
      </c>
      <c r="N1456" s="25">
        <f t="shared" si="177"/>
        <v>0.99888566895078379</v>
      </c>
      <c r="O1456" s="25">
        <f t="shared" si="178"/>
        <v>-1.1149523776797881E-3</v>
      </c>
      <c r="P1456" s="25">
        <f t="shared" si="179"/>
        <v>0</v>
      </c>
      <c r="Q1456" s="25">
        <f t="shared" si="183"/>
        <v>683.28295146732091</v>
      </c>
      <c r="R1456" s="25">
        <f t="shared" si="180"/>
        <v>1</v>
      </c>
      <c r="S1456" s="26">
        <f t="shared" si="181"/>
        <v>1</v>
      </c>
    </row>
    <row r="1457" spans="2:19" x14ac:dyDescent="0.3">
      <c r="B1457" s="24">
        <v>451876</v>
      </c>
      <c r="C1457" s="25">
        <v>31</v>
      </c>
      <c r="D1457" s="25">
        <v>5</v>
      </c>
      <c r="E1457" s="25">
        <v>5</v>
      </c>
      <c r="F1457" s="25">
        <v>3</v>
      </c>
      <c r="G1457" s="25">
        <v>61</v>
      </c>
      <c r="H1457" s="25">
        <v>2</v>
      </c>
      <c r="I1457" s="25">
        <v>0.37</v>
      </c>
      <c r="J1457" s="25">
        <v>0.85</v>
      </c>
      <c r="K1457" s="26">
        <v>0</v>
      </c>
      <c r="L1457" s="25">
        <f t="shared" si="176"/>
        <v>-2.1576794684305249</v>
      </c>
      <c r="M1457" s="25">
        <f t="shared" si="182"/>
        <v>0.10361578322888972</v>
      </c>
      <c r="N1457" s="25">
        <f t="shared" si="177"/>
        <v>0.89638421677111024</v>
      </c>
      <c r="O1457" s="25">
        <f t="shared" si="178"/>
        <v>-0.10938614456076651</v>
      </c>
      <c r="P1457" s="25">
        <f t="shared" si="179"/>
        <v>0</v>
      </c>
      <c r="Q1457" s="25">
        <f t="shared" si="183"/>
        <v>549.38046761414751</v>
      </c>
      <c r="R1457" s="25">
        <f t="shared" si="180"/>
        <v>6</v>
      </c>
      <c r="S1457" s="26">
        <f t="shared" si="181"/>
        <v>11</v>
      </c>
    </row>
    <row r="1458" spans="2:19" x14ac:dyDescent="0.3">
      <c r="B1458" s="24">
        <v>451894</v>
      </c>
      <c r="C1458" s="25">
        <v>21</v>
      </c>
      <c r="D1458" s="25">
        <v>3</v>
      </c>
      <c r="E1458" s="25">
        <v>0</v>
      </c>
      <c r="F1458" s="25">
        <v>1</v>
      </c>
      <c r="G1458" s="25">
        <v>26</v>
      </c>
      <c r="H1458" s="25">
        <v>6.9</v>
      </c>
      <c r="I1458" s="25">
        <v>0.18</v>
      </c>
      <c r="J1458" s="25">
        <v>1.61</v>
      </c>
      <c r="K1458" s="26">
        <v>1</v>
      </c>
      <c r="L1458" s="25">
        <f t="shared" si="176"/>
        <v>-0.22894759466946205</v>
      </c>
      <c r="M1458" s="25">
        <f t="shared" si="182"/>
        <v>0.44301181328884043</v>
      </c>
      <c r="N1458" s="25">
        <f t="shared" si="177"/>
        <v>0.44301181328884043</v>
      </c>
      <c r="O1458" s="25">
        <f t="shared" si="178"/>
        <v>-0.81415884272631678</v>
      </c>
      <c r="P1458" s="25">
        <f t="shared" si="179"/>
        <v>1</v>
      </c>
      <c r="Q1458" s="25">
        <f t="shared" si="183"/>
        <v>493.72903100183316</v>
      </c>
      <c r="R1458" s="25">
        <f t="shared" si="180"/>
        <v>7</v>
      </c>
      <c r="S1458" s="26">
        <f t="shared" si="181"/>
        <v>14</v>
      </c>
    </row>
    <row r="1459" spans="2:19" x14ac:dyDescent="0.3">
      <c r="B1459" s="24">
        <v>451919</v>
      </c>
      <c r="C1459" s="25">
        <v>20</v>
      </c>
      <c r="D1459" s="25">
        <v>3</v>
      </c>
      <c r="E1459" s="25">
        <v>0</v>
      </c>
      <c r="F1459" s="25">
        <v>0</v>
      </c>
      <c r="G1459" s="25">
        <v>24</v>
      </c>
      <c r="H1459" s="25">
        <v>9.4</v>
      </c>
      <c r="I1459" s="25">
        <v>0.6</v>
      </c>
      <c r="J1459" s="25">
        <v>1.66</v>
      </c>
      <c r="K1459" s="26">
        <v>0</v>
      </c>
      <c r="L1459" s="25">
        <f t="shared" si="176"/>
        <v>0.27407140603976904</v>
      </c>
      <c r="M1459" s="25">
        <f t="shared" si="182"/>
        <v>0.5680921548746406</v>
      </c>
      <c r="N1459" s="25">
        <f t="shared" si="177"/>
        <v>0.4319078451253594</v>
      </c>
      <c r="O1459" s="25">
        <f t="shared" si="178"/>
        <v>-0.83954303496336313</v>
      </c>
      <c r="P1459" s="25">
        <f t="shared" si="179"/>
        <v>1</v>
      </c>
      <c r="Q1459" s="25">
        <f t="shared" si="183"/>
        <v>479.21497105726911</v>
      </c>
      <c r="R1459" s="25">
        <f t="shared" si="180"/>
        <v>7</v>
      </c>
      <c r="S1459" s="26">
        <f t="shared" si="181"/>
        <v>15</v>
      </c>
    </row>
    <row r="1460" spans="2:19" x14ac:dyDescent="0.3">
      <c r="B1460" s="24">
        <v>452007</v>
      </c>
      <c r="C1460" s="25">
        <v>20</v>
      </c>
      <c r="D1460" s="25">
        <v>3</v>
      </c>
      <c r="E1460" s="25">
        <v>0</v>
      </c>
      <c r="F1460" s="25">
        <v>0</v>
      </c>
      <c r="G1460" s="25">
        <v>18</v>
      </c>
      <c r="H1460" s="25">
        <v>5.3</v>
      </c>
      <c r="I1460" s="25">
        <v>0.3</v>
      </c>
      <c r="J1460" s="25">
        <v>0.65</v>
      </c>
      <c r="K1460" s="26">
        <v>0</v>
      </c>
      <c r="L1460" s="25">
        <f t="shared" si="176"/>
        <v>-0.30322579264447791</v>
      </c>
      <c r="M1460" s="25">
        <f t="shared" si="182"/>
        <v>0.42476910136720275</v>
      </c>
      <c r="N1460" s="25">
        <f t="shared" si="177"/>
        <v>0.57523089863279719</v>
      </c>
      <c r="O1460" s="25">
        <f t="shared" si="178"/>
        <v>-0.55298375594991855</v>
      </c>
      <c r="P1460" s="25">
        <f t="shared" si="179"/>
        <v>1</v>
      </c>
      <c r="Q1460" s="25">
        <f t="shared" si="183"/>
        <v>495.87224669838452</v>
      </c>
      <c r="R1460" s="25">
        <f t="shared" si="180"/>
        <v>7</v>
      </c>
      <c r="S1460" s="26">
        <f t="shared" si="181"/>
        <v>14</v>
      </c>
    </row>
    <row r="1461" spans="2:19" x14ac:dyDescent="0.3">
      <c r="B1461" s="24">
        <v>452055</v>
      </c>
      <c r="C1461" s="25">
        <v>21</v>
      </c>
      <c r="D1461" s="25">
        <v>2</v>
      </c>
      <c r="E1461" s="25">
        <v>2</v>
      </c>
      <c r="F1461" s="25">
        <v>1</v>
      </c>
      <c r="G1461" s="25">
        <v>33</v>
      </c>
      <c r="H1461" s="25">
        <v>6.4</v>
      </c>
      <c r="I1461" s="25">
        <v>0.84</v>
      </c>
      <c r="J1461" s="25">
        <v>1.27</v>
      </c>
      <c r="K1461" s="26">
        <v>1</v>
      </c>
      <c r="L1461" s="25">
        <f t="shared" si="176"/>
        <v>-0.37216602489733169</v>
      </c>
      <c r="M1461" s="25">
        <f t="shared" si="182"/>
        <v>0.40801773745668529</v>
      </c>
      <c r="N1461" s="25">
        <f t="shared" si="177"/>
        <v>0.40801773745668529</v>
      </c>
      <c r="O1461" s="25">
        <f t="shared" si="178"/>
        <v>-0.89644463136440677</v>
      </c>
      <c r="P1461" s="25">
        <f t="shared" si="179"/>
        <v>1</v>
      </c>
      <c r="Q1461" s="25">
        <f t="shared" si="183"/>
        <v>497.86144126578512</v>
      </c>
      <c r="R1461" s="25">
        <f t="shared" si="180"/>
        <v>7</v>
      </c>
      <c r="S1461" s="26">
        <f t="shared" si="181"/>
        <v>14</v>
      </c>
    </row>
    <row r="1462" spans="2:19" x14ac:dyDescent="0.3">
      <c r="B1462" s="24">
        <v>452063</v>
      </c>
      <c r="C1462" s="25">
        <v>23</v>
      </c>
      <c r="D1462" s="25">
        <v>2</v>
      </c>
      <c r="E1462" s="25">
        <v>1</v>
      </c>
      <c r="F1462" s="25">
        <v>0</v>
      </c>
      <c r="G1462" s="25">
        <v>30</v>
      </c>
      <c r="H1462" s="25">
        <v>21.5</v>
      </c>
      <c r="I1462" s="25">
        <v>1.63</v>
      </c>
      <c r="J1462" s="25">
        <v>4.82</v>
      </c>
      <c r="K1462" s="26">
        <v>1</v>
      </c>
      <c r="L1462" s="25">
        <f t="shared" si="176"/>
        <v>1.8106212818540584</v>
      </c>
      <c r="M1462" s="25">
        <f t="shared" si="182"/>
        <v>0.85943694503329149</v>
      </c>
      <c r="N1462" s="25">
        <f t="shared" si="177"/>
        <v>0.85943694503329149</v>
      </c>
      <c r="O1462" s="25">
        <f t="shared" si="178"/>
        <v>-0.15147781923166231</v>
      </c>
      <c r="P1462" s="25">
        <f t="shared" si="179"/>
        <v>1</v>
      </c>
      <c r="Q1462" s="25">
        <f t="shared" si="183"/>
        <v>434.87951459551118</v>
      </c>
      <c r="R1462" s="25">
        <f t="shared" si="180"/>
        <v>8</v>
      </c>
      <c r="S1462" s="26">
        <f t="shared" si="181"/>
        <v>16</v>
      </c>
    </row>
    <row r="1463" spans="2:19" x14ac:dyDescent="0.3">
      <c r="B1463" s="24">
        <v>452088</v>
      </c>
      <c r="C1463" s="25">
        <v>46</v>
      </c>
      <c r="D1463" s="25">
        <v>3</v>
      </c>
      <c r="E1463" s="25">
        <v>13</v>
      </c>
      <c r="F1463" s="25">
        <v>10</v>
      </c>
      <c r="G1463" s="25">
        <v>32</v>
      </c>
      <c r="H1463" s="25">
        <v>11</v>
      </c>
      <c r="I1463" s="25">
        <v>1.19</v>
      </c>
      <c r="J1463" s="25">
        <v>2.33</v>
      </c>
      <c r="K1463" s="26">
        <v>0</v>
      </c>
      <c r="L1463" s="25">
        <f t="shared" si="176"/>
        <v>-3.0969365654347221</v>
      </c>
      <c r="M1463" s="25">
        <f t="shared" si="182"/>
        <v>4.3233795628351578E-2</v>
      </c>
      <c r="N1463" s="25">
        <f t="shared" si="177"/>
        <v>0.95676620437164839</v>
      </c>
      <c r="O1463" s="25">
        <f t="shared" si="178"/>
        <v>-4.4196217927515283E-2</v>
      </c>
      <c r="P1463" s="25">
        <f t="shared" si="179"/>
        <v>0</v>
      </c>
      <c r="Q1463" s="25">
        <f t="shared" si="183"/>
        <v>576.48169796539696</v>
      </c>
      <c r="R1463" s="25">
        <f t="shared" si="180"/>
        <v>5</v>
      </c>
      <c r="S1463" s="26">
        <f t="shared" si="181"/>
        <v>9</v>
      </c>
    </row>
    <row r="1464" spans="2:19" x14ac:dyDescent="0.3">
      <c r="B1464" s="24">
        <v>452116</v>
      </c>
      <c r="C1464" s="25">
        <v>29</v>
      </c>
      <c r="D1464" s="25">
        <v>4</v>
      </c>
      <c r="E1464" s="25">
        <v>1</v>
      </c>
      <c r="F1464" s="25">
        <v>4</v>
      </c>
      <c r="G1464" s="25">
        <v>50</v>
      </c>
      <c r="H1464" s="25">
        <v>12.1</v>
      </c>
      <c r="I1464" s="25">
        <v>0.47</v>
      </c>
      <c r="J1464" s="25">
        <v>5.58</v>
      </c>
      <c r="K1464" s="26">
        <v>0</v>
      </c>
      <c r="L1464" s="25">
        <f t="shared" si="176"/>
        <v>-1.8591687478400509E-2</v>
      </c>
      <c r="M1464" s="25">
        <f t="shared" si="182"/>
        <v>0.49535221200561524</v>
      </c>
      <c r="N1464" s="25">
        <f t="shared" si="177"/>
        <v>0.5046477879943847</v>
      </c>
      <c r="O1464" s="25">
        <f t="shared" si="178"/>
        <v>-0.68389454255390825</v>
      </c>
      <c r="P1464" s="25">
        <f t="shared" si="179"/>
        <v>1</v>
      </c>
      <c r="Q1464" s="25">
        <f t="shared" si="183"/>
        <v>487.65944269133303</v>
      </c>
      <c r="R1464" s="25">
        <f t="shared" si="180"/>
        <v>7</v>
      </c>
      <c r="S1464" s="26">
        <f t="shared" si="181"/>
        <v>15</v>
      </c>
    </row>
    <row r="1465" spans="2:19" x14ac:dyDescent="0.3">
      <c r="B1465" s="24">
        <v>452132</v>
      </c>
      <c r="C1465" s="25">
        <v>59</v>
      </c>
      <c r="D1465" s="25">
        <v>2</v>
      </c>
      <c r="E1465" s="25">
        <v>32</v>
      </c>
      <c r="F1465" s="25">
        <v>19</v>
      </c>
      <c r="G1465" s="25">
        <v>533</v>
      </c>
      <c r="H1465" s="25">
        <v>0.8</v>
      </c>
      <c r="I1465" s="25">
        <v>1.86</v>
      </c>
      <c r="J1465" s="25">
        <v>2.4</v>
      </c>
      <c r="K1465" s="26">
        <v>0</v>
      </c>
      <c r="L1465" s="25">
        <f t="shared" si="176"/>
        <v>-8.5024800981080055</v>
      </c>
      <c r="M1465" s="25">
        <f t="shared" si="182"/>
        <v>2.0292318655479378E-4</v>
      </c>
      <c r="N1465" s="25">
        <f t="shared" si="177"/>
        <v>0.99979707681344521</v>
      </c>
      <c r="O1465" s="25">
        <f t="shared" si="178"/>
        <v>-2.0294377825034934E-4</v>
      </c>
      <c r="P1465" s="25">
        <f t="shared" si="179"/>
        <v>0</v>
      </c>
      <c r="Q1465" s="25">
        <f t="shared" si="183"/>
        <v>732.4527105027986</v>
      </c>
      <c r="R1465" s="25">
        <f t="shared" si="180"/>
        <v>1</v>
      </c>
      <c r="S1465" s="26">
        <f t="shared" si="181"/>
        <v>1</v>
      </c>
    </row>
    <row r="1466" spans="2:19" x14ac:dyDescent="0.3">
      <c r="B1466" s="24">
        <v>452141</v>
      </c>
      <c r="C1466" s="25">
        <v>21</v>
      </c>
      <c r="D1466" s="25">
        <v>1</v>
      </c>
      <c r="E1466" s="25">
        <v>1</v>
      </c>
      <c r="F1466" s="25">
        <v>1</v>
      </c>
      <c r="G1466" s="25">
        <v>23</v>
      </c>
      <c r="H1466" s="25">
        <v>16.5</v>
      </c>
      <c r="I1466" s="25">
        <v>1.17</v>
      </c>
      <c r="J1466" s="25">
        <v>2.62</v>
      </c>
      <c r="K1466" s="26">
        <v>1</v>
      </c>
      <c r="L1466" s="25">
        <f t="shared" si="176"/>
        <v>1.1017645341740956</v>
      </c>
      <c r="M1466" s="25">
        <f t="shared" si="182"/>
        <v>0.75059058012994984</v>
      </c>
      <c r="N1466" s="25">
        <f t="shared" si="177"/>
        <v>0.75059058012994984</v>
      </c>
      <c r="O1466" s="25">
        <f t="shared" si="178"/>
        <v>-0.28689494214686984</v>
      </c>
      <c r="P1466" s="25">
        <f t="shared" si="179"/>
        <v>1</v>
      </c>
      <c r="Q1466" s="25">
        <f t="shared" si="183"/>
        <v>455.33279630739406</v>
      </c>
      <c r="R1466" s="25">
        <f t="shared" si="180"/>
        <v>8</v>
      </c>
      <c r="S1466" s="26">
        <f t="shared" si="181"/>
        <v>16</v>
      </c>
    </row>
    <row r="1467" spans="2:19" x14ac:dyDescent="0.3">
      <c r="B1467" s="24">
        <v>452173</v>
      </c>
      <c r="C1467" s="25">
        <v>54</v>
      </c>
      <c r="D1467" s="25">
        <v>3</v>
      </c>
      <c r="E1467" s="25">
        <v>6</v>
      </c>
      <c r="F1467" s="25">
        <v>9</v>
      </c>
      <c r="G1467" s="25">
        <v>70</v>
      </c>
      <c r="H1467" s="25">
        <v>9.5</v>
      </c>
      <c r="I1467" s="25">
        <v>2.2799999999999998</v>
      </c>
      <c r="J1467" s="25">
        <v>4.37</v>
      </c>
      <c r="K1467" s="26">
        <v>0</v>
      </c>
      <c r="L1467" s="25">
        <f t="shared" si="176"/>
        <v>-1.2268356859631715</v>
      </c>
      <c r="M1467" s="25">
        <f t="shared" si="182"/>
        <v>0.22673573451237944</v>
      </c>
      <c r="N1467" s="25">
        <f t="shared" si="177"/>
        <v>0.77326426548762051</v>
      </c>
      <c r="O1467" s="25">
        <f t="shared" si="178"/>
        <v>-0.25713441884788985</v>
      </c>
      <c r="P1467" s="25">
        <f t="shared" si="179"/>
        <v>0</v>
      </c>
      <c r="Q1467" s="25">
        <f t="shared" si="183"/>
        <v>522.52199419921271</v>
      </c>
      <c r="R1467" s="25">
        <f t="shared" si="180"/>
        <v>6</v>
      </c>
      <c r="S1467" s="26">
        <f t="shared" si="181"/>
        <v>13</v>
      </c>
    </row>
    <row r="1468" spans="2:19" x14ac:dyDescent="0.3">
      <c r="B1468" s="24">
        <v>452225</v>
      </c>
      <c r="C1468" s="25">
        <v>18</v>
      </c>
      <c r="D1468" s="25">
        <v>2</v>
      </c>
      <c r="E1468" s="25">
        <v>0</v>
      </c>
      <c r="F1468" s="25">
        <v>0</v>
      </c>
      <c r="G1468" s="25">
        <v>37</v>
      </c>
      <c r="H1468" s="25">
        <v>2.5</v>
      </c>
      <c r="I1468" s="25">
        <v>0.56999999999999995</v>
      </c>
      <c r="J1468" s="25">
        <v>0.36</v>
      </c>
      <c r="K1468" s="26">
        <v>1</v>
      </c>
      <c r="L1468" s="25">
        <f t="shared" si="176"/>
        <v>-0.36074181869394634</v>
      </c>
      <c r="M1468" s="25">
        <f t="shared" si="182"/>
        <v>0.41078000442260604</v>
      </c>
      <c r="N1468" s="25">
        <f t="shared" si="177"/>
        <v>0.41078000442260604</v>
      </c>
      <c r="O1468" s="25">
        <f t="shared" si="178"/>
        <v>-0.88969747683827283</v>
      </c>
      <c r="P1468" s="25">
        <f t="shared" si="179"/>
        <v>1</v>
      </c>
      <c r="Q1468" s="25">
        <f t="shared" si="183"/>
        <v>497.53180836241324</v>
      </c>
      <c r="R1468" s="25">
        <f t="shared" si="180"/>
        <v>7</v>
      </c>
      <c r="S1468" s="26">
        <f t="shared" si="181"/>
        <v>14</v>
      </c>
    </row>
    <row r="1469" spans="2:19" x14ac:dyDescent="0.3">
      <c r="B1469" s="24">
        <v>452318</v>
      </c>
      <c r="C1469" s="25">
        <v>41</v>
      </c>
      <c r="D1469" s="25">
        <v>2</v>
      </c>
      <c r="E1469" s="25">
        <v>9</v>
      </c>
      <c r="F1469" s="25">
        <v>8</v>
      </c>
      <c r="G1469" s="25">
        <v>77</v>
      </c>
      <c r="H1469" s="25">
        <v>7.5</v>
      </c>
      <c r="I1469" s="25">
        <v>3.11</v>
      </c>
      <c r="J1469" s="25">
        <v>2.67</v>
      </c>
      <c r="K1469" s="26">
        <v>0</v>
      </c>
      <c r="L1469" s="25">
        <f t="shared" si="176"/>
        <v>-1.386025827219046</v>
      </c>
      <c r="M1469" s="25">
        <f t="shared" si="182"/>
        <v>0.20004296888545764</v>
      </c>
      <c r="N1469" s="25">
        <f t="shared" si="177"/>
        <v>0.79995703111454231</v>
      </c>
      <c r="O1469" s="25">
        <f t="shared" si="178"/>
        <v>-0.22319726386352504</v>
      </c>
      <c r="P1469" s="25">
        <f t="shared" si="179"/>
        <v>0</v>
      </c>
      <c r="Q1469" s="25">
        <f t="shared" si="183"/>
        <v>527.11525061599559</v>
      </c>
      <c r="R1469" s="25">
        <f t="shared" si="180"/>
        <v>6</v>
      </c>
      <c r="S1469" s="26">
        <f t="shared" si="181"/>
        <v>12</v>
      </c>
    </row>
    <row r="1470" spans="2:19" x14ac:dyDescent="0.3">
      <c r="B1470" s="24">
        <v>452333</v>
      </c>
      <c r="C1470" s="25">
        <v>19</v>
      </c>
      <c r="D1470" s="25">
        <v>2</v>
      </c>
      <c r="E1470" s="25">
        <v>0</v>
      </c>
      <c r="F1470" s="25">
        <v>0</v>
      </c>
      <c r="G1470" s="25">
        <v>36</v>
      </c>
      <c r="H1470" s="25">
        <v>5.8</v>
      </c>
      <c r="I1470" s="25">
        <v>0.78</v>
      </c>
      <c r="J1470" s="25">
        <v>1.31</v>
      </c>
      <c r="K1470" s="26">
        <v>1</v>
      </c>
      <c r="L1470" s="25">
        <f t="shared" si="176"/>
        <v>6.956672260888197E-2</v>
      </c>
      <c r="M1470" s="25">
        <f t="shared" si="182"/>
        <v>0.51738467008323263</v>
      </c>
      <c r="N1470" s="25">
        <f t="shared" si="177"/>
        <v>0.51738467008323263</v>
      </c>
      <c r="O1470" s="25">
        <f t="shared" si="178"/>
        <v>-0.65896863842208109</v>
      </c>
      <c r="P1470" s="25">
        <f t="shared" si="179"/>
        <v>1</v>
      </c>
      <c r="Q1470" s="25">
        <f t="shared" si="183"/>
        <v>485.11572874251556</v>
      </c>
      <c r="R1470" s="25">
        <f t="shared" si="180"/>
        <v>7</v>
      </c>
      <c r="S1470" s="26">
        <f t="shared" si="181"/>
        <v>15</v>
      </c>
    </row>
    <row r="1471" spans="2:19" x14ac:dyDescent="0.3">
      <c r="B1471" s="24">
        <v>452341</v>
      </c>
      <c r="C1471" s="25">
        <v>41</v>
      </c>
      <c r="D1471" s="25">
        <v>1</v>
      </c>
      <c r="E1471" s="25">
        <v>15</v>
      </c>
      <c r="F1471" s="25">
        <v>9</v>
      </c>
      <c r="G1471" s="25">
        <v>54</v>
      </c>
      <c r="H1471" s="25">
        <v>6.9</v>
      </c>
      <c r="I1471" s="25">
        <v>1.54</v>
      </c>
      <c r="J1471" s="25">
        <v>2.1800000000000002</v>
      </c>
      <c r="K1471" s="26">
        <v>0</v>
      </c>
      <c r="L1471" s="25">
        <f t="shared" si="176"/>
        <v>-3.54357194001599</v>
      </c>
      <c r="M1471" s="25">
        <f t="shared" si="182"/>
        <v>2.8097580459426279E-2</v>
      </c>
      <c r="N1471" s="25">
        <f t="shared" si="177"/>
        <v>0.97190241954057377</v>
      </c>
      <c r="O1471" s="25">
        <f t="shared" si="178"/>
        <v>-2.8499870980416574E-2</v>
      </c>
      <c r="P1471" s="25">
        <f t="shared" si="179"/>
        <v>0</v>
      </c>
      <c r="Q1471" s="25">
        <f t="shared" si="183"/>
        <v>589.36887040002739</v>
      </c>
      <c r="R1471" s="25">
        <f t="shared" si="180"/>
        <v>4</v>
      </c>
      <c r="S1471" s="26">
        <f t="shared" si="181"/>
        <v>8</v>
      </c>
    </row>
    <row r="1472" spans="2:19" x14ac:dyDescent="0.3">
      <c r="B1472" s="24">
        <v>452389</v>
      </c>
      <c r="C1472" s="25">
        <v>30</v>
      </c>
      <c r="D1472" s="25">
        <v>4</v>
      </c>
      <c r="E1472" s="25">
        <v>6</v>
      </c>
      <c r="F1472" s="25">
        <v>5</v>
      </c>
      <c r="G1472" s="25">
        <v>51</v>
      </c>
      <c r="H1472" s="25">
        <v>6.2</v>
      </c>
      <c r="I1472" s="25">
        <v>1.07</v>
      </c>
      <c r="J1472" s="25">
        <v>2.09</v>
      </c>
      <c r="K1472" s="26">
        <v>0</v>
      </c>
      <c r="L1472" s="25">
        <f t="shared" si="176"/>
        <v>-1.5950577957021566</v>
      </c>
      <c r="M1472" s="25">
        <f t="shared" si="182"/>
        <v>0.16867348997069465</v>
      </c>
      <c r="N1472" s="25">
        <f t="shared" si="177"/>
        <v>0.83132651002930535</v>
      </c>
      <c r="O1472" s="25">
        <f t="shared" si="178"/>
        <v>-0.18473264910717335</v>
      </c>
      <c r="P1472" s="25">
        <f t="shared" si="179"/>
        <v>0</v>
      </c>
      <c r="Q1472" s="25">
        <f t="shared" si="183"/>
        <v>533.14663813141044</v>
      </c>
      <c r="R1472" s="25">
        <f t="shared" si="180"/>
        <v>6</v>
      </c>
      <c r="S1472" s="26">
        <f t="shared" si="181"/>
        <v>12</v>
      </c>
    </row>
    <row r="1473" spans="2:19" x14ac:dyDescent="0.3">
      <c r="B1473" s="24">
        <v>452427</v>
      </c>
      <c r="C1473" s="25">
        <v>23</v>
      </c>
      <c r="D1473" s="25">
        <v>3</v>
      </c>
      <c r="E1473" s="25">
        <v>0</v>
      </c>
      <c r="F1473" s="25">
        <v>1</v>
      </c>
      <c r="G1473" s="25">
        <v>27</v>
      </c>
      <c r="H1473" s="25">
        <v>14.6</v>
      </c>
      <c r="I1473" s="25">
        <v>1.1599999999999999</v>
      </c>
      <c r="J1473" s="25">
        <v>2.78</v>
      </c>
      <c r="K1473" s="26">
        <v>0</v>
      </c>
      <c r="L1473" s="25">
        <f t="shared" si="176"/>
        <v>0.98885199112230637</v>
      </c>
      <c r="M1473" s="25">
        <f t="shared" si="182"/>
        <v>0.72886110947510019</v>
      </c>
      <c r="N1473" s="25">
        <f t="shared" si="177"/>
        <v>0.27113889052489981</v>
      </c>
      <c r="O1473" s="25">
        <f t="shared" si="178"/>
        <v>-1.3051240782294338</v>
      </c>
      <c r="P1473" s="25">
        <f t="shared" si="179"/>
        <v>1</v>
      </c>
      <c r="Q1473" s="25">
        <f t="shared" si="183"/>
        <v>458.5907635333561</v>
      </c>
      <c r="R1473" s="25">
        <f t="shared" si="180"/>
        <v>8</v>
      </c>
      <c r="S1473" s="26">
        <f t="shared" si="181"/>
        <v>16</v>
      </c>
    </row>
    <row r="1474" spans="2:19" x14ac:dyDescent="0.3">
      <c r="B1474" s="24">
        <v>452433</v>
      </c>
      <c r="C1474" s="25">
        <v>37</v>
      </c>
      <c r="D1474" s="25">
        <v>3</v>
      </c>
      <c r="E1474" s="25">
        <v>0</v>
      </c>
      <c r="F1474" s="25">
        <v>9</v>
      </c>
      <c r="G1474" s="25">
        <v>35</v>
      </c>
      <c r="H1474" s="25">
        <v>10.8</v>
      </c>
      <c r="I1474" s="25">
        <v>1.27</v>
      </c>
      <c r="J1474" s="25">
        <v>2.5099999999999998</v>
      </c>
      <c r="K1474" s="26">
        <v>0</v>
      </c>
      <c r="L1474" s="25">
        <f t="shared" si="176"/>
        <v>9.4355352939639314E-2</v>
      </c>
      <c r="M1474" s="25">
        <f t="shared" si="182"/>
        <v>0.5235713529819489</v>
      </c>
      <c r="N1474" s="25">
        <f t="shared" si="177"/>
        <v>0.4764286470180511</v>
      </c>
      <c r="O1474" s="25">
        <f t="shared" si="178"/>
        <v>-0.74143731102916088</v>
      </c>
      <c r="P1474" s="25">
        <f t="shared" si="179"/>
        <v>1</v>
      </c>
      <c r="Q1474" s="25">
        <f t="shared" si="183"/>
        <v>484.40048008181492</v>
      </c>
      <c r="R1474" s="25">
        <f t="shared" si="180"/>
        <v>7</v>
      </c>
      <c r="S1474" s="26">
        <f t="shared" si="181"/>
        <v>15</v>
      </c>
    </row>
    <row r="1475" spans="2:19" x14ac:dyDescent="0.3">
      <c r="B1475" s="24">
        <v>452436</v>
      </c>
      <c r="C1475" s="25">
        <v>33</v>
      </c>
      <c r="D1475" s="25">
        <v>3</v>
      </c>
      <c r="E1475" s="25">
        <v>6</v>
      </c>
      <c r="F1475" s="25">
        <v>6</v>
      </c>
      <c r="G1475" s="25">
        <v>77</v>
      </c>
      <c r="H1475" s="25">
        <v>6.2</v>
      </c>
      <c r="I1475" s="25">
        <v>0.65</v>
      </c>
      <c r="J1475" s="25">
        <v>4.12</v>
      </c>
      <c r="K1475" s="26">
        <v>1</v>
      </c>
      <c r="L1475" s="25">
        <f t="shared" si="176"/>
        <v>-1.7811953522389696</v>
      </c>
      <c r="M1475" s="25">
        <f t="shared" si="182"/>
        <v>0.14415559505600556</v>
      </c>
      <c r="N1475" s="25">
        <f t="shared" si="177"/>
        <v>0.14415559505600556</v>
      </c>
      <c r="O1475" s="25">
        <f t="shared" si="178"/>
        <v>-1.9368620415267597</v>
      </c>
      <c r="P1475" s="25">
        <f t="shared" si="179"/>
        <v>0</v>
      </c>
      <c r="Q1475" s="25">
        <f t="shared" si="183"/>
        <v>538.51743257396799</v>
      </c>
      <c r="R1475" s="25">
        <f t="shared" si="180"/>
        <v>6</v>
      </c>
      <c r="S1475" s="26">
        <f t="shared" si="181"/>
        <v>12</v>
      </c>
    </row>
    <row r="1476" spans="2:19" x14ac:dyDescent="0.3">
      <c r="B1476" s="24">
        <v>452445</v>
      </c>
      <c r="C1476" s="25">
        <v>34</v>
      </c>
      <c r="D1476" s="25">
        <v>5</v>
      </c>
      <c r="E1476" s="25">
        <v>5</v>
      </c>
      <c r="F1476" s="25">
        <v>10</v>
      </c>
      <c r="G1476" s="25">
        <v>186</v>
      </c>
      <c r="H1476" s="25">
        <v>11.3</v>
      </c>
      <c r="I1476" s="25">
        <v>7.46</v>
      </c>
      <c r="J1476" s="25">
        <v>13.56</v>
      </c>
      <c r="K1476" s="26">
        <v>1</v>
      </c>
      <c r="L1476" s="25">
        <f t="shared" si="176"/>
        <v>2.1819113154991721</v>
      </c>
      <c r="M1476" s="25">
        <f t="shared" si="182"/>
        <v>0.89861333981555402</v>
      </c>
      <c r="N1476" s="25">
        <f t="shared" si="177"/>
        <v>0.89861333981555402</v>
      </c>
      <c r="O1476" s="25">
        <f t="shared" si="178"/>
        <v>-0.10690243734658995</v>
      </c>
      <c r="P1476" s="25">
        <f t="shared" si="179"/>
        <v>1</v>
      </c>
      <c r="Q1476" s="25">
        <f t="shared" si="183"/>
        <v>424.1663490937184</v>
      </c>
      <c r="R1476" s="25">
        <f t="shared" si="180"/>
        <v>8</v>
      </c>
      <c r="S1476" s="26">
        <f t="shared" si="181"/>
        <v>16</v>
      </c>
    </row>
    <row r="1477" spans="2:19" x14ac:dyDescent="0.3">
      <c r="B1477" s="24">
        <v>452452</v>
      </c>
      <c r="C1477" s="25">
        <v>25</v>
      </c>
      <c r="D1477" s="25">
        <v>4</v>
      </c>
      <c r="E1477" s="25">
        <v>0</v>
      </c>
      <c r="F1477" s="25">
        <v>3</v>
      </c>
      <c r="G1477" s="25">
        <v>30</v>
      </c>
      <c r="H1477" s="25">
        <v>4.9000000000000004</v>
      </c>
      <c r="I1477" s="25">
        <v>0.2</v>
      </c>
      <c r="J1477" s="25">
        <v>1.27</v>
      </c>
      <c r="K1477" s="26">
        <v>0</v>
      </c>
      <c r="L1477" s="25">
        <f t="shared" ref="L1477:L1503" si="184">$Y$4+SUMPRODUCT($Z$4:$AG$4,C1477:J1477)</f>
        <v>-0.63135982378438671</v>
      </c>
      <c r="M1477" s="25">
        <f t="shared" si="182"/>
        <v>0.34720226586308173</v>
      </c>
      <c r="N1477" s="25">
        <f t="shared" ref="N1477:N1503" si="185">IF(K1477=1,M1477,(1-M1477))</f>
        <v>0.65279773413691822</v>
      </c>
      <c r="O1477" s="25">
        <f t="shared" ref="O1477:O1503" si="186">LN(N1477)</f>
        <v>-0.42648794632950415</v>
      </c>
      <c r="P1477" s="25">
        <f t="shared" ref="P1477:P1503" si="187">IF(M1477&gt;0.4,1,0)</f>
        <v>0</v>
      </c>
      <c r="Q1477" s="25">
        <f t="shared" si="183"/>
        <v>505.34019321949233</v>
      </c>
      <c r="R1477" s="25">
        <f t="shared" ref="R1477:R1503" si="188">VLOOKUP(M1477,$U$9:$W$16,3,TRUE)</f>
        <v>7</v>
      </c>
      <c r="S1477" s="26">
        <f t="shared" ref="S1477:S1503" si="189">VLOOKUP(M1477,$U$21:$W$37,3,TRUE)</f>
        <v>14</v>
      </c>
    </row>
    <row r="1478" spans="2:19" x14ac:dyDescent="0.3">
      <c r="B1478" s="24">
        <v>452558</v>
      </c>
      <c r="C1478" s="25">
        <v>21</v>
      </c>
      <c r="D1478" s="25">
        <v>1</v>
      </c>
      <c r="E1478" s="25">
        <v>4</v>
      </c>
      <c r="F1478" s="25">
        <v>1</v>
      </c>
      <c r="G1478" s="25">
        <v>19</v>
      </c>
      <c r="H1478" s="25">
        <v>6.5</v>
      </c>
      <c r="I1478" s="25">
        <v>0.28999999999999998</v>
      </c>
      <c r="J1478" s="25">
        <v>0.94</v>
      </c>
      <c r="K1478" s="26">
        <v>0</v>
      </c>
      <c r="L1478" s="25">
        <f t="shared" si="184"/>
        <v>-1.033210160786614</v>
      </c>
      <c r="M1478" s="25">
        <f t="shared" ref="M1478:M1503" si="190">EXP(L1478)/(1+EXP(L1478))</f>
        <v>0.26246222103946559</v>
      </c>
      <c r="N1478" s="25">
        <f t="shared" si="185"/>
        <v>0.73753777896053441</v>
      </c>
      <c r="O1478" s="25">
        <f t="shared" si="186"/>
        <v>-0.30443796637095483</v>
      </c>
      <c r="P1478" s="25">
        <f t="shared" si="187"/>
        <v>0</v>
      </c>
      <c r="Q1478" s="25">
        <f t="shared" si="183"/>
        <v>516.93514265832084</v>
      </c>
      <c r="R1478" s="25">
        <f t="shared" si="188"/>
        <v>7</v>
      </c>
      <c r="S1478" s="26">
        <f t="shared" si="189"/>
        <v>13</v>
      </c>
    </row>
    <row r="1479" spans="2:19" x14ac:dyDescent="0.3">
      <c r="B1479" s="24">
        <v>452646</v>
      </c>
      <c r="C1479" s="25">
        <v>62</v>
      </c>
      <c r="D1479" s="25">
        <v>2</v>
      </c>
      <c r="E1479" s="25">
        <v>33</v>
      </c>
      <c r="F1479" s="25">
        <v>6</v>
      </c>
      <c r="G1479" s="25">
        <v>322</v>
      </c>
      <c r="H1479" s="25">
        <v>2.8</v>
      </c>
      <c r="I1479" s="25">
        <v>7.04</v>
      </c>
      <c r="J1479" s="25">
        <v>1.97</v>
      </c>
      <c r="K1479" s="26">
        <v>0</v>
      </c>
      <c r="L1479" s="25">
        <f t="shared" si="184"/>
        <v>-5.7742486330954543</v>
      </c>
      <c r="M1479" s="25">
        <f t="shared" si="190"/>
        <v>3.0969102789374348E-3</v>
      </c>
      <c r="N1479" s="25">
        <f t="shared" si="185"/>
        <v>0.99690308972106256</v>
      </c>
      <c r="O1479" s="25">
        <f t="shared" si="186"/>
        <v>-3.1017156292992665E-3</v>
      </c>
      <c r="P1479" s="25">
        <f t="shared" si="187"/>
        <v>0</v>
      </c>
      <c r="Q1479" s="25">
        <f t="shared" si="183"/>
        <v>653.73259263447289</v>
      </c>
      <c r="R1479" s="25">
        <f t="shared" si="188"/>
        <v>2</v>
      </c>
      <c r="S1479" s="26">
        <f t="shared" si="189"/>
        <v>2</v>
      </c>
    </row>
    <row r="1480" spans="2:19" x14ac:dyDescent="0.3">
      <c r="B1480" s="24">
        <v>452735</v>
      </c>
      <c r="C1480" s="25">
        <v>52</v>
      </c>
      <c r="D1480" s="25">
        <v>2</v>
      </c>
      <c r="E1480" s="25">
        <v>6</v>
      </c>
      <c r="F1480" s="25">
        <v>9</v>
      </c>
      <c r="G1480" s="25">
        <v>55</v>
      </c>
      <c r="H1480" s="25">
        <v>2.9</v>
      </c>
      <c r="I1480" s="25">
        <v>0.93</v>
      </c>
      <c r="J1480" s="25">
        <v>0.66</v>
      </c>
      <c r="K1480" s="26">
        <v>0</v>
      </c>
      <c r="L1480" s="25">
        <f t="shared" si="184"/>
        <v>-2.5238665366633661</v>
      </c>
      <c r="M1480" s="25">
        <f t="shared" si="190"/>
        <v>7.420189198579645E-2</v>
      </c>
      <c r="N1480" s="25">
        <f t="shared" si="185"/>
        <v>0.92579810801420359</v>
      </c>
      <c r="O1480" s="25">
        <f t="shared" si="186"/>
        <v>-7.7099094009647887E-2</v>
      </c>
      <c r="P1480" s="25">
        <f t="shared" si="187"/>
        <v>0</v>
      </c>
      <c r="Q1480" s="25">
        <f t="shared" si="183"/>
        <v>559.94639266223112</v>
      </c>
      <c r="R1480" s="25">
        <f t="shared" si="188"/>
        <v>5</v>
      </c>
      <c r="S1480" s="26">
        <f t="shared" si="189"/>
        <v>10</v>
      </c>
    </row>
    <row r="1481" spans="2:19" x14ac:dyDescent="0.3">
      <c r="B1481" s="24">
        <v>452767</v>
      </c>
      <c r="C1481" s="25">
        <v>53</v>
      </c>
      <c r="D1481" s="25">
        <v>5</v>
      </c>
      <c r="E1481" s="25">
        <v>7</v>
      </c>
      <c r="F1481" s="25">
        <v>16</v>
      </c>
      <c r="G1481" s="25">
        <v>80</v>
      </c>
      <c r="H1481" s="25">
        <v>12</v>
      </c>
      <c r="I1481" s="25">
        <v>3.65</v>
      </c>
      <c r="J1481" s="25">
        <v>5.95</v>
      </c>
      <c r="K1481" s="26">
        <v>0</v>
      </c>
      <c r="L1481" s="25">
        <f t="shared" si="184"/>
        <v>-0.82636091700217529</v>
      </c>
      <c r="M1481" s="25">
        <f t="shared" si="190"/>
        <v>0.30441508450548299</v>
      </c>
      <c r="N1481" s="25">
        <f t="shared" si="185"/>
        <v>0.69558491549451706</v>
      </c>
      <c r="O1481" s="25">
        <f t="shared" si="186"/>
        <v>-0.3630021823401971</v>
      </c>
      <c r="P1481" s="25">
        <f t="shared" si="187"/>
        <v>0</v>
      </c>
      <c r="Q1481" s="25">
        <f t="shared" ref="Q1481:Q1503" si="191">28.8539*LN((1-M1481)/(M1481))+487.123</f>
        <v>510.96673526308905</v>
      </c>
      <c r="R1481" s="25">
        <f t="shared" si="188"/>
        <v>7</v>
      </c>
      <c r="S1481" s="26">
        <f t="shared" si="189"/>
        <v>13</v>
      </c>
    </row>
    <row r="1482" spans="2:19" x14ac:dyDescent="0.3">
      <c r="B1482" s="24">
        <v>452770</v>
      </c>
      <c r="C1482" s="25">
        <v>36</v>
      </c>
      <c r="D1482" s="25">
        <v>5</v>
      </c>
      <c r="E1482" s="25">
        <v>7</v>
      </c>
      <c r="F1482" s="25">
        <v>9</v>
      </c>
      <c r="G1482" s="25">
        <v>124</v>
      </c>
      <c r="H1482" s="25">
        <v>1.4</v>
      </c>
      <c r="I1482" s="25">
        <v>0.38</v>
      </c>
      <c r="J1482" s="25">
        <v>1.35</v>
      </c>
      <c r="K1482" s="26">
        <v>0</v>
      </c>
      <c r="L1482" s="25">
        <f t="shared" si="184"/>
        <v>-2.9421812666174025</v>
      </c>
      <c r="M1482" s="25">
        <f t="shared" si="190"/>
        <v>5.0107350365299952E-2</v>
      </c>
      <c r="N1482" s="25">
        <f t="shared" si="185"/>
        <v>0.94989264963469999</v>
      </c>
      <c r="O1482" s="25">
        <f t="shared" si="186"/>
        <v>-5.140630115710132E-2</v>
      </c>
      <c r="P1482" s="25">
        <f t="shared" si="187"/>
        <v>0</v>
      </c>
      <c r="Q1482" s="25">
        <f t="shared" si="191"/>
        <v>572.01640404885188</v>
      </c>
      <c r="R1482" s="25">
        <f t="shared" si="188"/>
        <v>5</v>
      </c>
      <c r="S1482" s="26">
        <f t="shared" si="189"/>
        <v>9</v>
      </c>
    </row>
    <row r="1483" spans="2:19" x14ac:dyDescent="0.3">
      <c r="B1483" s="24">
        <v>452878</v>
      </c>
      <c r="C1483" s="25">
        <v>34</v>
      </c>
      <c r="D1483" s="25">
        <v>4</v>
      </c>
      <c r="E1483" s="25">
        <v>8</v>
      </c>
      <c r="F1483" s="25">
        <v>4</v>
      </c>
      <c r="G1483" s="25">
        <v>49</v>
      </c>
      <c r="H1483" s="25">
        <v>7.5</v>
      </c>
      <c r="I1483" s="25">
        <v>0.49</v>
      </c>
      <c r="J1483" s="25">
        <v>3.19</v>
      </c>
      <c r="K1483" s="26">
        <v>0</v>
      </c>
      <c r="L1483" s="25">
        <f t="shared" si="184"/>
        <v>-2.2193985439130643</v>
      </c>
      <c r="M1483" s="25">
        <f t="shared" si="190"/>
        <v>9.8021968377592264E-2</v>
      </c>
      <c r="N1483" s="25">
        <f t="shared" si="185"/>
        <v>0.90197803162240775</v>
      </c>
      <c r="O1483" s="25">
        <f t="shared" si="186"/>
        <v>-0.10316511440190647</v>
      </c>
      <c r="P1483" s="25">
        <f t="shared" si="187"/>
        <v>0</v>
      </c>
      <c r="Q1483" s="25">
        <f t="shared" si="191"/>
        <v>551.16130364621313</v>
      </c>
      <c r="R1483" s="25">
        <f t="shared" si="188"/>
        <v>6</v>
      </c>
      <c r="S1483" s="26">
        <f t="shared" si="189"/>
        <v>11</v>
      </c>
    </row>
    <row r="1484" spans="2:19" x14ac:dyDescent="0.3">
      <c r="B1484" s="24">
        <v>452912</v>
      </c>
      <c r="C1484" s="25">
        <v>29</v>
      </c>
      <c r="D1484" s="25">
        <v>3</v>
      </c>
      <c r="E1484" s="25">
        <v>6</v>
      </c>
      <c r="F1484" s="25">
        <v>3</v>
      </c>
      <c r="G1484" s="25">
        <v>28</v>
      </c>
      <c r="H1484" s="25">
        <v>4.9000000000000004</v>
      </c>
      <c r="I1484" s="25">
        <v>0.56999999999999995</v>
      </c>
      <c r="J1484" s="25">
        <v>0.8</v>
      </c>
      <c r="K1484" s="26">
        <v>1</v>
      </c>
      <c r="L1484" s="25">
        <f t="shared" si="184"/>
        <v>-1.8587733737415131</v>
      </c>
      <c r="M1484" s="25">
        <f t="shared" si="190"/>
        <v>0.13484608930152747</v>
      </c>
      <c r="N1484" s="25">
        <f t="shared" si="185"/>
        <v>0.13484608930152747</v>
      </c>
      <c r="O1484" s="25">
        <f t="shared" si="186"/>
        <v>-2.0036212301763716</v>
      </c>
      <c r="P1484" s="25">
        <f t="shared" si="187"/>
        <v>0</v>
      </c>
      <c r="Q1484" s="25">
        <f t="shared" si="191"/>
        <v>540.7558610486002</v>
      </c>
      <c r="R1484" s="25">
        <f t="shared" si="188"/>
        <v>6</v>
      </c>
      <c r="S1484" s="26">
        <f t="shared" si="189"/>
        <v>11</v>
      </c>
    </row>
    <row r="1485" spans="2:19" x14ac:dyDescent="0.3">
      <c r="B1485" s="24">
        <v>453027</v>
      </c>
      <c r="C1485" s="25">
        <v>20</v>
      </c>
      <c r="D1485" s="25">
        <v>2</v>
      </c>
      <c r="E1485" s="25">
        <v>0</v>
      </c>
      <c r="F1485" s="25">
        <v>0</v>
      </c>
      <c r="G1485" s="25">
        <v>46</v>
      </c>
      <c r="H1485" s="25">
        <v>12.1</v>
      </c>
      <c r="I1485" s="25">
        <v>0.95</v>
      </c>
      <c r="J1485" s="25">
        <v>4.6100000000000003</v>
      </c>
      <c r="K1485" s="26">
        <v>1</v>
      </c>
      <c r="L1485" s="25">
        <f t="shared" si="184"/>
        <v>0.84131527238692816</v>
      </c>
      <c r="M1485" s="25">
        <f t="shared" si="190"/>
        <v>0.69874215523820882</v>
      </c>
      <c r="N1485" s="25">
        <f t="shared" si="185"/>
        <v>0.69874215523820882</v>
      </c>
      <c r="O1485" s="25">
        <f t="shared" si="186"/>
        <v>-0.35847348142635588</v>
      </c>
      <c r="P1485" s="25">
        <f t="shared" si="187"/>
        <v>1</v>
      </c>
      <c r="Q1485" s="25">
        <f t="shared" si="191"/>
        <v>462.84777326207478</v>
      </c>
      <c r="R1485" s="25">
        <f t="shared" si="188"/>
        <v>8</v>
      </c>
      <c r="S1485" s="26">
        <f t="shared" si="189"/>
        <v>16</v>
      </c>
    </row>
    <row r="1486" spans="2:19" x14ac:dyDescent="0.3">
      <c r="B1486" s="24">
        <v>453082</v>
      </c>
      <c r="C1486" s="25">
        <v>20</v>
      </c>
      <c r="D1486" s="25">
        <v>3</v>
      </c>
      <c r="E1486" s="25">
        <v>0</v>
      </c>
      <c r="F1486" s="25">
        <v>0</v>
      </c>
      <c r="G1486" s="25">
        <v>13</v>
      </c>
      <c r="H1486" s="25">
        <v>17.8</v>
      </c>
      <c r="I1486" s="25">
        <v>0.81</v>
      </c>
      <c r="J1486" s="25">
        <v>1.5</v>
      </c>
      <c r="K1486" s="26">
        <v>0</v>
      </c>
      <c r="L1486" s="25">
        <f t="shared" si="184"/>
        <v>1.2039422162738491</v>
      </c>
      <c r="M1486" s="25">
        <f t="shared" si="190"/>
        <v>0.7692253393543218</v>
      </c>
      <c r="N1486" s="25">
        <f t="shared" si="185"/>
        <v>0.2307746606456782</v>
      </c>
      <c r="O1486" s="25">
        <f t="shared" si="186"/>
        <v>-1.466313539605635</v>
      </c>
      <c r="P1486" s="25">
        <f t="shared" si="187"/>
        <v>1</v>
      </c>
      <c r="Q1486" s="25">
        <f t="shared" si="191"/>
        <v>452.38457168585597</v>
      </c>
      <c r="R1486" s="25">
        <f t="shared" si="188"/>
        <v>8</v>
      </c>
      <c r="S1486" s="26">
        <f t="shared" si="189"/>
        <v>16</v>
      </c>
    </row>
    <row r="1487" spans="2:19" x14ac:dyDescent="0.3">
      <c r="B1487" s="24">
        <v>453106</v>
      </c>
      <c r="C1487" s="25">
        <v>18</v>
      </c>
      <c r="D1487" s="25">
        <v>2</v>
      </c>
      <c r="E1487" s="25">
        <v>0</v>
      </c>
      <c r="F1487" s="25">
        <v>0</v>
      </c>
      <c r="G1487" s="25">
        <v>26</v>
      </c>
      <c r="H1487" s="25">
        <v>7.3</v>
      </c>
      <c r="I1487" s="25">
        <v>0.64</v>
      </c>
      <c r="J1487" s="25">
        <v>1.26</v>
      </c>
      <c r="K1487" s="26">
        <v>0</v>
      </c>
      <c r="L1487" s="25">
        <f t="shared" si="184"/>
        <v>0.17081372497014452</v>
      </c>
      <c r="M1487" s="25">
        <f t="shared" si="190"/>
        <v>0.54259990229790622</v>
      </c>
      <c r="N1487" s="25">
        <f t="shared" si="185"/>
        <v>0.45740009770209378</v>
      </c>
      <c r="O1487" s="25">
        <f t="shared" si="186"/>
        <v>-0.78219678379030078</v>
      </c>
      <c r="P1487" s="25">
        <f t="shared" si="187"/>
        <v>1</v>
      </c>
      <c r="Q1487" s="25">
        <f t="shared" si="191"/>
        <v>482.19435786108392</v>
      </c>
      <c r="R1487" s="25">
        <f t="shared" si="188"/>
        <v>7</v>
      </c>
      <c r="S1487" s="26">
        <f t="shared" si="189"/>
        <v>15</v>
      </c>
    </row>
    <row r="1488" spans="2:19" x14ac:dyDescent="0.3">
      <c r="B1488" s="24">
        <v>453108</v>
      </c>
      <c r="C1488" s="25">
        <v>20</v>
      </c>
      <c r="D1488" s="25">
        <v>3</v>
      </c>
      <c r="E1488" s="25">
        <v>0</v>
      </c>
      <c r="F1488" s="25">
        <v>0</v>
      </c>
      <c r="G1488" s="25">
        <v>21</v>
      </c>
      <c r="H1488" s="25">
        <v>9.3000000000000007</v>
      </c>
      <c r="I1488" s="25">
        <v>0.35</v>
      </c>
      <c r="J1488" s="25">
        <v>1.6</v>
      </c>
      <c r="K1488" s="26">
        <v>1</v>
      </c>
      <c r="L1488" s="25">
        <f t="shared" si="184"/>
        <v>0.14350528639613019</v>
      </c>
      <c r="M1488" s="25">
        <f t="shared" si="190"/>
        <v>0.53581487907790804</v>
      </c>
      <c r="N1488" s="25">
        <f t="shared" si="185"/>
        <v>0.53581487907790804</v>
      </c>
      <c r="O1488" s="25">
        <f t="shared" si="186"/>
        <v>-0.62396655242161547</v>
      </c>
      <c r="P1488" s="25">
        <f t="shared" si="187"/>
        <v>1</v>
      </c>
      <c r="Q1488" s="25">
        <f t="shared" si="191"/>
        <v>482.98231281685469</v>
      </c>
      <c r="R1488" s="25">
        <f t="shared" si="188"/>
        <v>7</v>
      </c>
      <c r="S1488" s="26">
        <f t="shared" si="189"/>
        <v>15</v>
      </c>
    </row>
    <row r="1489" spans="2:19" x14ac:dyDescent="0.3">
      <c r="B1489" s="24">
        <v>453122</v>
      </c>
      <c r="C1489" s="25">
        <v>19</v>
      </c>
      <c r="D1489" s="25">
        <v>2</v>
      </c>
      <c r="E1489" s="25">
        <v>0</v>
      </c>
      <c r="F1489" s="25">
        <v>0</v>
      </c>
      <c r="G1489" s="25">
        <v>34</v>
      </c>
      <c r="H1489" s="25">
        <v>19.3</v>
      </c>
      <c r="I1489" s="25">
        <v>2.2000000000000002</v>
      </c>
      <c r="J1489" s="25">
        <v>4.3600000000000003</v>
      </c>
      <c r="K1489" s="26">
        <v>1</v>
      </c>
      <c r="L1489" s="25">
        <f t="shared" si="184"/>
        <v>2.1634323148732149</v>
      </c>
      <c r="M1489" s="25">
        <f t="shared" si="190"/>
        <v>0.89691732144656111</v>
      </c>
      <c r="N1489" s="25">
        <f t="shared" si="185"/>
        <v>0.89691732144656111</v>
      </c>
      <c r="O1489" s="25">
        <f t="shared" si="186"/>
        <v>-0.10879159347184626</v>
      </c>
      <c r="P1489" s="25">
        <f t="shared" si="187"/>
        <v>1</v>
      </c>
      <c r="Q1489" s="25">
        <f t="shared" si="191"/>
        <v>424.69954032987971</v>
      </c>
      <c r="R1489" s="25">
        <f t="shared" si="188"/>
        <v>8</v>
      </c>
      <c r="S1489" s="26">
        <f t="shared" si="189"/>
        <v>16</v>
      </c>
    </row>
    <row r="1490" spans="2:19" x14ac:dyDescent="0.3">
      <c r="B1490" s="24">
        <v>453134</v>
      </c>
      <c r="C1490" s="25">
        <v>30</v>
      </c>
      <c r="D1490" s="25">
        <v>2</v>
      </c>
      <c r="E1490" s="25">
        <v>1</v>
      </c>
      <c r="F1490" s="25">
        <v>3</v>
      </c>
      <c r="G1490" s="25">
        <v>39</v>
      </c>
      <c r="H1490" s="25">
        <v>1</v>
      </c>
      <c r="I1490" s="25">
        <v>0.14000000000000001</v>
      </c>
      <c r="J1490" s="25">
        <v>0.25</v>
      </c>
      <c r="K1490" s="26">
        <v>0</v>
      </c>
      <c r="L1490" s="25">
        <f t="shared" si="184"/>
        <v>-1.2993740770095263</v>
      </c>
      <c r="M1490" s="25">
        <f t="shared" si="190"/>
        <v>0.21427037761847828</v>
      </c>
      <c r="N1490" s="25">
        <f t="shared" si="185"/>
        <v>0.78572962238152178</v>
      </c>
      <c r="O1490" s="25">
        <f t="shared" si="186"/>
        <v>-0.24114253761272489</v>
      </c>
      <c r="P1490" s="25">
        <f t="shared" si="187"/>
        <v>0</v>
      </c>
      <c r="Q1490" s="25">
        <f t="shared" si="191"/>
        <v>524.61500968062512</v>
      </c>
      <c r="R1490" s="25">
        <f t="shared" si="188"/>
        <v>6</v>
      </c>
      <c r="S1490" s="26">
        <f t="shared" si="189"/>
        <v>13</v>
      </c>
    </row>
    <row r="1491" spans="2:19" x14ac:dyDescent="0.3">
      <c r="B1491" s="24">
        <v>453255</v>
      </c>
      <c r="C1491" s="25">
        <v>34</v>
      </c>
      <c r="D1491" s="25">
        <v>2</v>
      </c>
      <c r="E1491" s="25">
        <v>10</v>
      </c>
      <c r="F1491" s="25">
        <v>6</v>
      </c>
      <c r="G1491" s="25">
        <v>59</v>
      </c>
      <c r="H1491" s="25">
        <v>18.600000000000001</v>
      </c>
      <c r="I1491" s="25">
        <v>3.56</v>
      </c>
      <c r="J1491" s="25">
        <v>7.42</v>
      </c>
      <c r="K1491" s="26">
        <v>1</v>
      </c>
      <c r="L1491" s="25">
        <f t="shared" si="184"/>
        <v>3.8543658649341339E-2</v>
      </c>
      <c r="M1491" s="25">
        <f t="shared" si="190"/>
        <v>0.50963472190235948</v>
      </c>
      <c r="N1491" s="25">
        <f t="shared" si="185"/>
        <v>0.50963472190235948</v>
      </c>
      <c r="O1491" s="25">
        <f t="shared" si="186"/>
        <v>-0.6740610414441317</v>
      </c>
      <c r="P1491" s="25">
        <f t="shared" si="187"/>
        <v>1</v>
      </c>
      <c r="Q1491" s="25">
        <f t="shared" si="191"/>
        <v>486.01086512769774</v>
      </c>
      <c r="R1491" s="25">
        <f t="shared" si="188"/>
        <v>7</v>
      </c>
      <c r="S1491" s="26">
        <f t="shared" si="189"/>
        <v>15</v>
      </c>
    </row>
    <row r="1492" spans="2:19" x14ac:dyDescent="0.3">
      <c r="B1492" s="24">
        <v>453374</v>
      </c>
      <c r="C1492" s="25">
        <v>41</v>
      </c>
      <c r="D1492" s="25">
        <v>1</v>
      </c>
      <c r="E1492" s="25">
        <v>15</v>
      </c>
      <c r="F1492" s="25">
        <v>12</v>
      </c>
      <c r="G1492" s="25">
        <v>55</v>
      </c>
      <c r="H1492" s="25">
        <v>12.2</v>
      </c>
      <c r="I1492" s="25">
        <v>4.13</v>
      </c>
      <c r="J1492" s="25">
        <v>2.58</v>
      </c>
      <c r="K1492" s="26">
        <v>0</v>
      </c>
      <c r="L1492" s="25">
        <f t="shared" si="184"/>
        <v>-1.8760605337429137</v>
      </c>
      <c r="M1492" s="25">
        <f t="shared" si="190"/>
        <v>0.13284202441373666</v>
      </c>
      <c r="N1492" s="25">
        <f t="shared" si="185"/>
        <v>0.86715797558626329</v>
      </c>
      <c r="O1492" s="25">
        <f t="shared" si="186"/>
        <v>-0.14253410935766256</v>
      </c>
      <c r="P1492" s="25">
        <f t="shared" si="187"/>
        <v>0</v>
      </c>
      <c r="Q1492" s="25">
        <f t="shared" si="191"/>
        <v>541.2546630345646</v>
      </c>
      <c r="R1492" s="25">
        <f t="shared" si="188"/>
        <v>6</v>
      </c>
      <c r="S1492" s="26">
        <f t="shared" si="189"/>
        <v>11</v>
      </c>
    </row>
    <row r="1493" spans="2:19" x14ac:dyDescent="0.3">
      <c r="B1493" s="24">
        <v>453376</v>
      </c>
      <c r="C1493" s="25">
        <v>20</v>
      </c>
      <c r="D1493" s="25">
        <v>1</v>
      </c>
      <c r="E1493" s="25">
        <v>3</v>
      </c>
      <c r="F1493" s="25">
        <v>0</v>
      </c>
      <c r="G1493" s="25">
        <v>24</v>
      </c>
      <c r="H1493" s="25">
        <v>16.3</v>
      </c>
      <c r="I1493" s="25">
        <v>1.31</v>
      </c>
      <c r="J1493" s="25">
        <v>2.61</v>
      </c>
      <c r="K1493" s="26">
        <v>1</v>
      </c>
      <c r="L1493" s="25">
        <f t="shared" si="184"/>
        <v>0.74982287890663235</v>
      </c>
      <c r="M1493" s="25">
        <f t="shared" si="190"/>
        <v>0.67914010415109516</v>
      </c>
      <c r="N1493" s="25">
        <f t="shared" si="185"/>
        <v>0.67914010415109516</v>
      </c>
      <c r="O1493" s="25">
        <f t="shared" si="186"/>
        <v>-0.38692783375243789</v>
      </c>
      <c r="P1493" s="25">
        <f t="shared" si="187"/>
        <v>1</v>
      </c>
      <c r="Q1493" s="25">
        <f t="shared" si="191"/>
        <v>465.48768563431588</v>
      </c>
      <c r="R1493" s="25">
        <f t="shared" si="188"/>
        <v>8</v>
      </c>
      <c r="S1493" s="26">
        <f t="shared" si="189"/>
        <v>15</v>
      </c>
    </row>
    <row r="1494" spans="2:19" x14ac:dyDescent="0.3">
      <c r="B1494" s="24">
        <v>453379</v>
      </c>
      <c r="C1494" s="25">
        <v>30</v>
      </c>
      <c r="D1494" s="25">
        <v>3</v>
      </c>
      <c r="E1494" s="25">
        <v>8</v>
      </c>
      <c r="F1494" s="25">
        <v>2</v>
      </c>
      <c r="G1494" s="25">
        <v>28</v>
      </c>
      <c r="H1494" s="25">
        <v>15.8</v>
      </c>
      <c r="I1494" s="25">
        <v>1.53</v>
      </c>
      <c r="J1494" s="25">
        <v>2.9</v>
      </c>
      <c r="K1494" s="26">
        <v>0</v>
      </c>
      <c r="L1494" s="25">
        <f t="shared" si="184"/>
        <v>-0.70679769095977929</v>
      </c>
      <c r="M1494" s="25">
        <f t="shared" si="190"/>
        <v>0.33030681915071131</v>
      </c>
      <c r="N1494" s="25">
        <f t="shared" si="185"/>
        <v>0.66969318084928875</v>
      </c>
      <c r="O1494" s="25">
        <f t="shared" si="186"/>
        <v>-0.40093561051413784</v>
      </c>
      <c r="P1494" s="25">
        <f t="shared" si="187"/>
        <v>0</v>
      </c>
      <c r="Q1494" s="25">
        <f t="shared" si="191"/>
        <v>507.51686989518436</v>
      </c>
      <c r="R1494" s="25">
        <f t="shared" si="188"/>
        <v>7</v>
      </c>
      <c r="S1494" s="26">
        <f t="shared" si="189"/>
        <v>14</v>
      </c>
    </row>
    <row r="1495" spans="2:19" x14ac:dyDescent="0.3">
      <c r="B1495" s="24">
        <v>453388</v>
      </c>
      <c r="C1495" s="25">
        <v>25</v>
      </c>
      <c r="D1495" s="25">
        <v>5</v>
      </c>
      <c r="E1495" s="25">
        <v>0</v>
      </c>
      <c r="F1495" s="25">
        <v>1</v>
      </c>
      <c r="G1495" s="25">
        <v>130</v>
      </c>
      <c r="H1495" s="25">
        <v>5.8</v>
      </c>
      <c r="I1495" s="25">
        <v>1.24</v>
      </c>
      <c r="J1495" s="25">
        <v>6.3</v>
      </c>
      <c r="K1495" s="26">
        <v>1</v>
      </c>
      <c r="L1495" s="25">
        <f t="shared" si="184"/>
        <v>0.1112765327148601</v>
      </c>
      <c r="M1495" s="25">
        <f t="shared" si="190"/>
        <v>0.52779046288815645</v>
      </c>
      <c r="N1495" s="25">
        <f t="shared" si="185"/>
        <v>0.52779046288815645</v>
      </c>
      <c r="O1495" s="25">
        <f t="shared" si="186"/>
        <v>-0.63905592463252359</v>
      </c>
      <c r="P1495" s="25">
        <f t="shared" si="187"/>
        <v>1</v>
      </c>
      <c r="Q1495" s="25">
        <f t="shared" si="191"/>
        <v>483.91223805269868</v>
      </c>
      <c r="R1495" s="25">
        <f t="shared" si="188"/>
        <v>7</v>
      </c>
      <c r="S1495" s="26">
        <f t="shared" si="189"/>
        <v>15</v>
      </c>
    </row>
    <row r="1496" spans="2:19" x14ac:dyDescent="0.3">
      <c r="B1496" s="24">
        <v>453405</v>
      </c>
      <c r="C1496" s="25">
        <v>18</v>
      </c>
      <c r="D1496" s="25">
        <v>2</v>
      </c>
      <c r="E1496" s="25">
        <v>0</v>
      </c>
      <c r="F1496" s="25">
        <v>0</v>
      </c>
      <c r="G1496" s="25">
        <v>23</v>
      </c>
      <c r="H1496" s="25">
        <v>10</v>
      </c>
      <c r="I1496" s="25">
        <v>1.1200000000000001</v>
      </c>
      <c r="J1496" s="25">
        <v>1.18</v>
      </c>
      <c r="K1496" s="26">
        <v>0</v>
      </c>
      <c r="L1496" s="25">
        <f t="shared" si="184"/>
        <v>0.66451436539068243</v>
      </c>
      <c r="M1496" s="25">
        <f t="shared" si="190"/>
        <v>0.66027374773080527</v>
      </c>
      <c r="N1496" s="25">
        <f t="shared" si="185"/>
        <v>0.33972625226919473</v>
      </c>
      <c r="O1496" s="25">
        <f t="shared" si="186"/>
        <v>-1.0796151260562536</v>
      </c>
      <c r="P1496" s="25">
        <f t="shared" si="187"/>
        <v>1</v>
      </c>
      <c r="Q1496" s="25">
        <f t="shared" si="191"/>
        <v>467.94916895245376</v>
      </c>
      <c r="R1496" s="25">
        <f t="shared" si="188"/>
        <v>7</v>
      </c>
      <c r="S1496" s="26">
        <f t="shared" si="189"/>
        <v>15</v>
      </c>
    </row>
    <row r="1497" spans="2:19" x14ac:dyDescent="0.3">
      <c r="B1497" s="24">
        <v>453434</v>
      </c>
      <c r="C1497" s="25">
        <v>27</v>
      </c>
      <c r="D1497" s="25">
        <v>3</v>
      </c>
      <c r="E1497" s="25">
        <v>0</v>
      </c>
      <c r="F1497" s="25">
        <v>3</v>
      </c>
      <c r="G1497" s="25">
        <v>63</v>
      </c>
      <c r="H1497" s="25">
        <v>1</v>
      </c>
      <c r="I1497" s="25">
        <v>0.32</v>
      </c>
      <c r="J1497" s="25">
        <v>0.32</v>
      </c>
      <c r="K1497" s="26">
        <v>0</v>
      </c>
      <c r="L1497" s="25">
        <f t="shared" si="184"/>
        <v>-0.9694217089965862</v>
      </c>
      <c r="M1497" s="25">
        <f t="shared" si="190"/>
        <v>0.27499578287825382</v>
      </c>
      <c r="N1497" s="25">
        <f t="shared" si="185"/>
        <v>0.72500421712174612</v>
      </c>
      <c r="O1497" s="25">
        <f t="shared" si="186"/>
        <v>-0.32157780742472952</v>
      </c>
      <c r="P1497" s="25">
        <f t="shared" si="187"/>
        <v>0</v>
      </c>
      <c r="Q1497" s="25">
        <f t="shared" si="191"/>
        <v>515.09459704921665</v>
      </c>
      <c r="R1497" s="25">
        <f t="shared" si="188"/>
        <v>7</v>
      </c>
      <c r="S1497" s="26">
        <f t="shared" si="189"/>
        <v>13</v>
      </c>
    </row>
    <row r="1498" spans="2:19" x14ac:dyDescent="0.3">
      <c r="B1498" s="24">
        <v>453461</v>
      </c>
      <c r="C1498" s="25">
        <v>31</v>
      </c>
      <c r="D1498" s="25">
        <v>2</v>
      </c>
      <c r="E1498" s="25">
        <v>3</v>
      </c>
      <c r="F1498" s="25">
        <v>6</v>
      </c>
      <c r="G1498" s="25">
        <v>24</v>
      </c>
      <c r="H1498" s="25">
        <v>12.9</v>
      </c>
      <c r="I1498" s="25">
        <v>0.74</v>
      </c>
      <c r="J1498" s="25">
        <v>2.36</v>
      </c>
      <c r="K1498" s="26">
        <v>1</v>
      </c>
      <c r="L1498" s="25">
        <f t="shared" si="184"/>
        <v>-0.35169114817013736</v>
      </c>
      <c r="M1498" s="25">
        <f t="shared" si="190"/>
        <v>0.41297238221832849</v>
      </c>
      <c r="N1498" s="25">
        <f t="shared" si="185"/>
        <v>0.41297238221832849</v>
      </c>
      <c r="O1498" s="25">
        <f t="shared" si="186"/>
        <v>-0.88437455939914056</v>
      </c>
      <c r="P1498" s="25">
        <f t="shared" si="187"/>
        <v>1</v>
      </c>
      <c r="Q1498" s="25">
        <f t="shared" si="191"/>
        <v>497.2706612201863</v>
      </c>
      <c r="R1498" s="25">
        <f t="shared" si="188"/>
        <v>7</v>
      </c>
      <c r="S1498" s="26">
        <f t="shared" si="189"/>
        <v>14</v>
      </c>
    </row>
    <row r="1499" spans="2:19" x14ac:dyDescent="0.3">
      <c r="B1499" s="24">
        <v>453471</v>
      </c>
      <c r="C1499" s="25">
        <v>34</v>
      </c>
      <c r="D1499" s="25">
        <v>3</v>
      </c>
      <c r="E1499" s="25">
        <v>8</v>
      </c>
      <c r="F1499" s="25">
        <v>4</v>
      </c>
      <c r="G1499" s="25">
        <v>83</v>
      </c>
      <c r="H1499" s="25">
        <v>11</v>
      </c>
      <c r="I1499" s="25">
        <v>1.85</v>
      </c>
      <c r="J1499" s="25">
        <v>7.28</v>
      </c>
      <c r="K1499" s="26">
        <v>0</v>
      </c>
      <c r="L1499" s="25">
        <f t="shared" si="184"/>
        <v>-1.0626737785711093</v>
      </c>
      <c r="M1499" s="25">
        <f t="shared" si="190"/>
        <v>0.25679882379155178</v>
      </c>
      <c r="N1499" s="25">
        <f t="shared" si="185"/>
        <v>0.74320117620844828</v>
      </c>
      <c r="O1499" s="25">
        <f t="shared" si="186"/>
        <v>-0.2967885088566774</v>
      </c>
      <c r="P1499" s="25">
        <f t="shared" si="187"/>
        <v>0</v>
      </c>
      <c r="Q1499" s="25">
        <f t="shared" si="191"/>
        <v>517.78528293951297</v>
      </c>
      <c r="R1499" s="25">
        <f t="shared" si="188"/>
        <v>6</v>
      </c>
      <c r="S1499" s="26">
        <f t="shared" si="189"/>
        <v>13</v>
      </c>
    </row>
    <row r="1500" spans="2:19" x14ac:dyDescent="0.3">
      <c r="B1500" s="24">
        <v>453578</v>
      </c>
      <c r="C1500" s="25">
        <v>37</v>
      </c>
      <c r="D1500" s="25">
        <v>2</v>
      </c>
      <c r="E1500" s="25">
        <v>10</v>
      </c>
      <c r="F1500" s="25">
        <v>8</v>
      </c>
      <c r="G1500" s="25">
        <v>43</v>
      </c>
      <c r="H1500" s="25">
        <v>3.6</v>
      </c>
      <c r="I1500" s="25">
        <v>0.81</v>
      </c>
      <c r="J1500" s="25">
        <v>0.74</v>
      </c>
      <c r="K1500" s="26">
        <v>0</v>
      </c>
      <c r="L1500" s="25">
        <f t="shared" si="184"/>
        <v>-3.060020805761043</v>
      </c>
      <c r="M1500" s="25">
        <f t="shared" si="190"/>
        <v>4.4786812951043482E-2</v>
      </c>
      <c r="N1500" s="25">
        <f t="shared" si="185"/>
        <v>0.95521318704895652</v>
      </c>
      <c r="O1500" s="25">
        <f t="shared" si="186"/>
        <v>-4.5820730902080171E-2</v>
      </c>
      <c r="P1500" s="25">
        <f t="shared" si="187"/>
        <v>0</v>
      </c>
      <c r="Q1500" s="25">
        <f t="shared" si="191"/>
        <v>575.41653432734859</v>
      </c>
      <c r="R1500" s="25">
        <f t="shared" si="188"/>
        <v>5</v>
      </c>
      <c r="S1500" s="26">
        <f t="shared" si="189"/>
        <v>9</v>
      </c>
    </row>
    <row r="1501" spans="2:19" x14ac:dyDescent="0.3">
      <c r="B1501" s="24">
        <v>453686</v>
      </c>
      <c r="C1501" s="25">
        <v>25</v>
      </c>
      <c r="D1501" s="25">
        <v>5</v>
      </c>
      <c r="E1501" s="25">
        <v>0</v>
      </c>
      <c r="F1501" s="25">
        <v>3</v>
      </c>
      <c r="G1501" s="25">
        <v>16</v>
      </c>
      <c r="H1501" s="25">
        <v>3.2</v>
      </c>
      <c r="I1501" s="25">
        <v>0.28999999999999998</v>
      </c>
      <c r="J1501" s="25">
        <v>0.22</v>
      </c>
      <c r="K1501" s="26">
        <v>0</v>
      </c>
      <c r="L1501" s="25">
        <f t="shared" si="184"/>
        <v>-0.84099818902117496</v>
      </c>
      <c r="M1501" s="25">
        <f t="shared" si="190"/>
        <v>0.30132459550950691</v>
      </c>
      <c r="N1501" s="25">
        <f t="shared" si="185"/>
        <v>0.69867540449049303</v>
      </c>
      <c r="O1501" s="25">
        <f t="shared" si="186"/>
        <v>-0.35856901586028628</v>
      </c>
      <c r="P1501" s="25">
        <f t="shared" si="187"/>
        <v>0</v>
      </c>
      <c r="Q1501" s="25">
        <f t="shared" si="191"/>
        <v>511.38907764619807</v>
      </c>
      <c r="R1501" s="25">
        <f t="shared" si="188"/>
        <v>7</v>
      </c>
      <c r="S1501" s="26">
        <f t="shared" si="189"/>
        <v>13</v>
      </c>
    </row>
    <row r="1502" spans="2:19" x14ac:dyDescent="0.3">
      <c r="B1502" s="24">
        <v>453698</v>
      </c>
      <c r="C1502" s="25">
        <v>34</v>
      </c>
      <c r="D1502" s="25">
        <v>1</v>
      </c>
      <c r="E1502" s="25">
        <v>10</v>
      </c>
      <c r="F1502" s="25">
        <v>8</v>
      </c>
      <c r="G1502" s="25">
        <v>41</v>
      </c>
      <c r="H1502" s="25">
        <v>14.5</v>
      </c>
      <c r="I1502" s="25">
        <v>1.19</v>
      </c>
      <c r="J1502" s="25">
        <v>4.75</v>
      </c>
      <c r="K1502" s="26">
        <v>0</v>
      </c>
      <c r="L1502" s="25">
        <f t="shared" si="184"/>
        <v>-1.5754999351995975</v>
      </c>
      <c r="M1502" s="25">
        <f t="shared" si="190"/>
        <v>0.17143374540660525</v>
      </c>
      <c r="N1502" s="25">
        <f t="shared" si="185"/>
        <v>0.82856625459339472</v>
      </c>
      <c r="O1502" s="25">
        <f t="shared" si="186"/>
        <v>-0.18805847597868411</v>
      </c>
      <c r="P1502" s="25">
        <f t="shared" si="187"/>
        <v>0</v>
      </c>
      <c r="Q1502" s="25">
        <f t="shared" si="191"/>
        <v>532.58231758025568</v>
      </c>
      <c r="R1502" s="25">
        <f t="shared" si="188"/>
        <v>6</v>
      </c>
      <c r="S1502" s="26">
        <f t="shared" si="189"/>
        <v>12</v>
      </c>
    </row>
    <row r="1503" spans="2:19" ht="15" thickBot="1" x14ac:dyDescent="0.35">
      <c r="B1503" s="22">
        <v>453777</v>
      </c>
      <c r="C1503" s="27">
        <v>27</v>
      </c>
      <c r="D1503" s="27">
        <v>1</v>
      </c>
      <c r="E1503" s="27">
        <v>2</v>
      </c>
      <c r="F1503" s="27">
        <v>2</v>
      </c>
      <c r="G1503" s="27">
        <v>24</v>
      </c>
      <c r="H1503" s="27">
        <v>5.8</v>
      </c>
      <c r="I1503" s="27">
        <v>0.56000000000000005</v>
      </c>
      <c r="J1503" s="27">
        <v>0.84</v>
      </c>
      <c r="K1503" s="28">
        <v>0</v>
      </c>
      <c r="L1503" s="27">
        <f t="shared" si="184"/>
        <v>-0.68613765244215463</v>
      </c>
      <c r="M1503" s="27">
        <f t="shared" si="190"/>
        <v>0.33489282174278745</v>
      </c>
      <c r="N1503" s="27">
        <f t="shared" si="185"/>
        <v>0.66510717825721255</v>
      </c>
      <c r="O1503" s="27">
        <f t="shared" si="186"/>
        <v>-0.40780708100122443</v>
      </c>
      <c r="P1503" s="27">
        <f t="shared" si="187"/>
        <v>0</v>
      </c>
      <c r="Q1503" s="27">
        <f t="shared" si="191"/>
        <v>506.92074720980065</v>
      </c>
      <c r="R1503" s="27">
        <f t="shared" si="188"/>
        <v>7</v>
      </c>
      <c r="S1503" s="26">
        <f t="shared" si="189"/>
        <v>14</v>
      </c>
    </row>
  </sheetData>
  <autoFilter ref="B3:S1503" xr:uid="{00000000-0001-0000-0100-000000000000}"/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G1502"/>
  <sheetViews>
    <sheetView topLeftCell="P2" zoomScale="80" zoomScaleNormal="160" workbookViewId="0">
      <selection activeCell="AM2" sqref="AM2"/>
    </sheetView>
  </sheetViews>
  <sheetFormatPr defaultRowHeight="14.4" x14ac:dyDescent="0.3"/>
  <cols>
    <col min="5" max="5" width="9.6640625" customWidth="1"/>
    <col min="8" max="8" width="12.5546875" bestFit="1" customWidth="1"/>
    <col min="9" max="9" width="11.21875" bestFit="1" customWidth="1"/>
    <col min="21" max="21" width="8.88671875" customWidth="1"/>
    <col min="22" max="22" width="8.77734375" customWidth="1"/>
    <col min="23" max="23" width="19.109375" bestFit="1" customWidth="1"/>
    <col min="26" max="26" width="10" bestFit="1" customWidth="1"/>
    <col min="27" max="27" width="16.88671875" bestFit="1" customWidth="1"/>
    <col min="28" max="28" width="12.109375" bestFit="1" customWidth="1"/>
    <col min="29" max="29" width="7" bestFit="1" customWidth="1"/>
    <col min="30" max="30" width="16.21875" bestFit="1" customWidth="1"/>
    <col min="31" max="31" width="18.44140625" bestFit="1" customWidth="1"/>
    <col min="32" max="32" width="12.88671875" customWidth="1"/>
  </cols>
  <sheetData>
    <row r="1" spans="2:33" ht="15" thickBot="1" x14ac:dyDescent="0.35"/>
    <row r="2" spans="2:33" ht="20.399999999999999" thickBot="1" x14ac:dyDescent="0.35">
      <c r="B2" s="29" t="s">
        <v>9</v>
      </c>
      <c r="C2" s="30" t="s">
        <v>13</v>
      </c>
      <c r="E2" s="51" t="s">
        <v>52</v>
      </c>
      <c r="F2" s="51" t="s">
        <v>53</v>
      </c>
      <c r="G2" s="39" t="s">
        <v>54</v>
      </c>
      <c r="W2" s="66" t="s">
        <v>117</v>
      </c>
      <c r="X2" s="91">
        <f>SUM(X8:X61)</f>
        <v>0.84190218058026123</v>
      </c>
      <c r="Z2" s="75" t="s">
        <v>109</v>
      </c>
      <c r="AB2" s="84" t="s">
        <v>116</v>
      </c>
      <c r="AC2" s="90">
        <f>SUM(AD8:AD61)</f>
        <v>0.71699391727493922</v>
      </c>
      <c r="AE2" s="75" t="s">
        <v>111</v>
      </c>
    </row>
    <row r="3" spans="2:33" ht="26.4" thickBot="1" x14ac:dyDescent="0.55000000000000004">
      <c r="B3" s="24">
        <f>MODEL!K4</f>
        <v>0</v>
      </c>
      <c r="C3" s="26">
        <f>MODEL!Q4</f>
        <v>471.30232767760992</v>
      </c>
      <c r="E3" s="80">
        <f>COUNTIFS($B$3:$B$1502,0)</f>
        <v>952</v>
      </c>
      <c r="F3" s="80">
        <f>G3-E3</f>
        <v>548</v>
      </c>
      <c r="G3" s="26">
        <f>COUNT(B3:B1502)</f>
        <v>1500</v>
      </c>
      <c r="L3" s="76" t="s">
        <v>110</v>
      </c>
      <c r="Z3" s="85">
        <f>2*X2-1</f>
        <v>0.68380436116052246</v>
      </c>
      <c r="AB3" s="67" t="s">
        <v>55</v>
      </c>
      <c r="AC3" s="53">
        <v>0.5</v>
      </c>
      <c r="AE3" s="85">
        <f>(AC2-AC3)/(AC4-AC3)</f>
        <v>0.68380436116052268</v>
      </c>
    </row>
    <row r="4" spans="2:33" ht="20.399999999999999" thickBot="1" x14ac:dyDescent="0.35">
      <c r="B4" s="24">
        <f>MODEL!K5</f>
        <v>0</v>
      </c>
      <c r="C4" s="26">
        <f>MODEL!Q5</f>
        <v>663.5014655861595</v>
      </c>
      <c r="E4" s="83">
        <f>E3/G3</f>
        <v>0.63466666666666671</v>
      </c>
      <c r="F4" s="83">
        <f>F3/G3</f>
        <v>0.36533333333333334</v>
      </c>
      <c r="G4" s="50"/>
      <c r="AB4" s="68" t="s">
        <v>56</v>
      </c>
      <c r="AC4" s="48">
        <f>1-(0.5*1*F4)</f>
        <v>0.81733333333333336</v>
      </c>
    </row>
    <row r="5" spans="2:33" ht="15" thickBot="1" x14ac:dyDescent="0.35">
      <c r="B5" s="24">
        <f>MODEL!K6</f>
        <v>0</v>
      </c>
      <c r="C5" s="26">
        <f>MODEL!Q6</f>
        <v>637.24240962346812</v>
      </c>
      <c r="L5" s="63" t="s">
        <v>99</v>
      </c>
      <c r="P5" s="63" t="s">
        <v>99</v>
      </c>
      <c r="AD5" s="81"/>
      <c r="AE5" s="82"/>
      <c r="AF5" s="82"/>
      <c r="AG5" s="82"/>
    </row>
    <row r="6" spans="2:33" ht="15" thickBot="1" x14ac:dyDescent="0.35">
      <c r="B6" s="24">
        <f>MODEL!K7</f>
        <v>0</v>
      </c>
      <c r="C6" s="26">
        <f>MODEL!Q7</f>
        <v>464.82262344465187</v>
      </c>
      <c r="E6" s="47" t="s">
        <v>94</v>
      </c>
      <c r="F6" s="46">
        <f>COUNT(E8:E61)</f>
        <v>54</v>
      </c>
      <c r="H6" s="49" t="s">
        <v>97</v>
      </c>
      <c r="I6" s="54"/>
      <c r="J6" s="50"/>
      <c r="L6" s="77" t="s">
        <v>97</v>
      </c>
      <c r="M6" s="78"/>
      <c r="N6" s="79"/>
      <c r="O6" s="25"/>
      <c r="P6" s="77" t="s">
        <v>98</v>
      </c>
      <c r="Q6" s="78"/>
      <c r="R6" s="79"/>
      <c r="S6" s="25"/>
      <c r="T6" s="25"/>
      <c r="U6" s="25"/>
      <c r="AA6" s="77" t="s">
        <v>114</v>
      </c>
      <c r="AB6" s="78"/>
      <c r="AC6" s="78"/>
      <c r="AD6" s="79"/>
      <c r="AE6" s="81"/>
      <c r="AF6" s="81"/>
      <c r="AG6" s="81"/>
    </row>
    <row r="7" spans="2:33" ht="15" thickBot="1" x14ac:dyDescent="0.35">
      <c r="B7" s="24">
        <f>MODEL!K8</f>
        <v>1</v>
      </c>
      <c r="C7" s="26">
        <f>MODEL!Q8</f>
        <v>451.47041604135802</v>
      </c>
      <c r="E7" s="37" t="s">
        <v>57</v>
      </c>
      <c r="F7" s="39" t="s">
        <v>13</v>
      </c>
      <c r="H7" s="51" t="s">
        <v>95</v>
      </c>
      <c r="I7" s="39" t="s">
        <v>96</v>
      </c>
      <c r="J7" s="39" t="s">
        <v>54</v>
      </c>
      <c r="K7" s="25"/>
      <c r="L7" s="51" t="s">
        <v>52</v>
      </c>
      <c r="M7" s="39" t="s">
        <v>53</v>
      </c>
      <c r="N7" s="39" t="s">
        <v>54</v>
      </c>
      <c r="O7" s="25"/>
      <c r="P7" s="57" t="s">
        <v>52</v>
      </c>
      <c r="Q7" s="52" t="s">
        <v>53</v>
      </c>
      <c r="R7" s="52" t="s">
        <v>54</v>
      </c>
      <c r="S7" s="25"/>
      <c r="T7" s="66" t="s">
        <v>105</v>
      </c>
      <c r="U7" s="25"/>
      <c r="V7" s="37" t="s">
        <v>106</v>
      </c>
      <c r="W7" s="39" t="s">
        <v>107</v>
      </c>
      <c r="X7" s="51" t="s">
        <v>108</v>
      </c>
      <c r="AA7" s="37" t="s">
        <v>112</v>
      </c>
      <c r="AB7" s="38" t="s">
        <v>113</v>
      </c>
      <c r="AC7" s="38" t="s">
        <v>115</v>
      </c>
      <c r="AD7" s="39" t="s">
        <v>118</v>
      </c>
    </row>
    <row r="8" spans="2:33" x14ac:dyDescent="0.3">
      <c r="B8" s="24">
        <f>MODEL!K9</f>
        <v>1</v>
      </c>
      <c r="C8" s="26">
        <f>MODEL!Q9</f>
        <v>490.10023068165458</v>
      </c>
      <c r="E8" s="20">
        <v>1</v>
      </c>
      <c r="F8" s="32">
        <v>60</v>
      </c>
      <c r="H8" s="24">
        <f>COUNTIFS($C$3:$C$1502,"&lt;="&amp;F8,$B$3:$B$1502,0)</f>
        <v>0</v>
      </c>
      <c r="I8" s="25">
        <f>COUNTIFS($C$3:$C$1502,"&lt;="&amp;F8,$B$3:$B$1502,1)</f>
        <v>1</v>
      </c>
      <c r="J8" s="26">
        <f>SUM(H8:I8)</f>
        <v>1</v>
      </c>
      <c r="K8" s="25"/>
      <c r="L8" s="33">
        <f>H8/$E$3</f>
        <v>0</v>
      </c>
      <c r="M8" s="34">
        <f>I8/$F$3</f>
        <v>1.8248175182481751E-3</v>
      </c>
      <c r="N8" s="53">
        <f>J8/$G$3</f>
        <v>6.6666666666666664E-4</v>
      </c>
      <c r="O8" s="34"/>
      <c r="P8" s="55">
        <f>H8/$E$3</f>
        <v>0</v>
      </c>
      <c r="Q8" s="56">
        <f>M8/$F$3</f>
        <v>3.329958974905429E-6</v>
      </c>
      <c r="R8" s="58">
        <f>N8/$F$3</f>
        <v>1.21654501216545E-6</v>
      </c>
      <c r="S8" s="34"/>
      <c r="T8" s="64">
        <f>M8-L8</f>
        <v>1.8248175182481751E-3</v>
      </c>
      <c r="U8" s="34"/>
      <c r="V8" s="71">
        <f>P8</f>
        <v>0</v>
      </c>
      <c r="W8" s="72">
        <f>M8</f>
        <v>1.8248175182481751E-3</v>
      </c>
      <c r="X8" s="69">
        <f>0.5*V8*W8</f>
        <v>0</v>
      </c>
      <c r="AA8" s="71">
        <f>N8</f>
        <v>6.6666666666666664E-4</v>
      </c>
      <c r="AB8" s="86">
        <f>M8</f>
        <v>1.8248175182481751E-3</v>
      </c>
      <c r="AC8" s="86">
        <f>AA8</f>
        <v>6.6666666666666664E-4</v>
      </c>
      <c r="AD8" s="88">
        <f>AC8*0.5*AB8</f>
        <v>6.0827250608272501E-7</v>
      </c>
    </row>
    <row r="9" spans="2:33" x14ac:dyDescent="0.3">
      <c r="B9" s="24">
        <f>MODEL!K10</f>
        <v>1</v>
      </c>
      <c r="C9" s="26">
        <f>MODEL!Q10</f>
        <v>486.324911826434</v>
      </c>
      <c r="E9" s="24">
        <v>2</v>
      </c>
      <c r="F9" s="26">
        <f>F8+15</f>
        <v>75</v>
      </c>
      <c r="H9" s="24">
        <f t="shared" ref="H9:H61" si="0">COUNTIFS($C$3:$C$1502,"&lt;="&amp;F9,$B$3:$B$1502,0)</f>
        <v>0</v>
      </c>
      <c r="I9" s="25">
        <f t="shared" ref="I9:I61" si="1">COUNTIFS($C$3:$C$1502,"&lt;="&amp;F9,$B$3:$B$1502,1)</f>
        <v>1</v>
      </c>
      <c r="J9" s="26">
        <f t="shared" ref="J9:J61" si="2">SUM(H9:I9)</f>
        <v>1</v>
      </c>
      <c r="K9" s="25"/>
      <c r="L9" s="33">
        <f t="shared" ref="L9:L61" si="3">H9/$E$3</f>
        <v>0</v>
      </c>
      <c r="M9" s="34">
        <f t="shared" ref="M9:M61" si="4">I9/$F$3</f>
        <v>1.8248175182481751E-3</v>
      </c>
      <c r="N9" s="53">
        <f t="shared" ref="N9:N61" si="5">J9/$G$3</f>
        <v>6.6666666666666664E-4</v>
      </c>
      <c r="O9" s="34"/>
      <c r="P9" s="33">
        <f>(H9-H8)/$E$3</f>
        <v>0</v>
      </c>
      <c r="Q9" s="34">
        <f>(I9-I8)/$E$3</f>
        <v>0</v>
      </c>
      <c r="R9" s="53">
        <f>(J9-J8)/$E$3</f>
        <v>0</v>
      </c>
      <c r="S9" s="34"/>
      <c r="T9" s="64">
        <f t="shared" ref="T9:T61" si="6">M9-L9</f>
        <v>1.8248175182481751E-3</v>
      </c>
      <c r="U9" s="34"/>
      <c r="V9" s="71">
        <f t="shared" ref="V9:V61" si="7">P9</f>
        <v>0</v>
      </c>
      <c r="W9" s="72">
        <f>M9+M8</f>
        <v>3.6496350364963502E-3</v>
      </c>
      <c r="X9" s="69">
        <f>0.5*V9*W9</f>
        <v>0</v>
      </c>
      <c r="AA9" s="71">
        <f t="shared" ref="AA9:AA61" si="8">N9</f>
        <v>6.6666666666666664E-4</v>
      </c>
      <c r="AB9" s="86">
        <f t="shared" ref="AB9:AB61" si="9">M9</f>
        <v>1.8248175182481751E-3</v>
      </c>
      <c r="AC9" s="86">
        <f>AA9-AA8</f>
        <v>0</v>
      </c>
      <c r="AD9" s="88">
        <f>0.5*AC9*(AB9+AB8)</f>
        <v>0</v>
      </c>
    </row>
    <row r="10" spans="2:33" x14ac:dyDescent="0.3">
      <c r="B10" s="24">
        <f>MODEL!K11</f>
        <v>0</v>
      </c>
      <c r="C10" s="26">
        <f>MODEL!Q11</f>
        <v>485.51028270556719</v>
      </c>
      <c r="E10" s="24">
        <v>3</v>
      </c>
      <c r="F10" s="26">
        <f t="shared" ref="F10:F61" si="10">F9+15</f>
        <v>90</v>
      </c>
      <c r="H10" s="24">
        <f t="shared" si="0"/>
        <v>0</v>
      </c>
      <c r="I10" s="25">
        <f t="shared" si="1"/>
        <v>1</v>
      </c>
      <c r="J10" s="26">
        <f t="shared" si="2"/>
        <v>1</v>
      </c>
      <c r="K10" s="25"/>
      <c r="L10" s="33">
        <f t="shared" si="3"/>
        <v>0</v>
      </c>
      <c r="M10" s="34">
        <f t="shared" si="4"/>
        <v>1.8248175182481751E-3</v>
      </c>
      <c r="N10" s="53">
        <f t="shared" si="5"/>
        <v>6.6666666666666664E-4</v>
      </c>
      <c r="O10" s="34"/>
      <c r="P10" s="33">
        <f>(H10-H9)/$E$3</f>
        <v>0</v>
      </c>
      <c r="Q10" s="34">
        <f t="shared" ref="Q10:Q61" si="11">(I10-I9)/$E$3</f>
        <v>0</v>
      </c>
      <c r="R10" s="53">
        <f t="shared" ref="R10:R61" si="12">(J10-J9)/$E$3</f>
        <v>0</v>
      </c>
      <c r="S10" s="34"/>
      <c r="T10" s="64">
        <f t="shared" si="6"/>
        <v>1.8248175182481751E-3</v>
      </c>
      <c r="U10" s="34"/>
      <c r="V10" s="71">
        <f t="shared" si="7"/>
        <v>0</v>
      </c>
      <c r="W10" s="72">
        <f t="shared" ref="W10:W61" si="13">M10+M9</f>
        <v>3.6496350364963502E-3</v>
      </c>
      <c r="X10" s="69">
        <f t="shared" ref="X10:X61" si="14">0.5*V10*W10</f>
        <v>0</v>
      </c>
      <c r="AA10" s="71">
        <f t="shared" si="8"/>
        <v>6.6666666666666664E-4</v>
      </c>
      <c r="AB10" s="86">
        <f t="shared" si="9"/>
        <v>1.8248175182481751E-3</v>
      </c>
      <c r="AC10" s="86">
        <f t="shared" ref="AC10:AC61" si="15">AA10-AA9</f>
        <v>0</v>
      </c>
      <c r="AD10" s="88">
        <f t="shared" ref="AD10:AD61" si="16">0.5*AC10*(AB10+AB9)</f>
        <v>0</v>
      </c>
    </row>
    <row r="11" spans="2:33" x14ac:dyDescent="0.3">
      <c r="B11" s="24">
        <f>MODEL!K12</f>
        <v>0</v>
      </c>
      <c r="C11" s="26">
        <f>MODEL!Q12</f>
        <v>681.92939144609159</v>
      </c>
      <c r="E11" s="24">
        <v>4</v>
      </c>
      <c r="F11" s="26">
        <f t="shared" si="10"/>
        <v>105</v>
      </c>
      <c r="H11" s="24">
        <f t="shared" si="0"/>
        <v>0</v>
      </c>
      <c r="I11" s="25">
        <f t="shared" si="1"/>
        <v>1</v>
      </c>
      <c r="J11" s="26">
        <f t="shared" si="2"/>
        <v>1</v>
      </c>
      <c r="K11" s="25"/>
      <c r="L11" s="33">
        <f t="shared" si="3"/>
        <v>0</v>
      </c>
      <c r="M11" s="34">
        <f t="shared" si="4"/>
        <v>1.8248175182481751E-3</v>
      </c>
      <c r="N11" s="53">
        <f t="shared" si="5"/>
        <v>6.6666666666666664E-4</v>
      </c>
      <c r="O11" s="34"/>
      <c r="P11" s="33">
        <f>(H11-H10)/$E$3</f>
        <v>0</v>
      </c>
      <c r="Q11" s="34">
        <f t="shared" si="11"/>
        <v>0</v>
      </c>
      <c r="R11" s="53">
        <f t="shared" si="12"/>
        <v>0</v>
      </c>
      <c r="S11" s="34"/>
      <c r="T11" s="64">
        <f t="shared" si="6"/>
        <v>1.8248175182481751E-3</v>
      </c>
      <c r="U11" s="34"/>
      <c r="V11" s="71">
        <f t="shared" si="7"/>
        <v>0</v>
      </c>
      <c r="W11" s="72">
        <f t="shared" si="13"/>
        <v>3.6496350364963502E-3</v>
      </c>
      <c r="X11" s="69">
        <f t="shared" si="14"/>
        <v>0</v>
      </c>
      <c r="AA11" s="71">
        <f t="shared" si="8"/>
        <v>6.6666666666666664E-4</v>
      </c>
      <c r="AB11" s="86">
        <f t="shared" si="9"/>
        <v>1.8248175182481751E-3</v>
      </c>
      <c r="AC11" s="86">
        <f t="shared" si="15"/>
        <v>0</v>
      </c>
      <c r="AD11" s="88">
        <f t="shared" si="16"/>
        <v>0</v>
      </c>
    </row>
    <row r="12" spans="2:33" x14ac:dyDescent="0.3">
      <c r="B12" s="24">
        <f>MODEL!K13</f>
        <v>0</v>
      </c>
      <c r="C12" s="26">
        <f>MODEL!Q13</f>
        <v>500.39479709610703</v>
      </c>
      <c r="E12" s="24">
        <v>5</v>
      </c>
      <c r="F12" s="26">
        <f t="shared" si="10"/>
        <v>120</v>
      </c>
      <c r="H12" s="24">
        <f t="shared" si="0"/>
        <v>0</v>
      </c>
      <c r="I12" s="25">
        <f t="shared" si="1"/>
        <v>1</v>
      </c>
      <c r="J12" s="26">
        <f t="shared" si="2"/>
        <v>1</v>
      </c>
      <c r="K12" s="25"/>
      <c r="L12" s="33">
        <f t="shared" si="3"/>
        <v>0</v>
      </c>
      <c r="M12" s="34">
        <f t="shared" si="4"/>
        <v>1.8248175182481751E-3</v>
      </c>
      <c r="N12" s="53">
        <f t="shared" si="5"/>
        <v>6.6666666666666664E-4</v>
      </c>
      <c r="O12" s="34"/>
      <c r="P12" s="33">
        <f>(H12-H11)/$E$3</f>
        <v>0</v>
      </c>
      <c r="Q12" s="34">
        <f t="shared" si="11"/>
        <v>0</v>
      </c>
      <c r="R12" s="53">
        <f t="shared" si="12"/>
        <v>0</v>
      </c>
      <c r="S12" s="34"/>
      <c r="T12" s="64">
        <f t="shared" si="6"/>
        <v>1.8248175182481751E-3</v>
      </c>
      <c r="U12" s="34"/>
      <c r="V12" s="71">
        <f t="shared" si="7"/>
        <v>0</v>
      </c>
      <c r="W12" s="72">
        <f t="shared" si="13"/>
        <v>3.6496350364963502E-3</v>
      </c>
      <c r="X12" s="69">
        <f t="shared" si="14"/>
        <v>0</v>
      </c>
      <c r="AA12" s="71">
        <f t="shared" si="8"/>
        <v>6.6666666666666664E-4</v>
      </c>
      <c r="AB12" s="86">
        <f t="shared" si="9"/>
        <v>1.8248175182481751E-3</v>
      </c>
      <c r="AC12" s="86">
        <f t="shared" si="15"/>
        <v>0</v>
      </c>
      <c r="AD12" s="88">
        <f t="shared" si="16"/>
        <v>0</v>
      </c>
    </row>
    <row r="13" spans="2:33" x14ac:dyDescent="0.3">
      <c r="B13" s="24">
        <f>MODEL!K14</f>
        <v>0</v>
      </c>
      <c r="C13" s="26">
        <f>MODEL!Q14</f>
        <v>616.83431215743246</v>
      </c>
      <c r="E13" s="24">
        <v>6</v>
      </c>
      <c r="F13" s="26">
        <f t="shared" si="10"/>
        <v>135</v>
      </c>
      <c r="H13" s="24">
        <f t="shared" si="0"/>
        <v>0</v>
      </c>
      <c r="I13" s="25">
        <f t="shared" si="1"/>
        <v>1</v>
      </c>
      <c r="J13" s="26">
        <f t="shared" si="2"/>
        <v>1</v>
      </c>
      <c r="K13" s="25"/>
      <c r="L13" s="33">
        <f t="shared" si="3"/>
        <v>0</v>
      </c>
      <c r="M13" s="34">
        <f t="shared" si="4"/>
        <v>1.8248175182481751E-3</v>
      </c>
      <c r="N13" s="53">
        <f t="shared" si="5"/>
        <v>6.6666666666666664E-4</v>
      </c>
      <c r="O13" s="34"/>
      <c r="P13" s="33">
        <f t="shared" ref="P13:P61" si="17">(H13-H12)/$E$3</f>
        <v>0</v>
      </c>
      <c r="Q13" s="34">
        <f t="shared" si="11"/>
        <v>0</v>
      </c>
      <c r="R13" s="53">
        <f t="shared" si="12"/>
        <v>0</v>
      </c>
      <c r="S13" s="34"/>
      <c r="T13" s="64">
        <f t="shared" si="6"/>
        <v>1.8248175182481751E-3</v>
      </c>
      <c r="U13" s="34"/>
      <c r="V13" s="71">
        <f t="shared" si="7"/>
        <v>0</v>
      </c>
      <c r="W13" s="72">
        <f t="shared" si="13"/>
        <v>3.6496350364963502E-3</v>
      </c>
      <c r="X13" s="69">
        <f t="shared" si="14"/>
        <v>0</v>
      </c>
      <c r="AA13" s="71">
        <f t="shared" si="8"/>
        <v>6.6666666666666664E-4</v>
      </c>
      <c r="AB13" s="86">
        <f t="shared" si="9"/>
        <v>1.8248175182481751E-3</v>
      </c>
      <c r="AC13" s="86">
        <f t="shared" si="15"/>
        <v>0</v>
      </c>
      <c r="AD13" s="88">
        <f t="shared" si="16"/>
        <v>0</v>
      </c>
    </row>
    <row r="14" spans="2:33" x14ac:dyDescent="0.3">
      <c r="B14" s="24">
        <f>MODEL!K15</f>
        <v>1</v>
      </c>
      <c r="C14" s="26">
        <f>MODEL!Q15</f>
        <v>487.85005840436668</v>
      </c>
      <c r="E14" s="24">
        <v>7</v>
      </c>
      <c r="F14" s="26">
        <f t="shared" si="10"/>
        <v>150</v>
      </c>
      <c r="H14" s="24">
        <f t="shared" si="0"/>
        <v>0</v>
      </c>
      <c r="I14" s="25">
        <f t="shared" si="1"/>
        <v>1</v>
      </c>
      <c r="J14" s="26">
        <f t="shared" si="2"/>
        <v>1</v>
      </c>
      <c r="K14" s="25"/>
      <c r="L14" s="33">
        <f t="shared" si="3"/>
        <v>0</v>
      </c>
      <c r="M14" s="34">
        <f t="shared" si="4"/>
        <v>1.8248175182481751E-3</v>
      </c>
      <c r="N14" s="53">
        <f t="shared" si="5"/>
        <v>6.6666666666666664E-4</v>
      </c>
      <c r="O14" s="34"/>
      <c r="P14" s="33">
        <f t="shared" si="17"/>
        <v>0</v>
      </c>
      <c r="Q14" s="34">
        <f t="shared" si="11"/>
        <v>0</v>
      </c>
      <c r="R14" s="53">
        <f t="shared" si="12"/>
        <v>0</v>
      </c>
      <c r="S14" s="34"/>
      <c r="T14" s="64">
        <f t="shared" si="6"/>
        <v>1.8248175182481751E-3</v>
      </c>
      <c r="U14" s="34"/>
      <c r="V14" s="71">
        <f t="shared" si="7"/>
        <v>0</v>
      </c>
      <c r="W14" s="72">
        <f t="shared" si="13"/>
        <v>3.6496350364963502E-3</v>
      </c>
      <c r="X14" s="69">
        <f t="shared" si="14"/>
        <v>0</v>
      </c>
      <c r="AA14" s="71">
        <f t="shared" si="8"/>
        <v>6.6666666666666664E-4</v>
      </c>
      <c r="AB14" s="86">
        <f t="shared" si="9"/>
        <v>1.8248175182481751E-3</v>
      </c>
      <c r="AC14" s="86">
        <f t="shared" si="15"/>
        <v>0</v>
      </c>
      <c r="AD14" s="88">
        <f t="shared" si="16"/>
        <v>0</v>
      </c>
    </row>
    <row r="15" spans="2:33" x14ac:dyDescent="0.3">
      <c r="B15" s="24">
        <f>MODEL!K16</f>
        <v>0</v>
      </c>
      <c r="C15" s="26">
        <f>MODEL!Q16</f>
        <v>386.27557138790996</v>
      </c>
      <c r="E15" s="24">
        <v>8</v>
      </c>
      <c r="F15" s="26">
        <f t="shared" si="10"/>
        <v>165</v>
      </c>
      <c r="H15" s="24">
        <f t="shared" si="0"/>
        <v>0</v>
      </c>
      <c r="I15" s="25">
        <f t="shared" si="1"/>
        <v>1</v>
      </c>
      <c r="J15" s="26">
        <f t="shared" si="2"/>
        <v>1</v>
      </c>
      <c r="K15" s="25"/>
      <c r="L15" s="33">
        <f t="shared" si="3"/>
        <v>0</v>
      </c>
      <c r="M15" s="34">
        <f t="shared" si="4"/>
        <v>1.8248175182481751E-3</v>
      </c>
      <c r="N15" s="53">
        <f t="shared" si="5"/>
        <v>6.6666666666666664E-4</v>
      </c>
      <c r="O15" s="34"/>
      <c r="P15" s="33">
        <f t="shared" si="17"/>
        <v>0</v>
      </c>
      <c r="Q15" s="34">
        <f t="shared" si="11"/>
        <v>0</v>
      </c>
      <c r="R15" s="53">
        <f t="shared" si="12"/>
        <v>0</v>
      </c>
      <c r="S15" s="34"/>
      <c r="T15" s="64">
        <f t="shared" si="6"/>
        <v>1.8248175182481751E-3</v>
      </c>
      <c r="U15" s="34"/>
      <c r="V15" s="71">
        <f t="shared" si="7"/>
        <v>0</v>
      </c>
      <c r="W15" s="72">
        <f t="shared" si="13"/>
        <v>3.6496350364963502E-3</v>
      </c>
      <c r="X15" s="69">
        <f t="shared" si="14"/>
        <v>0</v>
      </c>
      <c r="AA15" s="71">
        <f t="shared" si="8"/>
        <v>6.6666666666666664E-4</v>
      </c>
      <c r="AB15" s="86">
        <f t="shared" si="9"/>
        <v>1.8248175182481751E-3</v>
      </c>
      <c r="AC15" s="86">
        <f t="shared" si="15"/>
        <v>0</v>
      </c>
      <c r="AD15" s="88">
        <f t="shared" si="16"/>
        <v>0</v>
      </c>
    </row>
    <row r="16" spans="2:33" x14ac:dyDescent="0.3">
      <c r="B16" s="24">
        <f>MODEL!K17</f>
        <v>0</v>
      </c>
      <c r="C16" s="26">
        <f>MODEL!Q17</f>
        <v>498.38562187745123</v>
      </c>
      <c r="E16" s="24">
        <v>9</v>
      </c>
      <c r="F16" s="26">
        <f t="shared" si="10"/>
        <v>180</v>
      </c>
      <c r="H16" s="24">
        <f t="shared" si="0"/>
        <v>0</v>
      </c>
      <c r="I16" s="25">
        <f t="shared" si="1"/>
        <v>1</v>
      </c>
      <c r="J16" s="26">
        <f t="shared" si="2"/>
        <v>1</v>
      </c>
      <c r="K16" s="25"/>
      <c r="L16" s="33">
        <f t="shared" si="3"/>
        <v>0</v>
      </c>
      <c r="M16" s="34">
        <f t="shared" si="4"/>
        <v>1.8248175182481751E-3</v>
      </c>
      <c r="N16" s="53">
        <f t="shared" si="5"/>
        <v>6.6666666666666664E-4</v>
      </c>
      <c r="O16" s="34"/>
      <c r="P16" s="33">
        <f t="shared" si="17"/>
        <v>0</v>
      </c>
      <c r="Q16" s="34">
        <f t="shared" si="11"/>
        <v>0</v>
      </c>
      <c r="R16" s="53">
        <f t="shared" si="12"/>
        <v>0</v>
      </c>
      <c r="S16" s="34"/>
      <c r="T16" s="64">
        <f t="shared" si="6"/>
        <v>1.8248175182481751E-3</v>
      </c>
      <c r="U16" s="34"/>
      <c r="V16" s="71">
        <f t="shared" si="7"/>
        <v>0</v>
      </c>
      <c r="W16" s="72">
        <f t="shared" si="13"/>
        <v>3.6496350364963502E-3</v>
      </c>
      <c r="X16" s="69">
        <f t="shared" si="14"/>
        <v>0</v>
      </c>
      <c r="AA16" s="71">
        <f t="shared" si="8"/>
        <v>6.6666666666666664E-4</v>
      </c>
      <c r="AB16" s="86">
        <f t="shared" si="9"/>
        <v>1.8248175182481751E-3</v>
      </c>
      <c r="AC16" s="86">
        <f t="shared" si="15"/>
        <v>0</v>
      </c>
      <c r="AD16" s="88">
        <f t="shared" si="16"/>
        <v>0</v>
      </c>
    </row>
    <row r="17" spans="2:30" x14ac:dyDescent="0.3">
      <c r="B17" s="24">
        <f>MODEL!K18</f>
        <v>0</v>
      </c>
      <c r="C17" s="26">
        <f>MODEL!Q18</f>
        <v>531.64498707514485</v>
      </c>
      <c r="E17" s="24">
        <v>10</v>
      </c>
      <c r="F17" s="26">
        <f t="shared" si="10"/>
        <v>195</v>
      </c>
      <c r="H17" s="24">
        <f t="shared" si="0"/>
        <v>0</v>
      </c>
      <c r="I17" s="25">
        <f t="shared" si="1"/>
        <v>1</v>
      </c>
      <c r="J17" s="26">
        <f t="shared" si="2"/>
        <v>1</v>
      </c>
      <c r="K17" s="25"/>
      <c r="L17" s="33">
        <f t="shared" si="3"/>
        <v>0</v>
      </c>
      <c r="M17" s="34">
        <f t="shared" si="4"/>
        <v>1.8248175182481751E-3</v>
      </c>
      <c r="N17" s="53">
        <f t="shared" si="5"/>
        <v>6.6666666666666664E-4</v>
      </c>
      <c r="O17" s="34"/>
      <c r="P17" s="33">
        <f t="shared" si="17"/>
        <v>0</v>
      </c>
      <c r="Q17" s="34">
        <f t="shared" si="11"/>
        <v>0</v>
      </c>
      <c r="R17" s="53">
        <f t="shared" si="12"/>
        <v>0</v>
      </c>
      <c r="S17" s="34"/>
      <c r="T17" s="64">
        <f t="shared" si="6"/>
        <v>1.8248175182481751E-3</v>
      </c>
      <c r="U17" s="34"/>
      <c r="V17" s="71">
        <f t="shared" si="7"/>
        <v>0</v>
      </c>
      <c r="W17" s="72">
        <f t="shared" si="13"/>
        <v>3.6496350364963502E-3</v>
      </c>
      <c r="X17" s="69">
        <f t="shared" si="14"/>
        <v>0</v>
      </c>
      <c r="AA17" s="71">
        <f t="shared" si="8"/>
        <v>6.6666666666666664E-4</v>
      </c>
      <c r="AB17" s="86">
        <f t="shared" si="9"/>
        <v>1.8248175182481751E-3</v>
      </c>
      <c r="AC17" s="86">
        <f t="shared" si="15"/>
        <v>0</v>
      </c>
      <c r="AD17" s="88">
        <f t="shared" si="16"/>
        <v>0</v>
      </c>
    </row>
    <row r="18" spans="2:30" x14ac:dyDescent="0.3">
      <c r="B18" s="24">
        <f>MODEL!K19</f>
        <v>1</v>
      </c>
      <c r="C18" s="26">
        <f>MODEL!Q19</f>
        <v>480.09089198378553</v>
      </c>
      <c r="E18" s="24">
        <v>11</v>
      </c>
      <c r="F18" s="26">
        <f t="shared" si="10"/>
        <v>210</v>
      </c>
      <c r="H18" s="24">
        <f t="shared" si="0"/>
        <v>0</v>
      </c>
      <c r="I18" s="25">
        <f t="shared" si="1"/>
        <v>1</v>
      </c>
      <c r="J18" s="26">
        <f t="shared" si="2"/>
        <v>1</v>
      </c>
      <c r="K18" s="25"/>
      <c r="L18" s="33">
        <f t="shared" si="3"/>
        <v>0</v>
      </c>
      <c r="M18" s="34">
        <f t="shared" si="4"/>
        <v>1.8248175182481751E-3</v>
      </c>
      <c r="N18" s="53">
        <f t="shared" si="5"/>
        <v>6.6666666666666664E-4</v>
      </c>
      <c r="O18" s="34"/>
      <c r="P18" s="33">
        <f t="shared" si="17"/>
        <v>0</v>
      </c>
      <c r="Q18" s="34">
        <f t="shared" si="11"/>
        <v>0</v>
      </c>
      <c r="R18" s="53">
        <f t="shared" si="12"/>
        <v>0</v>
      </c>
      <c r="S18" s="34"/>
      <c r="T18" s="64">
        <f t="shared" si="6"/>
        <v>1.8248175182481751E-3</v>
      </c>
      <c r="U18" s="34"/>
      <c r="V18" s="71">
        <f t="shared" si="7"/>
        <v>0</v>
      </c>
      <c r="W18" s="72">
        <f t="shared" si="13"/>
        <v>3.6496350364963502E-3</v>
      </c>
      <c r="X18" s="69">
        <f t="shared" si="14"/>
        <v>0</v>
      </c>
      <c r="AA18" s="71">
        <f t="shared" si="8"/>
        <v>6.6666666666666664E-4</v>
      </c>
      <c r="AB18" s="86">
        <f t="shared" si="9"/>
        <v>1.8248175182481751E-3</v>
      </c>
      <c r="AC18" s="86">
        <f t="shared" si="15"/>
        <v>0</v>
      </c>
      <c r="AD18" s="88">
        <f t="shared" si="16"/>
        <v>0</v>
      </c>
    </row>
    <row r="19" spans="2:30" x14ac:dyDescent="0.3">
      <c r="B19" s="24">
        <f>MODEL!K20</f>
        <v>1</v>
      </c>
      <c r="C19" s="26">
        <f>MODEL!Q20</f>
        <v>437.3262227507775</v>
      </c>
      <c r="E19" s="24">
        <v>12</v>
      </c>
      <c r="F19" s="26">
        <f t="shared" si="10"/>
        <v>225</v>
      </c>
      <c r="H19" s="24">
        <f t="shared" si="0"/>
        <v>0</v>
      </c>
      <c r="I19" s="25">
        <f t="shared" si="1"/>
        <v>1</v>
      </c>
      <c r="J19" s="26">
        <f t="shared" si="2"/>
        <v>1</v>
      </c>
      <c r="K19" s="25"/>
      <c r="L19" s="33">
        <f t="shared" si="3"/>
        <v>0</v>
      </c>
      <c r="M19" s="34">
        <f t="shared" si="4"/>
        <v>1.8248175182481751E-3</v>
      </c>
      <c r="N19" s="53">
        <f t="shared" si="5"/>
        <v>6.6666666666666664E-4</v>
      </c>
      <c r="O19" s="34"/>
      <c r="P19" s="33">
        <f t="shared" si="17"/>
        <v>0</v>
      </c>
      <c r="Q19" s="34">
        <f t="shared" si="11"/>
        <v>0</v>
      </c>
      <c r="R19" s="53">
        <f t="shared" si="12"/>
        <v>0</v>
      </c>
      <c r="S19" s="34"/>
      <c r="T19" s="64">
        <f t="shared" si="6"/>
        <v>1.8248175182481751E-3</v>
      </c>
      <c r="U19" s="34"/>
      <c r="V19" s="71">
        <f t="shared" si="7"/>
        <v>0</v>
      </c>
      <c r="W19" s="72">
        <f t="shared" si="13"/>
        <v>3.6496350364963502E-3</v>
      </c>
      <c r="X19" s="69">
        <f t="shared" si="14"/>
        <v>0</v>
      </c>
      <c r="AA19" s="71">
        <f t="shared" si="8"/>
        <v>6.6666666666666664E-4</v>
      </c>
      <c r="AB19" s="86">
        <f t="shared" si="9"/>
        <v>1.8248175182481751E-3</v>
      </c>
      <c r="AC19" s="86">
        <f t="shared" si="15"/>
        <v>0</v>
      </c>
      <c r="AD19" s="88">
        <f t="shared" si="16"/>
        <v>0</v>
      </c>
    </row>
    <row r="20" spans="2:30" x14ac:dyDescent="0.3">
      <c r="B20" s="24">
        <f>MODEL!K21</f>
        <v>1</v>
      </c>
      <c r="C20" s="26">
        <f>MODEL!Q21</f>
        <v>523.76016357982269</v>
      </c>
      <c r="E20" s="24">
        <v>13</v>
      </c>
      <c r="F20" s="26">
        <f t="shared" si="10"/>
        <v>240</v>
      </c>
      <c r="H20" s="24">
        <f t="shared" si="0"/>
        <v>0</v>
      </c>
      <c r="I20" s="25">
        <f t="shared" si="1"/>
        <v>1</v>
      </c>
      <c r="J20" s="26">
        <f t="shared" si="2"/>
        <v>1</v>
      </c>
      <c r="K20" s="25"/>
      <c r="L20" s="33">
        <f t="shared" si="3"/>
        <v>0</v>
      </c>
      <c r="M20" s="34">
        <f t="shared" si="4"/>
        <v>1.8248175182481751E-3</v>
      </c>
      <c r="N20" s="53">
        <f t="shared" si="5"/>
        <v>6.6666666666666664E-4</v>
      </c>
      <c r="O20" s="34"/>
      <c r="P20" s="33">
        <f t="shared" si="17"/>
        <v>0</v>
      </c>
      <c r="Q20" s="34">
        <f t="shared" si="11"/>
        <v>0</v>
      </c>
      <c r="R20" s="53">
        <f t="shared" si="12"/>
        <v>0</v>
      </c>
      <c r="S20" s="34"/>
      <c r="T20" s="64">
        <f t="shared" si="6"/>
        <v>1.8248175182481751E-3</v>
      </c>
      <c r="U20" s="34"/>
      <c r="V20" s="71">
        <f t="shared" si="7"/>
        <v>0</v>
      </c>
      <c r="W20" s="72">
        <f t="shared" si="13"/>
        <v>3.6496350364963502E-3</v>
      </c>
      <c r="X20" s="69">
        <f t="shared" si="14"/>
        <v>0</v>
      </c>
      <c r="AA20" s="71">
        <f t="shared" si="8"/>
        <v>6.6666666666666664E-4</v>
      </c>
      <c r="AB20" s="86">
        <f t="shared" si="9"/>
        <v>1.8248175182481751E-3</v>
      </c>
      <c r="AC20" s="86">
        <f t="shared" si="15"/>
        <v>0</v>
      </c>
      <c r="AD20" s="88">
        <f t="shared" si="16"/>
        <v>0</v>
      </c>
    </row>
    <row r="21" spans="2:30" x14ac:dyDescent="0.3">
      <c r="B21" s="24">
        <f>MODEL!K22</f>
        <v>1</v>
      </c>
      <c r="C21" s="26">
        <f>MODEL!Q22</f>
        <v>488.05950290164776</v>
      </c>
      <c r="E21" s="24">
        <v>14</v>
      </c>
      <c r="F21" s="26">
        <f t="shared" si="10"/>
        <v>255</v>
      </c>
      <c r="H21" s="24">
        <f t="shared" si="0"/>
        <v>0</v>
      </c>
      <c r="I21" s="25">
        <f t="shared" si="1"/>
        <v>1</v>
      </c>
      <c r="J21" s="26">
        <f t="shared" si="2"/>
        <v>1</v>
      </c>
      <c r="K21" s="25"/>
      <c r="L21" s="33">
        <f t="shared" si="3"/>
        <v>0</v>
      </c>
      <c r="M21" s="34">
        <f t="shared" si="4"/>
        <v>1.8248175182481751E-3</v>
      </c>
      <c r="N21" s="53">
        <f t="shared" si="5"/>
        <v>6.6666666666666664E-4</v>
      </c>
      <c r="O21" s="34"/>
      <c r="P21" s="33">
        <f t="shared" si="17"/>
        <v>0</v>
      </c>
      <c r="Q21" s="34">
        <f t="shared" si="11"/>
        <v>0</v>
      </c>
      <c r="R21" s="53">
        <f t="shared" si="12"/>
        <v>0</v>
      </c>
      <c r="S21" s="34"/>
      <c r="T21" s="64">
        <f t="shared" si="6"/>
        <v>1.8248175182481751E-3</v>
      </c>
      <c r="U21" s="34"/>
      <c r="V21" s="71">
        <f t="shared" si="7"/>
        <v>0</v>
      </c>
      <c r="W21" s="72">
        <f t="shared" si="13"/>
        <v>3.6496350364963502E-3</v>
      </c>
      <c r="X21" s="69">
        <f t="shared" si="14"/>
        <v>0</v>
      </c>
      <c r="AA21" s="71">
        <f t="shared" si="8"/>
        <v>6.6666666666666664E-4</v>
      </c>
      <c r="AB21" s="86">
        <f t="shared" si="9"/>
        <v>1.8248175182481751E-3</v>
      </c>
      <c r="AC21" s="86">
        <f t="shared" si="15"/>
        <v>0</v>
      </c>
      <c r="AD21" s="88">
        <f t="shared" si="16"/>
        <v>0</v>
      </c>
    </row>
    <row r="22" spans="2:30" x14ac:dyDescent="0.3">
      <c r="B22" s="24">
        <f>MODEL!K23</f>
        <v>0</v>
      </c>
      <c r="C22" s="26">
        <f>MODEL!Q23</f>
        <v>662.21377904690326</v>
      </c>
      <c r="E22" s="24">
        <v>15</v>
      </c>
      <c r="F22" s="26">
        <f t="shared" si="10"/>
        <v>270</v>
      </c>
      <c r="H22" s="24">
        <f t="shared" si="0"/>
        <v>0</v>
      </c>
      <c r="I22" s="25">
        <f t="shared" si="1"/>
        <v>1</v>
      </c>
      <c r="J22" s="26">
        <f t="shared" si="2"/>
        <v>1</v>
      </c>
      <c r="K22" s="25"/>
      <c r="L22" s="33">
        <f t="shared" si="3"/>
        <v>0</v>
      </c>
      <c r="M22" s="34">
        <f t="shared" si="4"/>
        <v>1.8248175182481751E-3</v>
      </c>
      <c r="N22" s="53">
        <f t="shared" si="5"/>
        <v>6.6666666666666664E-4</v>
      </c>
      <c r="O22" s="34"/>
      <c r="P22" s="33">
        <f t="shared" si="17"/>
        <v>0</v>
      </c>
      <c r="Q22" s="34">
        <f t="shared" si="11"/>
        <v>0</v>
      </c>
      <c r="R22" s="53">
        <f t="shared" si="12"/>
        <v>0</v>
      </c>
      <c r="S22" s="34"/>
      <c r="T22" s="64">
        <f t="shared" si="6"/>
        <v>1.8248175182481751E-3</v>
      </c>
      <c r="U22" s="34"/>
      <c r="V22" s="71">
        <f t="shared" si="7"/>
        <v>0</v>
      </c>
      <c r="W22" s="72">
        <f t="shared" si="13"/>
        <v>3.6496350364963502E-3</v>
      </c>
      <c r="X22" s="69">
        <f t="shared" si="14"/>
        <v>0</v>
      </c>
      <c r="AA22" s="71">
        <f t="shared" si="8"/>
        <v>6.6666666666666664E-4</v>
      </c>
      <c r="AB22" s="86">
        <f t="shared" si="9"/>
        <v>1.8248175182481751E-3</v>
      </c>
      <c r="AC22" s="86">
        <f t="shared" si="15"/>
        <v>0</v>
      </c>
      <c r="AD22" s="88">
        <f t="shared" si="16"/>
        <v>0</v>
      </c>
    </row>
    <row r="23" spans="2:30" x14ac:dyDescent="0.3">
      <c r="B23" s="24">
        <f>MODEL!K24</f>
        <v>1</v>
      </c>
      <c r="C23" s="26">
        <f>MODEL!Q24</f>
        <v>478.36313035370495</v>
      </c>
      <c r="E23" s="24">
        <v>16</v>
      </c>
      <c r="F23" s="26">
        <f t="shared" si="10"/>
        <v>285</v>
      </c>
      <c r="H23" s="24">
        <f t="shared" si="0"/>
        <v>0</v>
      </c>
      <c r="I23" s="25">
        <f t="shared" si="1"/>
        <v>2</v>
      </c>
      <c r="J23" s="26">
        <f t="shared" si="2"/>
        <v>2</v>
      </c>
      <c r="K23" s="25"/>
      <c r="L23" s="33">
        <f t="shared" si="3"/>
        <v>0</v>
      </c>
      <c r="M23" s="34">
        <f t="shared" si="4"/>
        <v>3.6496350364963502E-3</v>
      </c>
      <c r="N23" s="53">
        <f t="shared" si="5"/>
        <v>1.3333333333333333E-3</v>
      </c>
      <c r="O23" s="34"/>
      <c r="P23" s="33">
        <f t="shared" si="17"/>
        <v>0</v>
      </c>
      <c r="Q23" s="34">
        <f t="shared" si="11"/>
        <v>1.0504201680672268E-3</v>
      </c>
      <c r="R23" s="53">
        <f t="shared" si="12"/>
        <v>1.0504201680672268E-3</v>
      </c>
      <c r="S23" s="34"/>
      <c r="T23" s="64">
        <f t="shared" si="6"/>
        <v>3.6496350364963502E-3</v>
      </c>
      <c r="U23" s="34"/>
      <c r="V23" s="71">
        <f t="shared" si="7"/>
        <v>0</v>
      </c>
      <c r="W23" s="72">
        <f t="shared" si="13"/>
        <v>5.4744525547445258E-3</v>
      </c>
      <c r="X23" s="69">
        <f t="shared" si="14"/>
        <v>0</v>
      </c>
      <c r="AA23" s="71">
        <f t="shared" si="8"/>
        <v>1.3333333333333333E-3</v>
      </c>
      <c r="AB23" s="86">
        <f t="shared" si="9"/>
        <v>3.6496350364963502E-3</v>
      </c>
      <c r="AC23" s="86">
        <f t="shared" si="15"/>
        <v>6.6666666666666664E-4</v>
      </c>
      <c r="AD23" s="88">
        <f t="shared" si="16"/>
        <v>1.8248175182481753E-6</v>
      </c>
    </row>
    <row r="24" spans="2:30" x14ac:dyDescent="0.3">
      <c r="B24" s="24">
        <f>MODEL!K25</f>
        <v>0</v>
      </c>
      <c r="C24" s="26">
        <f>MODEL!Q25</f>
        <v>532.25353302184851</v>
      </c>
      <c r="E24" s="24">
        <v>17</v>
      </c>
      <c r="F24" s="26">
        <f t="shared" si="10"/>
        <v>300</v>
      </c>
      <c r="H24" s="24">
        <f t="shared" si="0"/>
        <v>0</v>
      </c>
      <c r="I24" s="25">
        <f t="shared" si="1"/>
        <v>2</v>
      </c>
      <c r="J24" s="26">
        <f t="shared" si="2"/>
        <v>2</v>
      </c>
      <c r="K24" s="25"/>
      <c r="L24" s="33">
        <f t="shared" si="3"/>
        <v>0</v>
      </c>
      <c r="M24" s="34">
        <f t="shared" si="4"/>
        <v>3.6496350364963502E-3</v>
      </c>
      <c r="N24" s="53">
        <f t="shared" si="5"/>
        <v>1.3333333333333333E-3</v>
      </c>
      <c r="O24" s="34"/>
      <c r="P24" s="33">
        <f t="shared" si="17"/>
        <v>0</v>
      </c>
      <c r="Q24" s="34">
        <f t="shared" si="11"/>
        <v>0</v>
      </c>
      <c r="R24" s="53">
        <f t="shared" si="12"/>
        <v>0</v>
      </c>
      <c r="S24" s="34"/>
      <c r="T24" s="64">
        <f t="shared" si="6"/>
        <v>3.6496350364963502E-3</v>
      </c>
      <c r="U24" s="34"/>
      <c r="V24" s="71">
        <f t="shared" si="7"/>
        <v>0</v>
      </c>
      <c r="W24" s="72">
        <f t="shared" si="13"/>
        <v>7.2992700729927005E-3</v>
      </c>
      <c r="X24" s="69">
        <f t="shared" si="14"/>
        <v>0</v>
      </c>
      <c r="AA24" s="71">
        <f t="shared" si="8"/>
        <v>1.3333333333333333E-3</v>
      </c>
      <c r="AB24" s="86">
        <f t="shared" si="9"/>
        <v>3.6496350364963502E-3</v>
      </c>
      <c r="AC24" s="86">
        <f t="shared" si="15"/>
        <v>0</v>
      </c>
      <c r="AD24" s="88">
        <f t="shared" si="16"/>
        <v>0</v>
      </c>
    </row>
    <row r="25" spans="2:30" x14ac:dyDescent="0.3">
      <c r="B25" s="24">
        <f>MODEL!K26</f>
        <v>0</v>
      </c>
      <c r="C25" s="26">
        <f>MODEL!Q26</f>
        <v>569.87611330157961</v>
      </c>
      <c r="E25" s="24">
        <v>18</v>
      </c>
      <c r="F25" s="26">
        <f t="shared" si="10"/>
        <v>315</v>
      </c>
      <c r="H25" s="24">
        <f t="shared" si="0"/>
        <v>0</v>
      </c>
      <c r="I25" s="25">
        <f t="shared" si="1"/>
        <v>4</v>
      </c>
      <c r="J25" s="26">
        <f t="shared" si="2"/>
        <v>4</v>
      </c>
      <c r="K25" s="25"/>
      <c r="L25" s="33">
        <f t="shared" si="3"/>
        <v>0</v>
      </c>
      <c r="M25" s="34">
        <f t="shared" si="4"/>
        <v>7.2992700729927005E-3</v>
      </c>
      <c r="N25" s="53">
        <f t="shared" si="5"/>
        <v>2.6666666666666666E-3</v>
      </c>
      <c r="O25" s="34"/>
      <c r="P25" s="33">
        <f t="shared" si="17"/>
        <v>0</v>
      </c>
      <c r="Q25" s="34">
        <f t="shared" si="11"/>
        <v>2.1008403361344537E-3</v>
      </c>
      <c r="R25" s="53">
        <f t="shared" si="12"/>
        <v>2.1008403361344537E-3</v>
      </c>
      <c r="S25" s="34"/>
      <c r="T25" s="64">
        <f t="shared" si="6"/>
        <v>7.2992700729927005E-3</v>
      </c>
      <c r="U25" s="34"/>
      <c r="V25" s="71">
        <f t="shared" si="7"/>
        <v>0</v>
      </c>
      <c r="W25" s="72">
        <f t="shared" si="13"/>
        <v>1.0948905109489052E-2</v>
      </c>
      <c r="X25" s="69">
        <f t="shared" si="14"/>
        <v>0</v>
      </c>
      <c r="AA25" s="71">
        <f t="shared" si="8"/>
        <v>2.6666666666666666E-3</v>
      </c>
      <c r="AB25" s="86">
        <f t="shared" si="9"/>
        <v>7.2992700729927005E-3</v>
      </c>
      <c r="AC25" s="86">
        <f t="shared" si="15"/>
        <v>1.3333333333333333E-3</v>
      </c>
      <c r="AD25" s="88">
        <f t="shared" si="16"/>
        <v>7.299270072992701E-6</v>
      </c>
    </row>
    <row r="26" spans="2:30" x14ac:dyDescent="0.3">
      <c r="B26" s="24">
        <f>MODEL!K27</f>
        <v>1</v>
      </c>
      <c r="C26" s="26">
        <f>MODEL!Q27</f>
        <v>467.54752341965235</v>
      </c>
      <c r="E26" s="24">
        <v>19</v>
      </c>
      <c r="F26" s="26">
        <f t="shared" si="10"/>
        <v>330</v>
      </c>
      <c r="H26" s="24">
        <f t="shared" si="0"/>
        <v>0</v>
      </c>
      <c r="I26" s="25">
        <f t="shared" si="1"/>
        <v>5</v>
      </c>
      <c r="J26" s="26">
        <f t="shared" si="2"/>
        <v>5</v>
      </c>
      <c r="K26" s="25"/>
      <c r="L26" s="33">
        <f t="shared" si="3"/>
        <v>0</v>
      </c>
      <c r="M26" s="34">
        <f t="shared" si="4"/>
        <v>9.1240875912408752E-3</v>
      </c>
      <c r="N26" s="53">
        <f t="shared" si="5"/>
        <v>3.3333333333333335E-3</v>
      </c>
      <c r="O26" s="34"/>
      <c r="P26" s="33">
        <f t="shared" si="17"/>
        <v>0</v>
      </c>
      <c r="Q26" s="34">
        <f t="shared" si="11"/>
        <v>1.0504201680672268E-3</v>
      </c>
      <c r="R26" s="53">
        <f t="shared" si="12"/>
        <v>1.0504201680672268E-3</v>
      </c>
      <c r="S26" s="34"/>
      <c r="T26" s="64">
        <f t="shared" si="6"/>
        <v>9.1240875912408752E-3</v>
      </c>
      <c r="U26" s="34"/>
      <c r="V26" s="71">
        <f t="shared" si="7"/>
        <v>0</v>
      </c>
      <c r="W26" s="72">
        <f t="shared" si="13"/>
        <v>1.6423357664233577E-2</v>
      </c>
      <c r="X26" s="69">
        <f t="shared" si="14"/>
        <v>0</v>
      </c>
      <c r="AA26" s="71">
        <f t="shared" si="8"/>
        <v>3.3333333333333335E-3</v>
      </c>
      <c r="AB26" s="86">
        <f t="shared" si="9"/>
        <v>9.1240875912408752E-3</v>
      </c>
      <c r="AC26" s="86">
        <f t="shared" si="15"/>
        <v>6.6666666666666697E-4</v>
      </c>
      <c r="AD26" s="88">
        <f t="shared" si="16"/>
        <v>5.4744525547445279E-6</v>
      </c>
    </row>
    <row r="27" spans="2:30" x14ac:dyDescent="0.3">
      <c r="B27" s="24">
        <f>MODEL!K28</f>
        <v>0</v>
      </c>
      <c r="C27" s="26">
        <f>MODEL!Q28</f>
        <v>618.96336028180531</v>
      </c>
      <c r="E27" s="24">
        <v>20</v>
      </c>
      <c r="F27" s="26">
        <f t="shared" si="10"/>
        <v>345</v>
      </c>
      <c r="H27" s="24">
        <f t="shared" si="0"/>
        <v>1</v>
      </c>
      <c r="I27" s="25">
        <f t="shared" si="1"/>
        <v>13</v>
      </c>
      <c r="J27" s="26">
        <f t="shared" si="2"/>
        <v>14</v>
      </c>
      <c r="K27" s="25"/>
      <c r="L27" s="33">
        <f t="shared" si="3"/>
        <v>1.0504201680672268E-3</v>
      </c>
      <c r="M27" s="34">
        <f t="shared" si="4"/>
        <v>2.3722627737226276E-2</v>
      </c>
      <c r="N27" s="53">
        <f t="shared" si="5"/>
        <v>9.3333333333333341E-3</v>
      </c>
      <c r="O27" s="34"/>
      <c r="P27" s="33">
        <f t="shared" si="17"/>
        <v>1.0504201680672268E-3</v>
      </c>
      <c r="Q27" s="34">
        <f t="shared" si="11"/>
        <v>8.4033613445378148E-3</v>
      </c>
      <c r="R27" s="53">
        <f t="shared" si="12"/>
        <v>9.4537815126050414E-3</v>
      </c>
      <c r="S27" s="34"/>
      <c r="T27" s="64">
        <f t="shared" si="6"/>
        <v>2.267220756915905E-2</v>
      </c>
      <c r="U27" s="34"/>
      <c r="V27" s="71">
        <f t="shared" si="7"/>
        <v>1.0504201680672268E-3</v>
      </c>
      <c r="W27" s="72">
        <f t="shared" si="13"/>
        <v>3.2846715328467155E-2</v>
      </c>
      <c r="X27" s="69">
        <f t="shared" si="14"/>
        <v>1.7251426117892414E-5</v>
      </c>
      <c r="AA27" s="71">
        <f t="shared" si="8"/>
        <v>9.3333333333333341E-3</v>
      </c>
      <c r="AB27" s="86">
        <f t="shared" si="9"/>
        <v>2.3722627737226276E-2</v>
      </c>
      <c r="AC27" s="86">
        <f t="shared" si="15"/>
        <v>6.0000000000000001E-3</v>
      </c>
      <c r="AD27" s="88">
        <f t="shared" si="16"/>
        <v>9.8540145985401463E-5</v>
      </c>
    </row>
    <row r="28" spans="2:30" x14ac:dyDescent="0.3">
      <c r="B28" s="24">
        <f>MODEL!K29</f>
        <v>0</v>
      </c>
      <c r="C28" s="26">
        <f>MODEL!Q29</f>
        <v>492.70518896724008</v>
      </c>
      <c r="E28" s="24">
        <v>21</v>
      </c>
      <c r="F28" s="26">
        <f t="shared" si="10"/>
        <v>360</v>
      </c>
      <c r="H28" s="24">
        <f t="shared" si="0"/>
        <v>2</v>
      </c>
      <c r="I28" s="25">
        <f t="shared" si="1"/>
        <v>19</v>
      </c>
      <c r="J28" s="26">
        <f t="shared" si="2"/>
        <v>21</v>
      </c>
      <c r="K28" s="25"/>
      <c r="L28" s="33">
        <f t="shared" si="3"/>
        <v>2.1008403361344537E-3</v>
      </c>
      <c r="M28" s="34">
        <f t="shared" si="4"/>
        <v>3.4671532846715328E-2</v>
      </c>
      <c r="N28" s="53">
        <f t="shared" si="5"/>
        <v>1.4E-2</v>
      </c>
      <c r="O28" s="34"/>
      <c r="P28" s="33">
        <f t="shared" si="17"/>
        <v>1.0504201680672268E-3</v>
      </c>
      <c r="Q28" s="34">
        <f t="shared" si="11"/>
        <v>6.3025210084033615E-3</v>
      </c>
      <c r="R28" s="53">
        <f t="shared" si="12"/>
        <v>7.3529411764705881E-3</v>
      </c>
      <c r="S28" s="34"/>
      <c r="T28" s="64">
        <f t="shared" si="6"/>
        <v>3.2570692510580875E-2</v>
      </c>
      <c r="U28" s="34"/>
      <c r="V28" s="71">
        <f t="shared" si="7"/>
        <v>1.0504201680672268E-3</v>
      </c>
      <c r="W28" s="72">
        <f t="shared" si="13"/>
        <v>5.8394160583941604E-2</v>
      </c>
      <c r="X28" s="69">
        <f t="shared" si="14"/>
        <v>3.0669201987364288E-5</v>
      </c>
      <c r="AA28" s="71">
        <f t="shared" si="8"/>
        <v>1.4E-2</v>
      </c>
      <c r="AB28" s="86">
        <f t="shared" si="9"/>
        <v>3.4671532846715328E-2</v>
      </c>
      <c r="AC28" s="86">
        <f t="shared" si="15"/>
        <v>4.6666666666666662E-3</v>
      </c>
      <c r="AD28" s="88">
        <f t="shared" si="16"/>
        <v>1.362530413625304E-4</v>
      </c>
    </row>
    <row r="29" spans="2:30" x14ac:dyDescent="0.3">
      <c r="B29" s="24">
        <f>MODEL!K30</f>
        <v>1</v>
      </c>
      <c r="C29" s="26">
        <f>MODEL!Q30</f>
        <v>462.94618216114674</v>
      </c>
      <c r="E29" s="24">
        <v>22</v>
      </c>
      <c r="F29" s="26">
        <f t="shared" si="10"/>
        <v>375</v>
      </c>
      <c r="H29" s="24">
        <f t="shared" si="0"/>
        <v>2</v>
      </c>
      <c r="I29" s="25">
        <f t="shared" si="1"/>
        <v>29</v>
      </c>
      <c r="J29" s="26">
        <f t="shared" si="2"/>
        <v>31</v>
      </c>
      <c r="K29" s="25"/>
      <c r="L29" s="33">
        <f t="shared" si="3"/>
        <v>2.1008403361344537E-3</v>
      </c>
      <c r="M29" s="34">
        <f t="shared" si="4"/>
        <v>5.2919708029197078E-2</v>
      </c>
      <c r="N29" s="53">
        <f t="shared" si="5"/>
        <v>2.0666666666666667E-2</v>
      </c>
      <c r="O29" s="34"/>
      <c r="P29" s="33">
        <f t="shared" si="17"/>
        <v>0</v>
      </c>
      <c r="Q29" s="34">
        <f t="shared" si="11"/>
        <v>1.050420168067227E-2</v>
      </c>
      <c r="R29" s="53">
        <f t="shared" si="12"/>
        <v>1.050420168067227E-2</v>
      </c>
      <c r="S29" s="34"/>
      <c r="T29" s="64">
        <f t="shared" si="6"/>
        <v>5.0818867693062625E-2</v>
      </c>
      <c r="U29" s="34"/>
      <c r="V29" s="71">
        <f t="shared" si="7"/>
        <v>0</v>
      </c>
      <c r="W29" s="72">
        <f t="shared" si="13"/>
        <v>8.7591240875912413E-2</v>
      </c>
      <c r="X29" s="69">
        <f t="shared" si="14"/>
        <v>0</v>
      </c>
      <c r="AA29" s="71">
        <f t="shared" si="8"/>
        <v>2.0666666666666667E-2</v>
      </c>
      <c r="AB29" s="86">
        <f t="shared" si="9"/>
        <v>5.2919708029197078E-2</v>
      </c>
      <c r="AC29" s="86">
        <f t="shared" si="15"/>
        <v>6.6666666666666662E-3</v>
      </c>
      <c r="AD29" s="88">
        <f t="shared" si="16"/>
        <v>2.91970802919708E-4</v>
      </c>
    </row>
    <row r="30" spans="2:30" x14ac:dyDescent="0.3">
      <c r="B30" s="24">
        <f>MODEL!K31</f>
        <v>0</v>
      </c>
      <c r="C30" s="26">
        <f>MODEL!Q31</f>
        <v>599.73769290271446</v>
      </c>
      <c r="E30" s="24">
        <v>23</v>
      </c>
      <c r="F30" s="26">
        <f t="shared" si="10"/>
        <v>390</v>
      </c>
      <c r="H30" s="24">
        <f t="shared" si="0"/>
        <v>3</v>
      </c>
      <c r="I30" s="25">
        <f t="shared" si="1"/>
        <v>36</v>
      </c>
      <c r="J30" s="26">
        <f t="shared" si="2"/>
        <v>39</v>
      </c>
      <c r="K30" s="25"/>
      <c r="L30" s="33">
        <f t="shared" si="3"/>
        <v>3.1512605042016808E-3</v>
      </c>
      <c r="M30" s="34">
        <f t="shared" si="4"/>
        <v>6.569343065693431E-2</v>
      </c>
      <c r="N30" s="53">
        <f t="shared" si="5"/>
        <v>2.5999999999999999E-2</v>
      </c>
      <c r="O30" s="34"/>
      <c r="P30" s="33">
        <f t="shared" si="17"/>
        <v>1.0504201680672268E-3</v>
      </c>
      <c r="Q30" s="34">
        <f t="shared" si="11"/>
        <v>7.3529411764705881E-3</v>
      </c>
      <c r="R30" s="53">
        <f t="shared" si="12"/>
        <v>8.4033613445378148E-3</v>
      </c>
      <c r="S30" s="34"/>
      <c r="T30" s="64">
        <f t="shared" si="6"/>
        <v>6.2542170152732626E-2</v>
      </c>
      <c r="U30" s="34"/>
      <c r="V30" s="71">
        <f t="shared" si="7"/>
        <v>1.0504201680672268E-3</v>
      </c>
      <c r="W30" s="72">
        <f t="shared" si="13"/>
        <v>0.11861313868613138</v>
      </c>
      <c r="X30" s="69">
        <f t="shared" si="14"/>
        <v>6.22968165368337E-5</v>
      </c>
      <c r="AA30" s="71">
        <f t="shared" si="8"/>
        <v>2.5999999999999999E-2</v>
      </c>
      <c r="AB30" s="86">
        <f t="shared" si="9"/>
        <v>6.569343065693431E-2</v>
      </c>
      <c r="AC30" s="86">
        <f t="shared" si="15"/>
        <v>5.3333333333333323E-3</v>
      </c>
      <c r="AD30" s="88">
        <f t="shared" si="16"/>
        <v>3.1630170316301697E-4</v>
      </c>
    </row>
    <row r="31" spans="2:30" x14ac:dyDescent="0.3">
      <c r="B31" s="24">
        <f>MODEL!K32</f>
        <v>0</v>
      </c>
      <c r="C31" s="26">
        <f>MODEL!Q32</f>
        <v>645.68284973175139</v>
      </c>
      <c r="E31" s="24">
        <v>24</v>
      </c>
      <c r="F31" s="26">
        <f t="shared" si="10"/>
        <v>405</v>
      </c>
      <c r="H31" s="24">
        <f t="shared" si="0"/>
        <v>3</v>
      </c>
      <c r="I31" s="25">
        <f t="shared" si="1"/>
        <v>48</v>
      </c>
      <c r="J31" s="26">
        <f t="shared" si="2"/>
        <v>51</v>
      </c>
      <c r="K31" s="25"/>
      <c r="L31" s="33">
        <f t="shared" si="3"/>
        <v>3.1512605042016808E-3</v>
      </c>
      <c r="M31" s="34">
        <f t="shared" si="4"/>
        <v>8.7591240875912413E-2</v>
      </c>
      <c r="N31" s="53">
        <f t="shared" si="5"/>
        <v>3.4000000000000002E-2</v>
      </c>
      <c r="O31" s="34"/>
      <c r="P31" s="33">
        <f t="shared" si="17"/>
        <v>0</v>
      </c>
      <c r="Q31" s="34">
        <f t="shared" si="11"/>
        <v>1.2605042016806723E-2</v>
      </c>
      <c r="R31" s="53">
        <f t="shared" si="12"/>
        <v>1.2605042016806723E-2</v>
      </c>
      <c r="S31" s="34"/>
      <c r="T31" s="64">
        <f t="shared" si="6"/>
        <v>8.4439980371710729E-2</v>
      </c>
      <c r="U31" s="34"/>
      <c r="V31" s="71">
        <f t="shared" si="7"/>
        <v>0</v>
      </c>
      <c r="W31" s="72">
        <f t="shared" si="13"/>
        <v>0.15328467153284672</v>
      </c>
      <c r="X31" s="69">
        <f t="shared" si="14"/>
        <v>0</v>
      </c>
      <c r="AA31" s="71">
        <f t="shared" si="8"/>
        <v>3.4000000000000002E-2</v>
      </c>
      <c r="AB31" s="86">
        <f t="shared" si="9"/>
        <v>8.7591240875912413E-2</v>
      </c>
      <c r="AC31" s="86">
        <f t="shared" si="15"/>
        <v>8.0000000000000036E-3</v>
      </c>
      <c r="AD31" s="88">
        <f t="shared" si="16"/>
        <v>6.1313868613138722E-4</v>
      </c>
    </row>
    <row r="32" spans="2:30" x14ac:dyDescent="0.3">
      <c r="B32" s="24">
        <f>MODEL!K33</f>
        <v>0</v>
      </c>
      <c r="C32" s="26">
        <f>MODEL!Q33</f>
        <v>479.06896083585281</v>
      </c>
      <c r="E32" s="24">
        <v>25</v>
      </c>
      <c r="F32" s="26">
        <f t="shared" si="10"/>
        <v>420</v>
      </c>
      <c r="H32" s="24">
        <f t="shared" si="0"/>
        <v>4</v>
      </c>
      <c r="I32" s="25">
        <f t="shared" si="1"/>
        <v>63</v>
      </c>
      <c r="J32" s="26">
        <f t="shared" si="2"/>
        <v>67</v>
      </c>
      <c r="K32" s="25"/>
      <c r="L32" s="33">
        <f t="shared" si="3"/>
        <v>4.2016806722689074E-3</v>
      </c>
      <c r="M32" s="34">
        <f t="shared" si="4"/>
        <v>0.11496350364963503</v>
      </c>
      <c r="N32" s="53">
        <f t="shared" si="5"/>
        <v>4.4666666666666667E-2</v>
      </c>
      <c r="O32" s="34"/>
      <c r="P32" s="33">
        <f t="shared" si="17"/>
        <v>1.0504201680672268E-3</v>
      </c>
      <c r="Q32" s="34">
        <f t="shared" si="11"/>
        <v>1.5756302521008403E-2</v>
      </c>
      <c r="R32" s="53">
        <f t="shared" si="12"/>
        <v>1.680672268907563E-2</v>
      </c>
      <c r="S32" s="34"/>
      <c r="T32" s="64">
        <f t="shared" si="6"/>
        <v>0.11076182297736613</v>
      </c>
      <c r="U32" s="34"/>
      <c r="V32" s="71">
        <f t="shared" si="7"/>
        <v>1.0504201680672268E-3</v>
      </c>
      <c r="W32" s="72">
        <f t="shared" si="13"/>
        <v>0.20255474452554745</v>
      </c>
      <c r="X32" s="69">
        <f t="shared" si="14"/>
        <v>1.0638379439366988E-4</v>
      </c>
      <c r="AA32" s="71">
        <f t="shared" si="8"/>
        <v>4.4666666666666667E-2</v>
      </c>
      <c r="AB32" s="86">
        <f t="shared" si="9"/>
        <v>0.11496350364963503</v>
      </c>
      <c r="AC32" s="86">
        <f t="shared" si="15"/>
        <v>1.0666666666666665E-2</v>
      </c>
      <c r="AD32" s="88">
        <f t="shared" si="16"/>
        <v>1.0802919708029195E-3</v>
      </c>
    </row>
    <row r="33" spans="2:30" x14ac:dyDescent="0.3">
      <c r="B33" s="24">
        <f>MODEL!K34</f>
        <v>1</v>
      </c>
      <c r="C33" s="26">
        <f>MODEL!Q34</f>
        <v>493.07760384427434</v>
      </c>
      <c r="E33" s="24">
        <v>26</v>
      </c>
      <c r="F33" s="26">
        <f t="shared" si="10"/>
        <v>435</v>
      </c>
      <c r="H33" s="24">
        <f t="shared" si="0"/>
        <v>6</v>
      </c>
      <c r="I33" s="25">
        <f t="shared" si="1"/>
        <v>102</v>
      </c>
      <c r="J33" s="26">
        <f t="shared" si="2"/>
        <v>108</v>
      </c>
      <c r="K33" s="25"/>
      <c r="L33" s="33">
        <f t="shared" si="3"/>
        <v>6.3025210084033615E-3</v>
      </c>
      <c r="M33" s="34">
        <f t="shared" si="4"/>
        <v>0.18613138686131386</v>
      </c>
      <c r="N33" s="53">
        <f t="shared" si="5"/>
        <v>7.1999999999999995E-2</v>
      </c>
      <c r="O33" s="34"/>
      <c r="P33" s="33">
        <f t="shared" si="17"/>
        <v>2.1008403361344537E-3</v>
      </c>
      <c r="Q33" s="34">
        <f t="shared" si="11"/>
        <v>4.0966386554621849E-2</v>
      </c>
      <c r="R33" s="53">
        <f t="shared" si="12"/>
        <v>4.3067226890756302E-2</v>
      </c>
      <c r="S33" s="34"/>
      <c r="T33" s="64">
        <f t="shared" si="6"/>
        <v>0.1798288658529105</v>
      </c>
      <c r="U33" s="34"/>
      <c r="V33" s="71">
        <f t="shared" si="7"/>
        <v>2.1008403361344537E-3</v>
      </c>
      <c r="W33" s="72">
        <f t="shared" si="13"/>
        <v>0.3010948905109489</v>
      </c>
      <c r="X33" s="69">
        <f t="shared" si="14"/>
        <v>3.1627614549469419E-4</v>
      </c>
      <c r="AA33" s="71">
        <f t="shared" si="8"/>
        <v>7.1999999999999995E-2</v>
      </c>
      <c r="AB33" s="86">
        <f t="shared" si="9"/>
        <v>0.18613138686131386</v>
      </c>
      <c r="AC33" s="86">
        <f t="shared" si="15"/>
        <v>2.7333333333333328E-2</v>
      </c>
      <c r="AD33" s="88">
        <f t="shared" si="16"/>
        <v>4.1149635036496343E-3</v>
      </c>
    </row>
    <row r="34" spans="2:30" x14ac:dyDescent="0.3">
      <c r="B34" s="24">
        <f>MODEL!K35</f>
        <v>1</v>
      </c>
      <c r="C34" s="26">
        <f>MODEL!Q35</f>
        <v>503.81786949433933</v>
      </c>
      <c r="E34" s="24">
        <v>27</v>
      </c>
      <c r="F34" s="26">
        <f t="shared" si="10"/>
        <v>450</v>
      </c>
      <c r="H34" s="24">
        <f t="shared" si="0"/>
        <v>11</v>
      </c>
      <c r="I34" s="25">
        <f t="shared" si="1"/>
        <v>145</v>
      </c>
      <c r="J34" s="26">
        <f t="shared" si="2"/>
        <v>156</v>
      </c>
      <c r="K34" s="25"/>
      <c r="L34" s="33">
        <f t="shared" si="3"/>
        <v>1.1554621848739496E-2</v>
      </c>
      <c r="M34" s="34">
        <f t="shared" si="4"/>
        <v>0.26459854014598538</v>
      </c>
      <c r="N34" s="53">
        <f t="shared" si="5"/>
        <v>0.104</v>
      </c>
      <c r="O34" s="34"/>
      <c r="P34" s="33">
        <f t="shared" si="17"/>
        <v>5.2521008403361349E-3</v>
      </c>
      <c r="Q34" s="34">
        <f t="shared" si="11"/>
        <v>4.5168067226890755E-2</v>
      </c>
      <c r="R34" s="53">
        <f t="shared" si="12"/>
        <v>5.0420168067226892E-2</v>
      </c>
      <c r="S34" s="34"/>
      <c r="T34" s="64">
        <f t="shared" si="6"/>
        <v>0.25304391829724587</v>
      </c>
      <c r="U34" s="34"/>
      <c r="V34" s="71">
        <f t="shared" si="7"/>
        <v>5.2521008403361349E-3</v>
      </c>
      <c r="W34" s="72">
        <f t="shared" si="13"/>
        <v>0.45072992700729925</v>
      </c>
      <c r="X34" s="69">
        <f t="shared" si="14"/>
        <v>1.1836395141998405E-3</v>
      </c>
      <c r="AA34" s="71">
        <f t="shared" si="8"/>
        <v>0.104</v>
      </c>
      <c r="AB34" s="86">
        <f t="shared" si="9"/>
        <v>0.26459854014598538</v>
      </c>
      <c r="AC34" s="86">
        <f t="shared" si="15"/>
        <v>3.2000000000000001E-2</v>
      </c>
      <c r="AD34" s="88">
        <f t="shared" si="16"/>
        <v>7.2116788321167878E-3</v>
      </c>
    </row>
    <row r="35" spans="2:30" x14ac:dyDescent="0.3">
      <c r="B35" s="24">
        <f>MODEL!K36</f>
        <v>1</v>
      </c>
      <c r="C35" s="26">
        <f>MODEL!Q36</f>
        <v>522.33481025942854</v>
      </c>
      <c r="E35" s="24">
        <v>28</v>
      </c>
      <c r="F35" s="26">
        <f t="shared" si="10"/>
        <v>465</v>
      </c>
      <c r="H35" s="24">
        <f t="shared" si="0"/>
        <v>37</v>
      </c>
      <c r="I35" s="25">
        <f t="shared" si="1"/>
        <v>208</v>
      </c>
      <c r="J35" s="26">
        <f t="shared" si="2"/>
        <v>245</v>
      </c>
      <c r="K35" s="25"/>
      <c r="L35" s="33">
        <f t="shared" si="3"/>
        <v>3.8865546218487396E-2</v>
      </c>
      <c r="M35" s="34">
        <f t="shared" si="4"/>
        <v>0.37956204379562042</v>
      </c>
      <c r="N35" s="53">
        <f t="shared" si="5"/>
        <v>0.16333333333333333</v>
      </c>
      <c r="O35" s="34"/>
      <c r="P35" s="33">
        <f t="shared" si="17"/>
        <v>2.7310924369747899E-2</v>
      </c>
      <c r="Q35" s="34">
        <f t="shared" si="11"/>
        <v>6.6176470588235295E-2</v>
      </c>
      <c r="R35" s="53">
        <f t="shared" si="12"/>
        <v>9.3487394957983194E-2</v>
      </c>
      <c r="S35" s="34"/>
      <c r="T35" s="64">
        <f t="shared" si="6"/>
        <v>0.34069649757713305</v>
      </c>
      <c r="U35" s="34"/>
      <c r="V35" s="71">
        <f t="shared" si="7"/>
        <v>2.7310924369747899E-2</v>
      </c>
      <c r="W35" s="72">
        <f t="shared" si="13"/>
        <v>0.6441605839416058</v>
      </c>
      <c r="X35" s="69">
        <f t="shared" si="14"/>
        <v>8.7963104950009204E-3</v>
      </c>
      <c r="AA35" s="71">
        <f t="shared" si="8"/>
        <v>0.16333333333333333</v>
      </c>
      <c r="AB35" s="86">
        <f t="shared" si="9"/>
        <v>0.37956204379562042</v>
      </c>
      <c r="AC35" s="86">
        <f t="shared" si="15"/>
        <v>5.9333333333333335E-2</v>
      </c>
      <c r="AD35" s="88">
        <f t="shared" si="16"/>
        <v>1.9110097323600972E-2</v>
      </c>
    </row>
    <row r="36" spans="2:30" x14ac:dyDescent="0.3">
      <c r="B36" s="24">
        <f>MODEL!K37</f>
        <v>1</v>
      </c>
      <c r="C36" s="26">
        <f>MODEL!Q37</f>
        <v>531.21088613368659</v>
      </c>
      <c r="E36" s="24">
        <v>29</v>
      </c>
      <c r="F36" s="26">
        <f t="shared" si="10"/>
        <v>480</v>
      </c>
      <c r="H36" s="24">
        <f t="shared" si="0"/>
        <v>87</v>
      </c>
      <c r="I36" s="25">
        <f t="shared" si="1"/>
        <v>284</v>
      </c>
      <c r="J36" s="26">
        <f t="shared" si="2"/>
        <v>371</v>
      </c>
      <c r="K36" s="25"/>
      <c r="L36" s="33">
        <f t="shared" si="3"/>
        <v>9.1386554621848734E-2</v>
      </c>
      <c r="M36" s="34">
        <f t="shared" si="4"/>
        <v>0.51824817518248179</v>
      </c>
      <c r="N36" s="53">
        <f t="shared" si="5"/>
        <v>0.24733333333333332</v>
      </c>
      <c r="O36" s="34"/>
      <c r="P36" s="33">
        <f t="shared" si="17"/>
        <v>5.2521008403361345E-2</v>
      </c>
      <c r="Q36" s="34">
        <f t="shared" si="11"/>
        <v>7.9831932773109238E-2</v>
      </c>
      <c r="R36" s="53">
        <f t="shared" si="12"/>
        <v>0.13235294117647059</v>
      </c>
      <c r="S36" s="34"/>
      <c r="T36" s="64">
        <f t="shared" si="6"/>
        <v>0.42686162056063304</v>
      </c>
      <c r="U36" s="34"/>
      <c r="V36" s="71">
        <f t="shared" si="7"/>
        <v>5.2521008403361345E-2</v>
      </c>
      <c r="W36" s="72">
        <f t="shared" si="13"/>
        <v>0.8978102189781022</v>
      </c>
      <c r="X36" s="69">
        <f t="shared" si="14"/>
        <v>2.3576949027786297E-2</v>
      </c>
      <c r="AA36" s="71">
        <f t="shared" si="8"/>
        <v>0.24733333333333332</v>
      </c>
      <c r="AB36" s="86">
        <f t="shared" si="9"/>
        <v>0.51824817518248179</v>
      </c>
      <c r="AC36" s="86">
        <f t="shared" si="15"/>
        <v>8.3999999999999991E-2</v>
      </c>
      <c r="AD36" s="88">
        <f t="shared" si="16"/>
        <v>3.7708029197080287E-2</v>
      </c>
    </row>
    <row r="37" spans="2:30" x14ac:dyDescent="0.3">
      <c r="B37" s="24">
        <f>MODEL!K38</f>
        <v>0</v>
      </c>
      <c r="C37" s="26">
        <f>MODEL!Q38</f>
        <v>520.25873190912296</v>
      </c>
      <c r="E37" s="24">
        <v>30</v>
      </c>
      <c r="F37" s="26">
        <f t="shared" si="10"/>
        <v>495</v>
      </c>
      <c r="H37" s="24">
        <f t="shared" si="0"/>
        <v>191</v>
      </c>
      <c r="I37" s="25">
        <f t="shared" si="1"/>
        <v>377</v>
      </c>
      <c r="J37" s="26">
        <f t="shared" si="2"/>
        <v>568</v>
      </c>
      <c r="K37" s="25"/>
      <c r="L37" s="33">
        <f t="shared" si="3"/>
        <v>0.20063025210084034</v>
      </c>
      <c r="M37" s="34">
        <f t="shared" si="4"/>
        <v>0.68795620437956206</v>
      </c>
      <c r="N37" s="53">
        <f t="shared" si="5"/>
        <v>0.37866666666666665</v>
      </c>
      <c r="O37" s="34"/>
      <c r="P37" s="33">
        <f t="shared" si="17"/>
        <v>0.1092436974789916</v>
      </c>
      <c r="Q37" s="34">
        <f t="shared" si="11"/>
        <v>9.7689075630252101E-2</v>
      </c>
      <c r="R37" s="53">
        <f t="shared" si="12"/>
        <v>0.20693277310924368</v>
      </c>
      <c r="S37" s="34"/>
      <c r="T37" s="64">
        <f t="shared" si="6"/>
        <v>0.48732595227872172</v>
      </c>
      <c r="U37" s="34"/>
      <c r="V37" s="71">
        <f t="shared" si="7"/>
        <v>0.1092436974789916</v>
      </c>
      <c r="W37" s="72">
        <f t="shared" si="13"/>
        <v>1.2062043795620438</v>
      </c>
      <c r="X37" s="69">
        <f t="shared" si="14"/>
        <v>6.588511316935533E-2</v>
      </c>
      <c r="AA37" s="71">
        <f t="shared" si="8"/>
        <v>0.37866666666666665</v>
      </c>
      <c r="AB37" s="86">
        <f t="shared" si="9"/>
        <v>0.68795620437956206</v>
      </c>
      <c r="AC37" s="86">
        <f t="shared" si="15"/>
        <v>0.13133333333333333</v>
      </c>
      <c r="AD37" s="88">
        <f t="shared" si="16"/>
        <v>7.9207420924574209E-2</v>
      </c>
    </row>
    <row r="38" spans="2:30" x14ac:dyDescent="0.3">
      <c r="B38" s="24">
        <f>MODEL!K39</f>
        <v>0</v>
      </c>
      <c r="C38" s="26">
        <f>MODEL!Q39</f>
        <v>484.57285820435834</v>
      </c>
      <c r="E38" s="24">
        <v>31</v>
      </c>
      <c r="F38" s="26">
        <f t="shared" si="10"/>
        <v>510</v>
      </c>
      <c r="H38" s="24">
        <f t="shared" si="0"/>
        <v>322</v>
      </c>
      <c r="I38" s="25">
        <f t="shared" si="1"/>
        <v>461</v>
      </c>
      <c r="J38" s="26">
        <f t="shared" si="2"/>
        <v>783</v>
      </c>
      <c r="K38" s="25"/>
      <c r="L38" s="33">
        <f t="shared" si="3"/>
        <v>0.33823529411764708</v>
      </c>
      <c r="M38" s="34">
        <f t="shared" si="4"/>
        <v>0.84124087591240881</v>
      </c>
      <c r="N38" s="53">
        <f t="shared" si="5"/>
        <v>0.52200000000000002</v>
      </c>
      <c r="O38" s="34"/>
      <c r="P38" s="33">
        <f t="shared" si="17"/>
        <v>0.13760504201680673</v>
      </c>
      <c r="Q38" s="34">
        <f t="shared" si="11"/>
        <v>8.8235294117647065E-2</v>
      </c>
      <c r="R38" s="53">
        <f t="shared" si="12"/>
        <v>0.22584033613445378</v>
      </c>
      <c r="S38" s="34"/>
      <c r="T38" s="64">
        <f t="shared" si="6"/>
        <v>0.50300558179476174</v>
      </c>
      <c r="U38" s="34"/>
      <c r="V38" s="71">
        <f t="shared" si="7"/>
        <v>0.13760504201680673</v>
      </c>
      <c r="W38" s="72">
        <f t="shared" si="13"/>
        <v>1.5291970802919708</v>
      </c>
      <c r="X38" s="69">
        <f t="shared" si="14"/>
        <v>0.10521261424277741</v>
      </c>
      <c r="AA38" s="71">
        <f t="shared" si="8"/>
        <v>0.52200000000000002</v>
      </c>
      <c r="AB38" s="86">
        <f t="shared" si="9"/>
        <v>0.84124087591240881</v>
      </c>
      <c r="AC38" s="86">
        <f t="shared" si="15"/>
        <v>0.14333333333333337</v>
      </c>
      <c r="AD38" s="88">
        <f t="shared" si="16"/>
        <v>0.1095924574209246</v>
      </c>
    </row>
    <row r="39" spans="2:30" x14ac:dyDescent="0.3">
      <c r="B39" s="24">
        <f>MODEL!K40</f>
        <v>0</v>
      </c>
      <c r="C39" s="26">
        <f>MODEL!Q40</f>
        <v>524.67806945955408</v>
      </c>
      <c r="E39" s="24">
        <v>32</v>
      </c>
      <c r="F39" s="26">
        <f t="shared" si="10"/>
        <v>525</v>
      </c>
      <c r="H39" s="24">
        <f t="shared" si="0"/>
        <v>451</v>
      </c>
      <c r="I39" s="25">
        <f t="shared" si="1"/>
        <v>504</v>
      </c>
      <c r="J39" s="26">
        <f t="shared" si="2"/>
        <v>955</v>
      </c>
      <c r="K39" s="25"/>
      <c r="L39" s="33">
        <f t="shared" si="3"/>
        <v>0.47373949579831931</v>
      </c>
      <c r="M39" s="34">
        <f t="shared" si="4"/>
        <v>0.91970802919708028</v>
      </c>
      <c r="N39" s="53">
        <f t="shared" si="5"/>
        <v>0.63666666666666671</v>
      </c>
      <c r="O39" s="34"/>
      <c r="P39" s="33">
        <f t="shared" si="17"/>
        <v>0.13550420168067226</v>
      </c>
      <c r="Q39" s="34">
        <f t="shared" si="11"/>
        <v>4.5168067226890755E-2</v>
      </c>
      <c r="R39" s="53">
        <f t="shared" si="12"/>
        <v>0.18067226890756302</v>
      </c>
      <c r="S39" s="34"/>
      <c r="T39" s="64">
        <f t="shared" si="6"/>
        <v>0.44596853339876097</v>
      </c>
      <c r="U39" s="34"/>
      <c r="V39" s="71">
        <f t="shared" si="7"/>
        <v>0.13550420168067226</v>
      </c>
      <c r="W39" s="72">
        <f t="shared" si="13"/>
        <v>1.7609489051094891</v>
      </c>
      <c r="X39" s="69">
        <f t="shared" si="14"/>
        <v>0.1193079877936576</v>
      </c>
      <c r="AA39" s="71">
        <f t="shared" si="8"/>
        <v>0.63666666666666671</v>
      </c>
      <c r="AB39" s="86">
        <f t="shared" si="9"/>
        <v>0.91970802919708028</v>
      </c>
      <c r="AC39" s="86">
        <f t="shared" si="15"/>
        <v>0.11466666666666669</v>
      </c>
      <c r="AD39" s="88">
        <f t="shared" si="16"/>
        <v>0.10096107055961073</v>
      </c>
    </row>
    <row r="40" spans="2:30" x14ac:dyDescent="0.3">
      <c r="B40" s="24">
        <f>MODEL!K41</f>
        <v>0</v>
      </c>
      <c r="C40" s="26">
        <f>MODEL!Q41</f>
        <v>533.92073079124509</v>
      </c>
      <c r="E40" s="24">
        <v>33</v>
      </c>
      <c r="F40" s="26">
        <f t="shared" si="10"/>
        <v>540</v>
      </c>
      <c r="H40" s="24">
        <f t="shared" si="0"/>
        <v>562</v>
      </c>
      <c r="I40" s="25">
        <f t="shared" si="1"/>
        <v>532</v>
      </c>
      <c r="J40" s="26">
        <f t="shared" si="2"/>
        <v>1094</v>
      </c>
      <c r="K40" s="25"/>
      <c r="L40" s="33">
        <f t="shared" si="3"/>
        <v>0.59033613445378152</v>
      </c>
      <c r="M40" s="34">
        <f t="shared" si="4"/>
        <v>0.97080291970802923</v>
      </c>
      <c r="N40" s="53">
        <f t="shared" si="5"/>
        <v>0.72933333333333328</v>
      </c>
      <c r="O40" s="34"/>
      <c r="P40" s="33">
        <f t="shared" si="17"/>
        <v>0.11659663865546219</v>
      </c>
      <c r="Q40" s="34">
        <f t="shared" si="11"/>
        <v>2.9411764705882353E-2</v>
      </c>
      <c r="R40" s="53">
        <f t="shared" si="12"/>
        <v>0.14600840336134455</v>
      </c>
      <c r="S40" s="34"/>
      <c r="T40" s="64">
        <f t="shared" si="6"/>
        <v>0.38046678525424771</v>
      </c>
      <c r="U40" s="34"/>
      <c r="V40" s="71">
        <f t="shared" si="7"/>
        <v>0.11659663865546219</v>
      </c>
      <c r="W40" s="72">
        <f t="shared" si="13"/>
        <v>1.8905109489051095</v>
      </c>
      <c r="X40" s="69">
        <f t="shared" si="14"/>
        <v>0.110213610991842</v>
      </c>
      <c r="AA40" s="71">
        <f t="shared" si="8"/>
        <v>0.72933333333333328</v>
      </c>
      <c r="AB40" s="86">
        <f t="shared" si="9"/>
        <v>0.97080291970802923</v>
      </c>
      <c r="AC40" s="86">
        <f t="shared" si="15"/>
        <v>9.2666666666666564E-2</v>
      </c>
      <c r="AD40" s="88">
        <f t="shared" si="16"/>
        <v>8.7593673965936647E-2</v>
      </c>
    </row>
    <row r="41" spans="2:30" x14ac:dyDescent="0.3">
      <c r="B41" s="24">
        <f>MODEL!K42</f>
        <v>0</v>
      </c>
      <c r="C41" s="26">
        <f>MODEL!Q42</f>
        <v>585.35992921895831</v>
      </c>
      <c r="E41" s="24">
        <v>34</v>
      </c>
      <c r="F41" s="26">
        <f t="shared" si="10"/>
        <v>555</v>
      </c>
      <c r="H41" s="24">
        <f t="shared" si="0"/>
        <v>648</v>
      </c>
      <c r="I41" s="25">
        <f t="shared" si="1"/>
        <v>541</v>
      </c>
      <c r="J41" s="26">
        <f t="shared" si="2"/>
        <v>1189</v>
      </c>
      <c r="K41" s="25"/>
      <c r="L41" s="33">
        <f t="shared" si="3"/>
        <v>0.68067226890756305</v>
      </c>
      <c r="M41" s="34">
        <f t="shared" si="4"/>
        <v>0.98722627737226276</v>
      </c>
      <c r="N41" s="53">
        <f t="shared" si="5"/>
        <v>0.79266666666666663</v>
      </c>
      <c r="O41" s="34"/>
      <c r="P41" s="33">
        <f t="shared" si="17"/>
        <v>9.0336134453781511E-2</v>
      </c>
      <c r="Q41" s="34">
        <f t="shared" si="11"/>
        <v>9.4537815126050414E-3</v>
      </c>
      <c r="R41" s="53">
        <f t="shared" si="12"/>
        <v>9.9789915966386561E-2</v>
      </c>
      <c r="S41" s="34"/>
      <c r="T41" s="64">
        <f t="shared" si="6"/>
        <v>0.30655400846469971</v>
      </c>
      <c r="U41" s="34"/>
      <c r="V41" s="71">
        <f t="shared" si="7"/>
        <v>9.0336134453781511E-2</v>
      </c>
      <c r="W41" s="72">
        <f t="shared" si="13"/>
        <v>1.9580291970802919</v>
      </c>
      <c r="X41" s="69">
        <f t="shared" si="14"/>
        <v>8.8440394405937553E-2</v>
      </c>
      <c r="AA41" s="71">
        <f t="shared" si="8"/>
        <v>0.79266666666666663</v>
      </c>
      <c r="AB41" s="86">
        <f t="shared" si="9"/>
        <v>0.98722627737226276</v>
      </c>
      <c r="AC41" s="86">
        <f t="shared" si="15"/>
        <v>6.3333333333333353E-2</v>
      </c>
      <c r="AD41" s="88">
        <f t="shared" si="16"/>
        <v>6.2004257907542597E-2</v>
      </c>
    </row>
    <row r="42" spans="2:30" x14ac:dyDescent="0.3">
      <c r="B42" s="24">
        <f>MODEL!K43</f>
        <v>1</v>
      </c>
      <c r="C42" s="26">
        <f>MODEL!Q43</f>
        <v>445.81553294876272</v>
      </c>
      <c r="E42" s="24">
        <v>35</v>
      </c>
      <c r="F42" s="26">
        <f t="shared" si="10"/>
        <v>570</v>
      </c>
      <c r="H42" s="24">
        <f t="shared" si="0"/>
        <v>702</v>
      </c>
      <c r="I42" s="25">
        <f t="shared" si="1"/>
        <v>546</v>
      </c>
      <c r="J42" s="26">
        <f t="shared" si="2"/>
        <v>1248</v>
      </c>
      <c r="K42" s="25"/>
      <c r="L42" s="33">
        <f t="shared" si="3"/>
        <v>0.73739495798319332</v>
      </c>
      <c r="M42" s="34">
        <f t="shared" si="4"/>
        <v>0.9963503649635036</v>
      </c>
      <c r="N42" s="53">
        <f t="shared" si="5"/>
        <v>0.83199999999999996</v>
      </c>
      <c r="O42" s="34"/>
      <c r="P42" s="33">
        <f t="shared" si="17"/>
        <v>5.6722689075630252E-2</v>
      </c>
      <c r="Q42" s="34">
        <f t="shared" si="11"/>
        <v>5.2521008403361349E-3</v>
      </c>
      <c r="R42" s="53">
        <f t="shared" si="12"/>
        <v>6.1974789915966388E-2</v>
      </c>
      <c r="S42" s="34"/>
      <c r="T42" s="64">
        <f t="shared" si="6"/>
        <v>0.25895540698031028</v>
      </c>
      <c r="U42" s="34"/>
      <c r="V42" s="71">
        <f t="shared" si="7"/>
        <v>5.6722689075630252E-2</v>
      </c>
      <c r="W42" s="72">
        <f t="shared" si="13"/>
        <v>1.9835766423357664</v>
      </c>
      <c r="X42" s="69">
        <f t="shared" si="14"/>
        <v>5.6256900570447153E-2</v>
      </c>
      <c r="AA42" s="71">
        <f t="shared" si="8"/>
        <v>0.83199999999999996</v>
      </c>
      <c r="AB42" s="86">
        <f t="shared" si="9"/>
        <v>0.9963503649635036</v>
      </c>
      <c r="AC42" s="86">
        <f t="shared" si="15"/>
        <v>3.9333333333333331E-2</v>
      </c>
      <c r="AD42" s="88">
        <f t="shared" si="16"/>
        <v>3.9010340632603405E-2</v>
      </c>
    </row>
    <row r="43" spans="2:30" x14ac:dyDescent="0.3">
      <c r="B43" s="24">
        <f>MODEL!K44</f>
        <v>0</v>
      </c>
      <c r="C43" s="26">
        <f>MODEL!Q44</f>
        <v>724.96262762073309</v>
      </c>
      <c r="E43" s="24">
        <v>36</v>
      </c>
      <c r="F43" s="26">
        <f t="shared" si="10"/>
        <v>585</v>
      </c>
      <c r="H43" s="24">
        <f t="shared" si="0"/>
        <v>759</v>
      </c>
      <c r="I43" s="25">
        <f t="shared" si="1"/>
        <v>548</v>
      </c>
      <c r="J43" s="26">
        <f t="shared" si="2"/>
        <v>1307</v>
      </c>
      <c r="K43" s="25"/>
      <c r="L43" s="33">
        <f t="shared" si="3"/>
        <v>0.79726890756302526</v>
      </c>
      <c r="M43" s="34">
        <f t="shared" si="4"/>
        <v>1</v>
      </c>
      <c r="N43" s="53">
        <f t="shared" si="5"/>
        <v>0.87133333333333329</v>
      </c>
      <c r="O43" s="34"/>
      <c r="P43" s="33">
        <f t="shared" si="17"/>
        <v>5.9873949579831935E-2</v>
      </c>
      <c r="Q43" s="34">
        <f t="shared" si="11"/>
        <v>2.1008403361344537E-3</v>
      </c>
      <c r="R43" s="53">
        <f t="shared" si="12"/>
        <v>6.1974789915966388E-2</v>
      </c>
      <c r="S43" s="34"/>
      <c r="T43" s="64">
        <f t="shared" si="6"/>
        <v>0.20273109243697474</v>
      </c>
      <c r="U43" s="34"/>
      <c r="V43" s="71">
        <f t="shared" si="7"/>
        <v>5.9873949579831935E-2</v>
      </c>
      <c r="W43" s="72">
        <f t="shared" si="13"/>
        <v>1.9963503649635035</v>
      </c>
      <c r="X43" s="69">
        <f t="shared" si="14"/>
        <v>5.9764690547751943E-2</v>
      </c>
      <c r="AA43" s="71">
        <f t="shared" si="8"/>
        <v>0.87133333333333329</v>
      </c>
      <c r="AB43" s="86">
        <f t="shared" si="9"/>
        <v>1</v>
      </c>
      <c r="AC43" s="86">
        <f t="shared" si="15"/>
        <v>3.9333333333333331E-2</v>
      </c>
      <c r="AD43" s="88">
        <f t="shared" si="16"/>
        <v>3.9261557177615564E-2</v>
      </c>
    </row>
    <row r="44" spans="2:30" x14ac:dyDescent="0.3">
      <c r="B44" s="24">
        <f>MODEL!K45</f>
        <v>1</v>
      </c>
      <c r="C44" s="26">
        <f>MODEL!Q45</f>
        <v>549.65056173066773</v>
      </c>
      <c r="E44" s="24">
        <v>37</v>
      </c>
      <c r="F44" s="26">
        <f t="shared" si="10"/>
        <v>600</v>
      </c>
      <c r="H44" s="24">
        <f t="shared" si="0"/>
        <v>793</v>
      </c>
      <c r="I44" s="25">
        <f t="shared" si="1"/>
        <v>548</v>
      </c>
      <c r="J44" s="26">
        <f t="shared" si="2"/>
        <v>1341</v>
      </c>
      <c r="K44" s="25"/>
      <c r="L44" s="33">
        <f t="shared" si="3"/>
        <v>0.83298319327731096</v>
      </c>
      <c r="M44" s="34">
        <f t="shared" si="4"/>
        <v>1</v>
      </c>
      <c r="N44" s="53">
        <f t="shared" si="5"/>
        <v>0.89400000000000002</v>
      </c>
      <c r="O44" s="34"/>
      <c r="P44" s="33">
        <f t="shared" si="17"/>
        <v>3.5714285714285712E-2</v>
      </c>
      <c r="Q44" s="34">
        <f t="shared" si="11"/>
        <v>0</v>
      </c>
      <c r="R44" s="53">
        <f t="shared" si="12"/>
        <v>3.5714285714285712E-2</v>
      </c>
      <c r="S44" s="34"/>
      <c r="T44" s="64">
        <f t="shared" si="6"/>
        <v>0.16701680672268904</v>
      </c>
      <c r="U44" s="34"/>
      <c r="V44" s="71">
        <f t="shared" si="7"/>
        <v>3.5714285714285712E-2</v>
      </c>
      <c r="W44" s="72">
        <f t="shared" si="13"/>
        <v>2</v>
      </c>
      <c r="X44" s="69">
        <f t="shared" si="14"/>
        <v>3.5714285714285712E-2</v>
      </c>
      <c r="AA44" s="71">
        <f t="shared" si="8"/>
        <v>0.89400000000000002</v>
      </c>
      <c r="AB44" s="86">
        <f t="shared" si="9"/>
        <v>1</v>
      </c>
      <c r="AC44" s="86">
        <f t="shared" si="15"/>
        <v>2.2666666666666724E-2</v>
      </c>
      <c r="AD44" s="88">
        <f t="shared" si="16"/>
        <v>2.2666666666666724E-2</v>
      </c>
    </row>
    <row r="45" spans="2:30" x14ac:dyDescent="0.3">
      <c r="B45" s="24">
        <f>MODEL!K46</f>
        <v>1</v>
      </c>
      <c r="C45" s="26">
        <f>MODEL!Q46</f>
        <v>497.40913001650347</v>
      </c>
      <c r="E45" s="24">
        <v>38</v>
      </c>
      <c r="F45" s="26">
        <f t="shared" si="10"/>
        <v>615</v>
      </c>
      <c r="H45" s="24">
        <f t="shared" si="0"/>
        <v>814</v>
      </c>
      <c r="I45" s="25">
        <f t="shared" si="1"/>
        <v>548</v>
      </c>
      <c r="J45" s="26">
        <f t="shared" si="2"/>
        <v>1362</v>
      </c>
      <c r="K45" s="25"/>
      <c r="L45" s="33">
        <f t="shared" si="3"/>
        <v>0.85504201680672265</v>
      </c>
      <c r="M45" s="34">
        <f t="shared" si="4"/>
        <v>1</v>
      </c>
      <c r="N45" s="53">
        <f t="shared" si="5"/>
        <v>0.90800000000000003</v>
      </c>
      <c r="O45" s="34"/>
      <c r="P45" s="33">
        <f t="shared" si="17"/>
        <v>2.2058823529411766E-2</v>
      </c>
      <c r="Q45" s="34">
        <f t="shared" si="11"/>
        <v>0</v>
      </c>
      <c r="R45" s="53">
        <f t="shared" si="12"/>
        <v>2.2058823529411766E-2</v>
      </c>
      <c r="S45" s="34"/>
      <c r="T45" s="64">
        <f t="shared" si="6"/>
        <v>0.14495798319327735</v>
      </c>
      <c r="U45" s="34"/>
      <c r="V45" s="71">
        <f t="shared" si="7"/>
        <v>2.2058823529411766E-2</v>
      </c>
      <c r="W45" s="72">
        <f t="shared" si="13"/>
        <v>2</v>
      </c>
      <c r="X45" s="69">
        <f t="shared" si="14"/>
        <v>2.2058823529411766E-2</v>
      </c>
      <c r="AA45" s="71">
        <f t="shared" si="8"/>
        <v>0.90800000000000003</v>
      </c>
      <c r="AB45" s="86">
        <f t="shared" si="9"/>
        <v>1</v>
      </c>
      <c r="AC45" s="86">
        <f t="shared" si="15"/>
        <v>1.4000000000000012E-2</v>
      </c>
      <c r="AD45" s="88">
        <f t="shared" si="16"/>
        <v>1.4000000000000012E-2</v>
      </c>
    </row>
    <row r="46" spans="2:30" x14ac:dyDescent="0.3">
      <c r="B46" s="24">
        <f>MODEL!K47</f>
        <v>0</v>
      </c>
      <c r="C46" s="26">
        <f>MODEL!Q47</f>
        <v>661.3937338330345</v>
      </c>
      <c r="E46" s="24">
        <v>39</v>
      </c>
      <c r="F46" s="26">
        <f t="shared" si="10"/>
        <v>630</v>
      </c>
      <c r="H46" s="24">
        <f t="shared" si="0"/>
        <v>836</v>
      </c>
      <c r="I46" s="25">
        <f t="shared" si="1"/>
        <v>548</v>
      </c>
      <c r="J46" s="26">
        <f t="shared" si="2"/>
        <v>1384</v>
      </c>
      <c r="K46" s="25"/>
      <c r="L46" s="33">
        <f t="shared" si="3"/>
        <v>0.87815126050420167</v>
      </c>
      <c r="M46" s="34">
        <f t="shared" si="4"/>
        <v>1</v>
      </c>
      <c r="N46" s="53">
        <f t="shared" si="5"/>
        <v>0.92266666666666663</v>
      </c>
      <c r="O46" s="34"/>
      <c r="P46" s="33">
        <f t="shared" si="17"/>
        <v>2.3109243697478993E-2</v>
      </c>
      <c r="Q46" s="34">
        <f t="shared" si="11"/>
        <v>0</v>
      </c>
      <c r="R46" s="53">
        <f t="shared" si="12"/>
        <v>2.3109243697478993E-2</v>
      </c>
      <c r="S46" s="34"/>
      <c r="T46" s="64">
        <f t="shared" si="6"/>
        <v>0.12184873949579833</v>
      </c>
      <c r="U46" s="34"/>
      <c r="V46" s="71">
        <f t="shared" si="7"/>
        <v>2.3109243697478993E-2</v>
      </c>
      <c r="W46" s="72">
        <f t="shared" si="13"/>
        <v>2</v>
      </c>
      <c r="X46" s="69">
        <f t="shared" si="14"/>
        <v>2.3109243697478993E-2</v>
      </c>
      <c r="AA46" s="71">
        <f t="shared" si="8"/>
        <v>0.92266666666666663</v>
      </c>
      <c r="AB46" s="86">
        <f t="shared" si="9"/>
        <v>1</v>
      </c>
      <c r="AC46" s="86">
        <f t="shared" si="15"/>
        <v>1.4666666666666606E-2</v>
      </c>
      <c r="AD46" s="88">
        <f t="shared" si="16"/>
        <v>1.4666666666666606E-2</v>
      </c>
    </row>
    <row r="47" spans="2:30" x14ac:dyDescent="0.3">
      <c r="B47" s="24">
        <f>MODEL!K48</f>
        <v>0</v>
      </c>
      <c r="C47" s="26">
        <f>MODEL!Q48</f>
        <v>609.42945770262577</v>
      </c>
      <c r="E47" s="24">
        <v>40</v>
      </c>
      <c r="F47" s="26">
        <f t="shared" si="10"/>
        <v>645</v>
      </c>
      <c r="H47" s="24">
        <f t="shared" si="0"/>
        <v>861</v>
      </c>
      <c r="I47" s="25">
        <f t="shared" si="1"/>
        <v>548</v>
      </c>
      <c r="J47" s="26">
        <f t="shared" si="2"/>
        <v>1409</v>
      </c>
      <c r="K47" s="25"/>
      <c r="L47" s="33">
        <f t="shared" si="3"/>
        <v>0.90441176470588236</v>
      </c>
      <c r="M47" s="34">
        <f t="shared" si="4"/>
        <v>1</v>
      </c>
      <c r="N47" s="53">
        <f t="shared" si="5"/>
        <v>0.93933333333333335</v>
      </c>
      <c r="O47" s="34"/>
      <c r="P47" s="33">
        <f t="shared" si="17"/>
        <v>2.6260504201680673E-2</v>
      </c>
      <c r="Q47" s="34">
        <f t="shared" si="11"/>
        <v>0</v>
      </c>
      <c r="R47" s="53">
        <f t="shared" si="12"/>
        <v>2.6260504201680673E-2</v>
      </c>
      <c r="S47" s="34"/>
      <c r="T47" s="64">
        <f t="shared" si="6"/>
        <v>9.5588235294117641E-2</v>
      </c>
      <c r="U47" s="34"/>
      <c r="V47" s="71">
        <f t="shared" si="7"/>
        <v>2.6260504201680673E-2</v>
      </c>
      <c r="W47" s="72">
        <f t="shared" si="13"/>
        <v>2</v>
      </c>
      <c r="X47" s="69">
        <f t="shared" si="14"/>
        <v>2.6260504201680673E-2</v>
      </c>
      <c r="AA47" s="71">
        <f t="shared" si="8"/>
        <v>0.93933333333333335</v>
      </c>
      <c r="AB47" s="86">
        <f t="shared" si="9"/>
        <v>1</v>
      </c>
      <c r="AC47" s="86">
        <f t="shared" si="15"/>
        <v>1.6666666666666718E-2</v>
      </c>
      <c r="AD47" s="88">
        <f t="shared" si="16"/>
        <v>1.6666666666666718E-2</v>
      </c>
    </row>
    <row r="48" spans="2:30" x14ac:dyDescent="0.3">
      <c r="B48" s="24">
        <f>MODEL!K49</f>
        <v>0</v>
      </c>
      <c r="C48" s="26">
        <f>MODEL!Q49</f>
        <v>535.36450419619621</v>
      </c>
      <c r="E48" s="24">
        <v>41</v>
      </c>
      <c r="F48" s="26">
        <f t="shared" si="10"/>
        <v>660</v>
      </c>
      <c r="H48" s="24">
        <f t="shared" si="0"/>
        <v>883</v>
      </c>
      <c r="I48" s="25">
        <f t="shared" si="1"/>
        <v>548</v>
      </c>
      <c r="J48" s="26">
        <f t="shared" si="2"/>
        <v>1431</v>
      </c>
      <c r="K48" s="25"/>
      <c r="L48" s="33">
        <f t="shared" si="3"/>
        <v>0.92752100840336138</v>
      </c>
      <c r="M48" s="34">
        <f t="shared" si="4"/>
        <v>1</v>
      </c>
      <c r="N48" s="53">
        <f t="shared" si="5"/>
        <v>0.95399999999999996</v>
      </c>
      <c r="O48" s="34"/>
      <c r="P48" s="33">
        <f t="shared" si="17"/>
        <v>2.3109243697478993E-2</v>
      </c>
      <c r="Q48" s="34">
        <f t="shared" si="11"/>
        <v>0</v>
      </c>
      <c r="R48" s="53">
        <f t="shared" si="12"/>
        <v>2.3109243697478993E-2</v>
      </c>
      <c r="S48" s="34"/>
      <c r="T48" s="64">
        <f t="shared" si="6"/>
        <v>7.247899159663862E-2</v>
      </c>
      <c r="U48" s="34"/>
      <c r="V48" s="71">
        <f t="shared" si="7"/>
        <v>2.3109243697478993E-2</v>
      </c>
      <c r="W48" s="72">
        <f t="shared" si="13"/>
        <v>2</v>
      </c>
      <c r="X48" s="69">
        <f t="shared" si="14"/>
        <v>2.3109243697478993E-2</v>
      </c>
      <c r="AA48" s="71">
        <f t="shared" si="8"/>
        <v>0.95399999999999996</v>
      </c>
      <c r="AB48" s="86">
        <f t="shared" si="9"/>
        <v>1</v>
      </c>
      <c r="AC48" s="86">
        <f t="shared" si="15"/>
        <v>1.4666666666666606E-2</v>
      </c>
      <c r="AD48" s="88">
        <f t="shared" si="16"/>
        <v>1.4666666666666606E-2</v>
      </c>
    </row>
    <row r="49" spans="2:30" x14ac:dyDescent="0.3">
      <c r="B49" s="24">
        <f>MODEL!K50</f>
        <v>0</v>
      </c>
      <c r="C49" s="26">
        <f>MODEL!Q50</f>
        <v>521.10799380293111</v>
      </c>
      <c r="E49" s="24">
        <v>42</v>
      </c>
      <c r="F49" s="26">
        <f t="shared" si="10"/>
        <v>675</v>
      </c>
      <c r="H49" s="24">
        <f t="shared" si="0"/>
        <v>907</v>
      </c>
      <c r="I49" s="25">
        <f t="shared" si="1"/>
        <v>548</v>
      </c>
      <c r="J49" s="26">
        <f t="shared" si="2"/>
        <v>1455</v>
      </c>
      <c r="K49" s="25"/>
      <c r="L49" s="33">
        <f t="shared" si="3"/>
        <v>0.95273109243697474</v>
      </c>
      <c r="M49" s="34">
        <f t="shared" si="4"/>
        <v>1</v>
      </c>
      <c r="N49" s="53">
        <f t="shared" si="5"/>
        <v>0.97</v>
      </c>
      <c r="O49" s="34"/>
      <c r="P49" s="33">
        <f t="shared" si="17"/>
        <v>2.5210084033613446E-2</v>
      </c>
      <c r="Q49" s="34">
        <f t="shared" si="11"/>
        <v>0</v>
      </c>
      <c r="R49" s="53">
        <f t="shared" si="12"/>
        <v>2.5210084033613446E-2</v>
      </c>
      <c r="S49" s="34"/>
      <c r="T49" s="64">
        <f t="shared" si="6"/>
        <v>4.7268907563025264E-2</v>
      </c>
      <c r="U49" s="34"/>
      <c r="V49" s="71">
        <f t="shared" si="7"/>
        <v>2.5210084033613446E-2</v>
      </c>
      <c r="W49" s="72">
        <f t="shared" si="13"/>
        <v>2</v>
      </c>
      <c r="X49" s="69">
        <f t="shared" si="14"/>
        <v>2.5210084033613446E-2</v>
      </c>
      <c r="AA49" s="71">
        <f t="shared" si="8"/>
        <v>0.97</v>
      </c>
      <c r="AB49" s="86">
        <f t="shared" si="9"/>
        <v>1</v>
      </c>
      <c r="AC49" s="86">
        <f t="shared" si="15"/>
        <v>1.6000000000000014E-2</v>
      </c>
      <c r="AD49" s="88">
        <f t="shared" si="16"/>
        <v>1.6000000000000014E-2</v>
      </c>
    </row>
    <row r="50" spans="2:30" x14ac:dyDescent="0.3">
      <c r="B50" s="24">
        <f>MODEL!K51</f>
        <v>1</v>
      </c>
      <c r="C50" s="26">
        <f>MODEL!Q51</f>
        <v>437.66985157684263</v>
      </c>
      <c r="E50" s="24">
        <v>43</v>
      </c>
      <c r="F50" s="26">
        <f t="shared" si="10"/>
        <v>690</v>
      </c>
      <c r="H50" s="24">
        <f t="shared" si="0"/>
        <v>918</v>
      </c>
      <c r="I50" s="25">
        <f t="shared" si="1"/>
        <v>548</v>
      </c>
      <c r="J50" s="26">
        <f t="shared" si="2"/>
        <v>1466</v>
      </c>
      <c r="K50" s="25"/>
      <c r="L50" s="33">
        <f t="shared" si="3"/>
        <v>0.9642857142857143</v>
      </c>
      <c r="M50" s="34">
        <f t="shared" si="4"/>
        <v>1</v>
      </c>
      <c r="N50" s="53">
        <f t="shared" si="5"/>
        <v>0.97733333333333339</v>
      </c>
      <c r="O50" s="34"/>
      <c r="P50" s="33">
        <f t="shared" si="17"/>
        <v>1.1554621848739496E-2</v>
      </c>
      <c r="Q50" s="34">
        <f t="shared" si="11"/>
        <v>0</v>
      </c>
      <c r="R50" s="53">
        <f t="shared" si="12"/>
        <v>1.1554621848739496E-2</v>
      </c>
      <c r="S50" s="34"/>
      <c r="T50" s="64">
        <f t="shared" si="6"/>
        <v>3.5714285714285698E-2</v>
      </c>
      <c r="U50" s="34"/>
      <c r="V50" s="71">
        <f t="shared" si="7"/>
        <v>1.1554621848739496E-2</v>
      </c>
      <c r="W50" s="72">
        <f t="shared" si="13"/>
        <v>2</v>
      </c>
      <c r="X50" s="69">
        <f t="shared" si="14"/>
        <v>1.1554621848739496E-2</v>
      </c>
      <c r="AA50" s="71">
        <f t="shared" si="8"/>
        <v>0.97733333333333339</v>
      </c>
      <c r="AB50" s="86">
        <f t="shared" si="9"/>
        <v>1</v>
      </c>
      <c r="AC50" s="86">
        <f t="shared" si="15"/>
        <v>7.3333333333334139E-3</v>
      </c>
      <c r="AD50" s="88">
        <f t="shared" si="16"/>
        <v>7.3333333333334139E-3</v>
      </c>
    </row>
    <row r="51" spans="2:30" x14ac:dyDescent="0.3">
      <c r="B51" s="24">
        <f>MODEL!K52</f>
        <v>1</v>
      </c>
      <c r="C51" s="26">
        <f>MODEL!Q52</f>
        <v>410.14977433119128</v>
      </c>
      <c r="E51" s="24">
        <v>44</v>
      </c>
      <c r="F51" s="26">
        <f t="shared" si="10"/>
        <v>705</v>
      </c>
      <c r="H51" s="24">
        <f t="shared" si="0"/>
        <v>924</v>
      </c>
      <c r="I51" s="25">
        <f t="shared" si="1"/>
        <v>548</v>
      </c>
      <c r="J51" s="26">
        <f t="shared" si="2"/>
        <v>1472</v>
      </c>
      <c r="K51" s="25"/>
      <c r="L51" s="33">
        <f t="shared" si="3"/>
        <v>0.97058823529411764</v>
      </c>
      <c r="M51" s="34">
        <f t="shared" si="4"/>
        <v>1</v>
      </c>
      <c r="N51" s="53">
        <f t="shared" si="5"/>
        <v>0.98133333333333328</v>
      </c>
      <c r="O51" s="34"/>
      <c r="P51" s="33">
        <f t="shared" si="17"/>
        <v>6.3025210084033615E-3</v>
      </c>
      <c r="Q51" s="34">
        <f t="shared" si="11"/>
        <v>0</v>
      </c>
      <c r="R51" s="53">
        <f t="shared" si="12"/>
        <v>6.3025210084033615E-3</v>
      </c>
      <c r="S51" s="34"/>
      <c r="T51" s="64">
        <f t="shared" si="6"/>
        <v>2.9411764705882359E-2</v>
      </c>
      <c r="U51" s="34"/>
      <c r="V51" s="71">
        <f t="shared" si="7"/>
        <v>6.3025210084033615E-3</v>
      </c>
      <c r="W51" s="72">
        <f t="shared" si="13"/>
        <v>2</v>
      </c>
      <c r="X51" s="69">
        <f t="shared" si="14"/>
        <v>6.3025210084033615E-3</v>
      </c>
      <c r="AA51" s="71">
        <f t="shared" si="8"/>
        <v>0.98133333333333328</v>
      </c>
      <c r="AB51" s="86">
        <f t="shared" si="9"/>
        <v>1</v>
      </c>
      <c r="AC51" s="86">
        <f t="shared" si="15"/>
        <v>3.9999999999998925E-3</v>
      </c>
      <c r="AD51" s="88">
        <f t="shared" si="16"/>
        <v>3.9999999999998925E-3</v>
      </c>
    </row>
    <row r="52" spans="2:30" x14ac:dyDescent="0.3">
      <c r="B52" s="24">
        <f>MODEL!K53</f>
        <v>0</v>
      </c>
      <c r="C52" s="26">
        <f>MODEL!Q53</f>
        <v>648.93924504202653</v>
      </c>
      <c r="E52" s="24">
        <v>45</v>
      </c>
      <c r="F52" s="26">
        <f t="shared" si="10"/>
        <v>720</v>
      </c>
      <c r="H52" s="24">
        <f t="shared" si="0"/>
        <v>932</v>
      </c>
      <c r="I52" s="25">
        <f t="shared" si="1"/>
        <v>548</v>
      </c>
      <c r="J52" s="26">
        <f t="shared" si="2"/>
        <v>1480</v>
      </c>
      <c r="K52" s="25"/>
      <c r="L52" s="33">
        <f t="shared" si="3"/>
        <v>0.97899159663865543</v>
      </c>
      <c r="M52" s="34">
        <f t="shared" si="4"/>
        <v>1</v>
      </c>
      <c r="N52" s="53">
        <f t="shared" si="5"/>
        <v>0.98666666666666669</v>
      </c>
      <c r="O52" s="34"/>
      <c r="P52" s="33">
        <f t="shared" si="17"/>
        <v>8.4033613445378148E-3</v>
      </c>
      <c r="Q52" s="34">
        <f t="shared" si="11"/>
        <v>0</v>
      </c>
      <c r="R52" s="53">
        <f t="shared" si="12"/>
        <v>8.4033613445378148E-3</v>
      </c>
      <c r="S52" s="34"/>
      <c r="T52" s="64">
        <f t="shared" si="6"/>
        <v>2.1008403361344574E-2</v>
      </c>
      <c r="U52" s="34"/>
      <c r="V52" s="71">
        <f t="shared" si="7"/>
        <v>8.4033613445378148E-3</v>
      </c>
      <c r="W52" s="72">
        <f t="shared" si="13"/>
        <v>2</v>
      </c>
      <c r="X52" s="69">
        <f t="shared" si="14"/>
        <v>8.4033613445378148E-3</v>
      </c>
      <c r="AA52" s="71">
        <f t="shared" si="8"/>
        <v>0.98666666666666669</v>
      </c>
      <c r="AB52" s="86">
        <f t="shared" si="9"/>
        <v>1</v>
      </c>
      <c r="AC52" s="86">
        <f t="shared" si="15"/>
        <v>5.3333333333334121E-3</v>
      </c>
      <c r="AD52" s="88">
        <f t="shared" si="16"/>
        <v>5.3333333333334121E-3</v>
      </c>
    </row>
    <row r="53" spans="2:30" x14ac:dyDescent="0.3">
      <c r="B53" s="24">
        <f>MODEL!K54</f>
        <v>1</v>
      </c>
      <c r="C53" s="26">
        <f>MODEL!Q54</f>
        <v>487.60224182073779</v>
      </c>
      <c r="E53" s="24">
        <v>46</v>
      </c>
      <c r="F53" s="26">
        <f t="shared" si="10"/>
        <v>735</v>
      </c>
      <c r="H53" s="24">
        <f t="shared" si="0"/>
        <v>937</v>
      </c>
      <c r="I53" s="25">
        <f t="shared" si="1"/>
        <v>548</v>
      </c>
      <c r="J53" s="26">
        <f t="shared" si="2"/>
        <v>1485</v>
      </c>
      <c r="K53" s="25"/>
      <c r="L53" s="33">
        <f t="shared" si="3"/>
        <v>0.98424369747899154</v>
      </c>
      <c r="M53" s="34">
        <f t="shared" si="4"/>
        <v>1</v>
      </c>
      <c r="N53" s="53">
        <f t="shared" si="5"/>
        <v>0.99</v>
      </c>
      <c r="O53" s="34"/>
      <c r="P53" s="33">
        <f t="shared" si="17"/>
        <v>5.2521008403361349E-3</v>
      </c>
      <c r="Q53" s="34">
        <f t="shared" si="11"/>
        <v>0</v>
      </c>
      <c r="R53" s="53">
        <f t="shared" si="12"/>
        <v>5.2521008403361349E-3</v>
      </c>
      <c r="S53" s="34"/>
      <c r="T53" s="64">
        <f t="shared" si="6"/>
        <v>1.5756302521008458E-2</v>
      </c>
      <c r="U53" s="34"/>
      <c r="V53" s="71">
        <f t="shared" si="7"/>
        <v>5.2521008403361349E-3</v>
      </c>
      <c r="W53" s="72">
        <f t="shared" si="13"/>
        <v>2</v>
      </c>
      <c r="X53" s="69">
        <f t="shared" si="14"/>
        <v>5.2521008403361349E-3</v>
      </c>
      <c r="AA53" s="71">
        <f t="shared" si="8"/>
        <v>0.99</v>
      </c>
      <c r="AB53" s="86">
        <f t="shared" si="9"/>
        <v>1</v>
      </c>
      <c r="AC53" s="86">
        <f t="shared" si="15"/>
        <v>3.3333333333332993E-3</v>
      </c>
      <c r="AD53" s="88">
        <f t="shared" si="16"/>
        <v>3.3333333333332993E-3</v>
      </c>
    </row>
    <row r="54" spans="2:30" x14ac:dyDescent="0.3">
      <c r="B54" s="24">
        <f>MODEL!K55</f>
        <v>1</v>
      </c>
      <c r="C54" s="26">
        <f>MODEL!Q55</f>
        <v>431.70716277029288</v>
      </c>
      <c r="E54" s="24">
        <v>47</v>
      </c>
      <c r="F54" s="26">
        <f t="shared" si="10"/>
        <v>750</v>
      </c>
      <c r="H54" s="24">
        <f t="shared" si="0"/>
        <v>941</v>
      </c>
      <c r="I54" s="25">
        <f t="shared" si="1"/>
        <v>548</v>
      </c>
      <c r="J54" s="26">
        <f t="shared" si="2"/>
        <v>1489</v>
      </c>
      <c r="K54" s="25"/>
      <c r="L54" s="33">
        <f t="shared" si="3"/>
        <v>0.98844537815126055</v>
      </c>
      <c r="M54" s="34">
        <f t="shared" si="4"/>
        <v>1</v>
      </c>
      <c r="N54" s="53">
        <f t="shared" si="5"/>
        <v>0.9926666666666667</v>
      </c>
      <c r="O54" s="34"/>
      <c r="P54" s="33">
        <f t="shared" si="17"/>
        <v>4.2016806722689074E-3</v>
      </c>
      <c r="Q54" s="34">
        <f t="shared" si="11"/>
        <v>0</v>
      </c>
      <c r="R54" s="53">
        <f t="shared" si="12"/>
        <v>4.2016806722689074E-3</v>
      </c>
      <c r="S54" s="34"/>
      <c r="T54" s="64">
        <f t="shared" si="6"/>
        <v>1.1554621848739455E-2</v>
      </c>
      <c r="U54" s="34"/>
      <c r="V54" s="71">
        <f t="shared" si="7"/>
        <v>4.2016806722689074E-3</v>
      </c>
      <c r="W54" s="72">
        <f t="shared" si="13"/>
        <v>2</v>
      </c>
      <c r="X54" s="69">
        <f t="shared" si="14"/>
        <v>4.2016806722689074E-3</v>
      </c>
      <c r="AA54" s="71">
        <f t="shared" si="8"/>
        <v>0.9926666666666667</v>
      </c>
      <c r="AB54" s="86">
        <f t="shared" si="9"/>
        <v>1</v>
      </c>
      <c r="AC54" s="86">
        <f t="shared" si="15"/>
        <v>2.666666666666706E-3</v>
      </c>
      <c r="AD54" s="88">
        <f t="shared" si="16"/>
        <v>2.666666666666706E-3</v>
      </c>
    </row>
    <row r="55" spans="2:30" x14ac:dyDescent="0.3">
      <c r="B55" s="24">
        <f>MODEL!K56</f>
        <v>0</v>
      </c>
      <c r="C55" s="26">
        <f>MODEL!Q56</f>
        <v>455.01555273518409</v>
      </c>
      <c r="E55" s="24">
        <v>48</v>
      </c>
      <c r="F55" s="26">
        <f t="shared" si="10"/>
        <v>765</v>
      </c>
      <c r="H55" s="24">
        <f t="shared" si="0"/>
        <v>948</v>
      </c>
      <c r="I55" s="25">
        <f t="shared" si="1"/>
        <v>548</v>
      </c>
      <c r="J55" s="26">
        <f t="shared" si="2"/>
        <v>1496</v>
      </c>
      <c r="K55" s="25"/>
      <c r="L55" s="33">
        <f t="shared" si="3"/>
        <v>0.99579831932773111</v>
      </c>
      <c r="M55" s="34">
        <f t="shared" si="4"/>
        <v>1</v>
      </c>
      <c r="N55" s="53">
        <f t="shared" si="5"/>
        <v>0.99733333333333329</v>
      </c>
      <c r="O55" s="34"/>
      <c r="P55" s="33">
        <f t="shared" si="17"/>
        <v>7.3529411764705881E-3</v>
      </c>
      <c r="Q55" s="34">
        <f t="shared" si="11"/>
        <v>0</v>
      </c>
      <c r="R55" s="53">
        <f t="shared" si="12"/>
        <v>7.3529411764705881E-3</v>
      </c>
      <c r="S55" s="34"/>
      <c r="T55" s="64">
        <f t="shared" si="6"/>
        <v>4.2016806722688926E-3</v>
      </c>
      <c r="U55" s="34"/>
      <c r="V55" s="71">
        <f t="shared" si="7"/>
        <v>7.3529411764705881E-3</v>
      </c>
      <c r="W55" s="72">
        <f t="shared" si="13"/>
        <v>2</v>
      </c>
      <c r="X55" s="69">
        <f t="shared" si="14"/>
        <v>7.3529411764705881E-3</v>
      </c>
      <c r="AA55" s="71">
        <f t="shared" si="8"/>
        <v>0.99733333333333329</v>
      </c>
      <c r="AB55" s="86">
        <f t="shared" si="9"/>
        <v>1</v>
      </c>
      <c r="AC55" s="86">
        <f t="shared" si="15"/>
        <v>4.6666666666665968E-3</v>
      </c>
      <c r="AD55" s="88">
        <f t="shared" si="16"/>
        <v>4.6666666666665968E-3</v>
      </c>
    </row>
    <row r="56" spans="2:30" x14ac:dyDescent="0.3">
      <c r="B56" s="24">
        <f>MODEL!K57</f>
        <v>0</v>
      </c>
      <c r="C56" s="26">
        <f>MODEL!Q57</f>
        <v>603.85471389594227</v>
      </c>
      <c r="E56" s="24">
        <v>49</v>
      </c>
      <c r="F56" s="26">
        <f t="shared" si="10"/>
        <v>780</v>
      </c>
      <c r="H56" s="24">
        <f t="shared" si="0"/>
        <v>949</v>
      </c>
      <c r="I56" s="25">
        <f t="shared" si="1"/>
        <v>548</v>
      </c>
      <c r="J56" s="26">
        <f t="shared" si="2"/>
        <v>1497</v>
      </c>
      <c r="K56" s="25"/>
      <c r="L56" s="33">
        <f t="shared" si="3"/>
        <v>0.99684873949579833</v>
      </c>
      <c r="M56" s="34">
        <f t="shared" si="4"/>
        <v>1</v>
      </c>
      <c r="N56" s="53">
        <f t="shared" si="5"/>
        <v>0.998</v>
      </c>
      <c r="O56" s="34"/>
      <c r="P56" s="33">
        <f t="shared" si="17"/>
        <v>1.0504201680672268E-3</v>
      </c>
      <c r="Q56" s="34">
        <f t="shared" si="11"/>
        <v>0</v>
      </c>
      <c r="R56" s="53">
        <f t="shared" si="12"/>
        <v>1.0504201680672268E-3</v>
      </c>
      <c r="S56" s="34"/>
      <c r="T56" s="64">
        <f t="shared" si="6"/>
        <v>3.1512605042016695E-3</v>
      </c>
      <c r="U56" s="34"/>
      <c r="V56" s="71">
        <f t="shared" si="7"/>
        <v>1.0504201680672268E-3</v>
      </c>
      <c r="W56" s="72">
        <f t="shared" si="13"/>
        <v>2</v>
      </c>
      <c r="X56" s="69">
        <f t="shared" si="14"/>
        <v>1.0504201680672268E-3</v>
      </c>
      <c r="AA56" s="71">
        <f t="shared" si="8"/>
        <v>0.998</v>
      </c>
      <c r="AB56" s="86">
        <f t="shared" si="9"/>
        <v>1</v>
      </c>
      <c r="AC56" s="86">
        <f t="shared" si="15"/>
        <v>6.6666666666670427E-4</v>
      </c>
      <c r="AD56" s="88">
        <f t="shared" si="16"/>
        <v>6.6666666666670427E-4</v>
      </c>
    </row>
    <row r="57" spans="2:30" x14ac:dyDescent="0.3">
      <c r="B57" s="24">
        <f>MODEL!K58</f>
        <v>0</v>
      </c>
      <c r="C57" s="26">
        <f>MODEL!Q58</f>
        <v>533.13293993112836</v>
      </c>
      <c r="E57" s="24">
        <v>50</v>
      </c>
      <c r="F57" s="26">
        <f t="shared" si="10"/>
        <v>795</v>
      </c>
      <c r="H57" s="24">
        <f t="shared" si="0"/>
        <v>950</v>
      </c>
      <c r="I57" s="25">
        <f t="shared" si="1"/>
        <v>548</v>
      </c>
      <c r="J57" s="26">
        <f t="shared" si="2"/>
        <v>1498</v>
      </c>
      <c r="K57" s="25"/>
      <c r="L57" s="33">
        <f t="shared" si="3"/>
        <v>0.99789915966386555</v>
      </c>
      <c r="M57" s="34">
        <f t="shared" si="4"/>
        <v>1</v>
      </c>
      <c r="N57" s="53">
        <f t="shared" si="5"/>
        <v>0.9986666666666667</v>
      </c>
      <c r="O57" s="34"/>
      <c r="P57" s="33">
        <f t="shared" si="17"/>
        <v>1.0504201680672268E-3</v>
      </c>
      <c r="Q57" s="34">
        <f t="shared" si="11"/>
        <v>0</v>
      </c>
      <c r="R57" s="53">
        <f t="shared" si="12"/>
        <v>1.0504201680672268E-3</v>
      </c>
      <c r="S57" s="34"/>
      <c r="T57" s="64">
        <f t="shared" si="6"/>
        <v>2.1008403361344463E-3</v>
      </c>
      <c r="U57" s="34"/>
      <c r="V57" s="71">
        <f t="shared" si="7"/>
        <v>1.0504201680672268E-3</v>
      </c>
      <c r="W57" s="72">
        <f t="shared" si="13"/>
        <v>2</v>
      </c>
      <c r="X57" s="69">
        <f t="shared" si="14"/>
        <v>1.0504201680672268E-3</v>
      </c>
      <c r="AA57" s="71">
        <f t="shared" si="8"/>
        <v>0.9986666666666667</v>
      </c>
      <c r="AB57" s="86">
        <f t="shared" si="9"/>
        <v>1</v>
      </c>
      <c r="AC57" s="86">
        <f t="shared" si="15"/>
        <v>6.6666666666670427E-4</v>
      </c>
      <c r="AD57" s="88">
        <f t="shared" si="16"/>
        <v>6.6666666666670427E-4</v>
      </c>
    </row>
    <row r="58" spans="2:30" x14ac:dyDescent="0.3">
      <c r="B58" s="24">
        <f>MODEL!K59</f>
        <v>1</v>
      </c>
      <c r="C58" s="26">
        <f>MODEL!Q59</f>
        <v>524.78358281555643</v>
      </c>
      <c r="E58" s="24">
        <v>51</v>
      </c>
      <c r="F58" s="26">
        <f t="shared" si="10"/>
        <v>810</v>
      </c>
      <c r="H58" s="24">
        <f t="shared" si="0"/>
        <v>950</v>
      </c>
      <c r="I58" s="25">
        <f t="shared" si="1"/>
        <v>548</v>
      </c>
      <c r="J58" s="26">
        <f t="shared" si="2"/>
        <v>1498</v>
      </c>
      <c r="K58" s="25"/>
      <c r="L58" s="33">
        <f t="shared" si="3"/>
        <v>0.99789915966386555</v>
      </c>
      <c r="M58" s="34">
        <f t="shared" si="4"/>
        <v>1</v>
      </c>
      <c r="N58" s="53">
        <f t="shared" si="5"/>
        <v>0.9986666666666667</v>
      </c>
      <c r="O58" s="34"/>
      <c r="P58" s="33">
        <f t="shared" si="17"/>
        <v>0</v>
      </c>
      <c r="Q58" s="34">
        <f t="shared" si="11"/>
        <v>0</v>
      </c>
      <c r="R58" s="53">
        <f t="shared" si="12"/>
        <v>0</v>
      </c>
      <c r="S58" s="34"/>
      <c r="T58" s="64">
        <f t="shared" si="6"/>
        <v>2.1008403361344463E-3</v>
      </c>
      <c r="U58" s="34"/>
      <c r="V58" s="71">
        <f t="shared" si="7"/>
        <v>0</v>
      </c>
      <c r="W58" s="72">
        <f t="shared" si="13"/>
        <v>2</v>
      </c>
      <c r="X58" s="69">
        <f t="shared" si="14"/>
        <v>0</v>
      </c>
      <c r="AA58" s="71">
        <f t="shared" si="8"/>
        <v>0.9986666666666667</v>
      </c>
      <c r="AB58" s="86">
        <f t="shared" si="9"/>
        <v>1</v>
      </c>
      <c r="AC58" s="86">
        <f t="shared" si="15"/>
        <v>0</v>
      </c>
      <c r="AD58" s="88">
        <f t="shared" si="16"/>
        <v>0</v>
      </c>
    </row>
    <row r="59" spans="2:30" x14ac:dyDescent="0.3">
      <c r="B59" s="24">
        <f>MODEL!K60</f>
        <v>0</v>
      </c>
      <c r="C59" s="26">
        <f>MODEL!Q60</f>
        <v>640.7732617406175</v>
      </c>
      <c r="E59" s="24">
        <v>52</v>
      </c>
      <c r="F59" s="26">
        <f t="shared" si="10"/>
        <v>825</v>
      </c>
      <c r="H59" s="24">
        <f t="shared" si="0"/>
        <v>951</v>
      </c>
      <c r="I59" s="25">
        <f t="shared" si="1"/>
        <v>548</v>
      </c>
      <c r="J59" s="26">
        <f t="shared" si="2"/>
        <v>1499</v>
      </c>
      <c r="K59" s="25"/>
      <c r="L59" s="33">
        <f t="shared" si="3"/>
        <v>0.99894957983193278</v>
      </c>
      <c r="M59" s="34">
        <f t="shared" si="4"/>
        <v>1</v>
      </c>
      <c r="N59" s="53">
        <f t="shared" si="5"/>
        <v>0.9993333333333333</v>
      </c>
      <c r="O59" s="34"/>
      <c r="P59" s="33">
        <f t="shared" si="17"/>
        <v>1.0504201680672268E-3</v>
      </c>
      <c r="Q59" s="34">
        <f t="shared" si="11"/>
        <v>0</v>
      </c>
      <c r="R59" s="53">
        <f t="shared" si="12"/>
        <v>1.0504201680672268E-3</v>
      </c>
      <c r="S59" s="34"/>
      <c r="T59" s="64">
        <f t="shared" si="6"/>
        <v>1.0504201680672232E-3</v>
      </c>
      <c r="U59" s="34"/>
      <c r="V59" s="71">
        <f t="shared" si="7"/>
        <v>1.0504201680672268E-3</v>
      </c>
      <c r="W59" s="72">
        <f t="shared" si="13"/>
        <v>2</v>
      </c>
      <c r="X59" s="69">
        <f t="shared" si="14"/>
        <v>1.0504201680672268E-3</v>
      </c>
      <c r="AA59" s="71">
        <f t="shared" si="8"/>
        <v>0.9993333333333333</v>
      </c>
      <c r="AB59" s="86">
        <f t="shared" si="9"/>
        <v>1</v>
      </c>
      <c r="AC59" s="86">
        <f t="shared" si="15"/>
        <v>6.6666666666659324E-4</v>
      </c>
      <c r="AD59" s="88">
        <f t="shared" si="16"/>
        <v>6.6666666666659324E-4</v>
      </c>
    </row>
    <row r="60" spans="2:30" x14ac:dyDescent="0.3">
      <c r="B60" s="24">
        <f>MODEL!K61</f>
        <v>0</v>
      </c>
      <c r="C60" s="26">
        <f>MODEL!Q61</f>
        <v>534.11867449771091</v>
      </c>
      <c r="E60" s="24">
        <v>53</v>
      </c>
      <c r="F60" s="26">
        <f t="shared" si="10"/>
        <v>840</v>
      </c>
      <c r="H60" s="24">
        <f t="shared" si="0"/>
        <v>951</v>
      </c>
      <c r="I60" s="25">
        <f t="shared" si="1"/>
        <v>548</v>
      </c>
      <c r="J60" s="26">
        <f t="shared" si="2"/>
        <v>1499</v>
      </c>
      <c r="K60" s="25"/>
      <c r="L60" s="33">
        <f t="shared" si="3"/>
        <v>0.99894957983193278</v>
      </c>
      <c r="M60" s="34">
        <f t="shared" si="4"/>
        <v>1</v>
      </c>
      <c r="N60" s="53">
        <f t="shared" si="5"/>
        <v>0.9993333333333333</v>
      </c>
      <c r="O60" s="34"/>
      <c r="P60" s="33">
        <f t="shared" si="17"/>
        <v>0</v>
      </c>
      <c r="Q60" s="34">
        <f t="shared" si="11"/>
        <v>0</v>
      </c>
      <c r="R60" s="53">
        <f t="shared" si="12"/>
        <v>0</v>
      </c>
      <c r="S60" s="34"/>
      <c r="T60" s="64">
        <f t="shared" si="6"/>
        <v>1.0504201680672232E-3</v>
      </c>
      <c r="U60" s="34"/>
      <c r="V60" s="71">
        <f t="shared" si="7"/>
        <v>0</v>
      </c>
      <c r="W60" s="72">
        <f t="shared" si="13"/>
        <v>2</v>
      </c>
      <c r="X60" s="69">
        <f t="shared" si="14"/>
        <v>0</v>
      </c>
      <c r="AA60" s="71">
        <f t="shared" si="8"/>
        <v>0.9993333333333333</v>
      </c>
      <c r="AB60" s="86">
        <f t="shared" si="9"/>
        <v>1</v>
      </c>
      <c r="AC60" s="86">
        <f t="shared" si="15"/>
        <v>0</v>
      </c>
      <c r="AD60" s="88">
        <f t="shared" si="16"/>
        <v>0</v>
      </c>
    </row>
    <row r="61" spans="2:30" ht="15" thickBot="1" x14ac:dyDescent="0.35">
      <c r="B61" s="24">
        <f>MODEL!K62</f>
        <v>1</v>
      </c>
      <c r="C61" s="26">
        <f>MODEL!Q62</f>
        <v>556.03650151127215</v>
      </c>
      <c r="E61" s="22">
        <v>54</v>
      </c>
      <c r="F61" s="28">
        <f t="shared" si="10"/>
        <v>855</v>
      </c>
      <c r="H61" s="22">
        <f t="shared" si="0"/>
        <v>952</v>
      </c>
      <c r="I61" s="27">
        <f t="shared" si="1"/>
        <v>548</v>
      </c>
      <c r="J61" s="28">
        <f t="shared" si="2"/>
        <v>1500</v>
      </c>
      <c r="K61" s="25"/>
      <c r="L61" s="35">
        <f t="shared" si="3"/>
        <v>1</v>
      </c>
      <c r="M61" s="36">
        <f t="shared" si="4"/>
        <v>1</v>
      </c>
      <c r="N61" s="48">
        <f t="shared" si="5"/>
        <v>1</v>
      </c>
      <c r="O61" s="34"/>
      <c r="P61" s="35">
        <f t="shared" si="17"/>
        <v>1.0504201680672268E-3</v>
      </c>
      <c r="Q61" s="36">
        <f t="shared" si="11"/>
        <v>0</v>
      </c>
      <c r="R61" s="48">
        <f t="shared" si="12"/>
        <v>1.0504201680672268E-3</v>
      </c>
      <c r="S61" s="34"/>
      <c r="T61" s="65">
        <f t="shared" si="6"/>
        <v>0</v>
      </c>
      <c r="U61" s="34"/>
      <c r="V61" s="73">
        <f t="shared" si="7"/>
        <v>1.0504201680672268E-3</v>
      </c>
      <c r="W61" s="74">
        <f t="shared" si="13"/>
        <v>2</v>
      </c>
      <c r="X61" s="70">
        <f t="shared" si="14"/>
        <v>1.0504201680672268E-3</v>
      </c>
      <c r="AA61" s="73">
        <f t="shared" si="8"/>
        <v>1</v>
      </c>
      <c r="AB61" s="87">
        <f t="shared" si="9"/>
        <v>1</v>
      </c>
      <c r="AC61" s="87">
        <f t="shared" si="15"/>
        <v>6.6666666666670427E-4</v>
      </c>
      <c r="AD61" s="89">
        <f t="shared" si="16"/>
        <v>6.6666666666670427E-4</v>
      </c>
    </row>
    <row r="62" spans="2:30" x14ac:dyDescent="0.3">
      <c r="B62" s="24">
        <f>MODEL!K63</f>
        <v>0</v>
      </c>
      <c r="C62" s="26">
        <f>MODEL!Q63</f>
        <v>503.46724591357258</v>
      </c>
      <c r="H62" s="25"/>
      <c r="I62" s="25"/>
      <c r="L62" s="25"/>
    </row>
    <row r="63" spans="2:30" x14ac:dyDescent="0.3">
      <c r="B63" s="24">
        <f>MODEL!K64</f>
        <v>1</v>
      </c>
      <c r="C63" s="26">
        <f>MODEL!Q64</f>
        <v>480.23475543768802</v>
      </c>
      <c r="H63" s="25"/>
      <c r="I63" s="25"/>
      <c r="L63" s="25"/>
    </row>
    <row r="64" spans="2:30" x14ac:dyDescent="0.3">
      <c r="B64" s="24">
        <f>MODEL!K65</f>
        <v>1</v>
      </c>
      <c r="C64" s="26">
        <f>MODEL!Q65</f>
        <v>401.4028292708997</v>
      </c>
      <c r="H64" s="25"/>
      <c r="I64" s="25"/>
      <c r="L64" s="25"/>
    </row>
    <row r="65" spans="2:28" x14ac:dyDescent="0.3">
      <c r="B65" s="24">
        <f>MODEL!K66</f>
        <v>0</v>
      </c>
      <c r="C65" s="26">
        <f>MODEL!Q66</f>
        <v>550.68886623113804</v>
      </c>
      <c r="H65" s="25"/>
      <c r="I65" s="25"/>
      <c r="L65" s="25"/>
    </row>
    <row r="66" spans="2:28" x14ac:dyDescent="0.3">
      <c r="B66" s="24">
        <f>MODEL!K67</f>
        <v>1</v>
      </c>
      <c r="C66" s="26">
        <f>MODEL!Q67</f>
        <v>507.42880095085292</v>
      </c>
      <c r="H66" s="25"/>
      <c r="I66" s="25"/>
      <c r="L66" s="25"/>
    </row>
    <row r="67" spans="2:28" x14ac:dyDescent="0.3">
      <c r="B67" s="24">
        <f>MODEL!K68</f>
        <v>0</v>
      </c>
      <c r="C67" s="26">
        <f>MODEL!Q68</f>
        <v>476.12730586169624</v>
      </c>
      <c r="H67" s="25"/>
      <c r="I67" s="25"/>
      <c r="L67" s="25"/>
    </row>
    <row r="68" spans="2:28" x14ac:dyDescent="0.3">
      <c r="B68" s="24">
        <f>MODEL!K69</f>
        <v>0</v>
      </c>
      <c r="C68" s="26">
        <f>MODEL!Q69</f>
        <v>553.82102868369759</v>
      </c>
      <c r="H68" s="25"/>
      <c r="I68" s="25"/>
      <c r="L68" s="25"/>
    </row>
    <row r="69" spans="2:28" x14ac:dyDescent="0.3">
      <c r="B69" s="24">
        <f>MODEL!K70</f>
        <v>0</v>
      </c>
      <c r="C69" s="26">
        <f>MODEL!Q70</f>
        <v>541.84097676372357</v>
      </c>
      <c r="H69" s="25"/>
      <c r="I69" s="25"/>
      <c r="L69" s="25"/>
    </row>
    <row r="70" spans="2:28" x14ac:dyDescent="0.3">
      <c r="B70" s="24">
        <f>MODEL!K71</f>
        <v>0</v>
      </c>
      <c r="C70" s="26">
        <f>MODEL!Q71</f>
        <v>532.01764477655206</v>
      </c>
      <c r="H70" s="25"/>
      <c r="I70" s="25"/>
      <c r="L70" s="25"/>
    </row>
    <row r="71" spans="2:28" x14ac:dyDescent="0.3">
      <c r="B71" s="24">
        <f>MODEL!K72</f>
        <v>1</v>
      </c>
      <c r="C71" s="26">
        <f>MODEL!Q72</f>
        <v>530.14660170641946</v>
      </c>
      <c r="H71" s="25"/>
      <c r="I71" s="25"/>
      <c r="L71" s="25"/>
    </row>
    <row r="72" spans="2:28" x14ac:dyDescent="0.3">
      <c r="B72" s="24">
        <f>MODEL!K73</f>
        <v>0</v>
      </c>
      <c r="C72" s="26">
        <f>MODEL!Q73</f>
        <v>468.51745991630901</v>
      </c>
      <c r="H72" s="25"/>
      <c r="I72" s="25"/>
      <c r="L72" s="25"/>
    </row>
    <row r="73" spans="2:28" x14ac:dyDescent="0.3">
      <c r="B73" s="24">
        <f>MODEL!K74</f>
        <v>1</v>
      </c>
      <c r="C73" s="26">
        <f>MODEL!Q74</f>
        <v>486.70624915471279</v>
      </c>
      <c r="H73" s="25"/>
      <c r="I73" s="25"/>
      <c r="L73" s="25"/>
    </row>
    <row r="74" spans="2:28" x14ac:dyDescent="0.3">
      <c r="B74" s="24">
        <f>MODEL!K75</f>
        <v>0</v>
      </c>
      <c r="C74" s="26">
        <f>MODEL!Q75</f>
        <v>664.88220024246914</v>
      </c>
      <c r="H74" s="25"/>
      <c r="I74" s="25"/>
      <c r="L74" s="25"/>
    </row>
    <row r="75" spans="2:28" x14ac:dyDescent="0.3">
      <c r="B75" s="24">
        <f>MODEL!K76</f>
        <v>0</v>
      </c>
      <c r="C75" s="26">
        <f>MODEL!Q76</f>
        <v>545.78108695890785</v>
      </c>
    </row>
    <row r="76" spans="2:28" x14ac:dyDescent="0.3">
      <c r="B76" s="24">
        <f>MODEL!K77</f>
        <v>0</v>
      </c>
      <c r="C76" s="26">
        <f>MODEL!Q77</f>
        <v>600.47020074330828</v>
      </c>
    </row>
    <row r="77" spans="2:28" x14ac:dyDescent="0.3">
      <c r="B77" s="24">
        <f>MODEL!K78</f>
        <v>0</v>
      </c>
      <c r="C77" s="26">
        <f>MODEL!Q78</f>
        <v>511.33491673680999</v>
      </c>
    </row>
    <row r="78" spans="2:28" ht="15" thickBot="1" x14ac:dyDescent="0.35">
      <c r="B78" s="24">
        <f>MODEL!K79</f>
        <v>0</v>
      </c>
      <c r="C78" s="26">
        <f>MODEL!Q79</f>
        <v>548.56700542464307</v>
      </c>
    </row>
    <row r="79" spans="2:28" ht="15" thickBot="1" x14ac:dyDescent="0.35">
      <c r="B79" s="24">
        <f>MODEL!K80</f>
        <v>1</v>
      </c>
      <c r="C79" s="26">
        <f>MODEL!Q80</f>
        <v>501.02916300410993</v>
      </c>
      <c r="N79" s="59" t="s">
        <v>104</v>
      </c>
      <c r="O79" s="40"/>
      <c r="P79" s="62"/>
      <c r="Q79" s="60"/>
      <c r="U79" s="59" t="s">
        <v>100</v>
      </c>
      <c r="V79" s="60"/>
      <c r="AB79" s="59" t="s">
        <v>100</v>
      </c>
    </row>
    <row r="80" spans="2:28" x14ac:dyDescent="0.3">
      <c r="B80" s="24">
        <f>MODEL!K81</f>
        <v>1</v>
      </c>
      <c r="C80" s="26">
        <f>MODEL!Q81</f>
        <v>498.79327265572681</v>
      </c>
    </row>
    <row r="81" spans="2:18" x14ac:dyDescent="0.3">
      <c r="B81" s="24">
        <f>MODEL!K82</f>
        <v>0</v>
      </c>
      <c r="C81" s="26">
        <f>MODEL!Q82</f>
        <v>526.59397037567805</v>
      </c>
    </row>
    <row r="82" spans="2:18" x14ac:dyDescent="0.3">
      <c r="B82" s="24">
        <f>MODEL!K83</f>
        <v>1</v>
      </c>
      <c r="C82" s="26">
        <f>MODEL!Q83</f>
        <v>495.91682503802747</v>
      </c>
    </row>
    <row r="83" spans="2:18" x14ac:dyDescent="0.3">
      <c r="B83" s="24">
        <f>MODEL!K84</f>
        <v>0</v>
      </c>
      <c r="C83" s="26">
        <f>MODEL!Q84</f>
        <v>584.33358159129023</v>
      </c>
    </row>
    <row r="84" spans="2:18" x14ac:dyDescent="0.3">
      <c r="B84" s="24">
        <f>MODEL!K85</f>
        <v>0</v>
      </c>
      <c r="C84" s="26">
        <f>MODEL!Q85</f>
        <v>574.92193181928292</v>
      </c>
    </row>
    <row r="85" spans="2:18" x14ac:dyDescent="0.3">
      <c r="B85" s="24">
        <f>MODEL!K86</f>
        <v>0</v>
      </c>
      <c r="C85" s="26">
        <f>MODEL!Q86</f>
        <v>579.98136449759841</v>
      </c>
    </row>
    <row r="86" spans="2:18" x14ac:dyDescent="0.3">
      <c r="B86" s="24">
        <f>MODEL!K87</f>
        <v>0</v>
      </c>
      <c r="C86" s="26">
        <f>MODEL!Q87</f>
        <v>509.63065226699871</v>
      </c>
    </row>
    <row r="87" spans="2:18" x14ac:dyDescent="0.3">
      <c r="B87" s="24">
        <f>MODEL!K88</f>
        <v>0</v>
      </c>
      <c r="C87" s="26">
        <f>MODEL!Q88</f>
        <v>614.22716897617579</v>
      </c>
    </row>
    <row r="88" spans="2:18" x14ac:dyDescent="0.3">
      <c r="B88" s="24">
        <f>MODEL!K89</f>
        <v>0</v>
      </c>
      <c r="C88" s="26">
        <f>MODEL!Q89</f>
        <v>502.00849353535261</v>
      </c>
    </row>
    <row r="89" spans="2:18" x14ac:dyDescent="0.3">
      <c r="B89" s="24">
        <f>MODEL!K90</f>
        <v>1</v>
      </c>
      <c r="C89" s="26">
        <f>MODEL!Q90</f>
        <v>430.17126213789913</v>
      </c>
    </row>
    <row r="90" spans="2:18" ht="15" thickBot="1" x14ac:dyDescent="0.35">
      <c r="B90" s="24">
        <f>MODEL!K91</f>
        <v>0</v>
      </c>
      <c r="C90" s="26">
        <f>MODEL!Q91</f>
        <v>472.30756158087956</v>
      </c>
    </row>
    <row r="91" spans="2:18" ht="15" thickBot="1" x14ac:dyDescent="0.35">
      <c r="B91" s="24">
        <f>MODEL!K92</f>
        <v>1</v>
      </c>
      <c r="C91" s="26">
        <f>MODEL!Q92</f>
        <v>456.37662309038495</v>
      </c>
      <c r="Q91" s="61" t="s">
        <v>102</v>
      </c>
      <c r="R91" s="60"/>
    </row>
    <row r="92" spans="2:18" ht="15" thickBot="1" x14ac:dyDescent="0.35">
      <c r="B92" s="24">
        <f>MODEL!K93</f>
        <v>0</v>
      </c>
      <c r="C92" s="26">
        <f>MODEL!Q93</f>
        <v>526.60915366360075</v>
      </c>
    </row>
    <row r="93" spans="2:18" ht="15" thickBot="1" x14ac:dyDescent="0.35">
      <c r="B93" s="24">
        <f>MODEL!K94</f>
        <v>0</v>
      </c>
      <c r="C93" s="26">
        <f>MODEL!Q94</f>
        <v>532.33571450028137</v>
      </c>
      <c r="Q93" s="61" t="s">
        <v>101</v>
      </c>
      <c r="R93" s="60"/>
    </row>
    <row r="94" spans="2:18" x14ac:dyDescent="0.3">
      <c r="B94" s="24">
        <f>MODEL!K95</f>
        <v>0</v>
      </c>
      <c r="C94" s="26">
        <f>MODEL!Q95</f>
        <v>466.83312013762594</v>
      </c>
    </row>
    <row r="95" spans="2:18" ht="15" thickBot="1" x14ac:dyDescent="0.35">
      <c r="B95" s="24">
        <f>MODEL!K96</f>
        <v>0</v>
      </c>
      <c r="C95" s="26">
        <f>MODEL!Q96</f>
        <v>528.25175797148154</v>
      </c>
    </row>
    <row r="96" spans="2:18" ht="15" thickBot="1" x14ac:dyDescent="0.35">
      <c r="B96" s="24">
        <f>MODEL!K97</f>
        <v>0</v>
      </c>
      <c r="C96" s="26">
        <f>MODEL!Q97</f>
        <v>520.98614613623351</v>
      </c>
      <c r="Q96" s="61" t="s">
        <v>103</v>
      </c>
      <c r="R96" s="60"/>
    </row>
    <row r="97" spans="2:3" x14ac:dyDescent="0.3">
      <c r="B97" s="24">
        <f>MODEL!K98</f>
        <v>0</v>
      </c>
      <c r="C97" s="26">
        <f>MODEL!Q98</f>
        <v>745.03242536926746</v>
      </c>
    </row>
    <row r="98" spans="2:3" x14ac:dyDescent="0.3">
      <c r="B98" s="24">
        <f>MODEL!K99</f>
        <v>1</v>
      </c>
      <c r="C98" s="26">
        <f>MODEL!Q99</f>
        <v>480.68573965614706</v>
      </c>
    </row>
    <row r="99" spans="2:3" x14ac:dyDescent="0.3">
      <c r="B99" s="24">
        <f>MODEL!K100</f>
        <v>0</v>
      </c>
      <c r="C99" s="26">
        <f>MODEL!Q100</f>
        <v>538.74725398728231</v>
      </c>
    </row>
    <row r="100" spans="2:3" x14ac:dyDescent="0.3">
      <c r="B100" s="24">
        <f>MODEL!K101</f>
        <v>0</v>
      </c>
      <c r="C100" s="26">
        <f>MODEL!Q101</f>
        <v>502.15100682770549</v>
      </c>
    </row>
    <row r="101" spans="2:3" x14ac:dyDescent="0.3">
      <c r="B101" s="24">
        <f>MODEL!K102</f>
        <v>0</v>
      </c>
      <c r="C101" s="26">
        <f>MODEL!Q102</f>
        <v>537.89230799169138</v>
      </c>
    </row>
    <row r="102" spans="2:3" x14ac:dyDescent="0.3">
      <c r="B102" s="24">
        <f>MODEL!K103</f>
        <v>0</v>
      </c>
      <c r="C102" s="26">
        <f>MODEL!Q103</f>
        <v>563.23445971551473</v>
      </c>
    </row>
    <row r="103" spans="2:3" x14ac:dyDescent="0.3">
      <c r="B103" s="24">
        <f>MODEL!K104</f>
        <v>0</v>
      </c>
      <c r="C103" s="26">
        <f>MODEL!Q104</f>
        <v>581.55762474580024</v>
      </c>
    </row>
    <row r="104" spans="2:3" x14ac:dyDescent="0.3">
      <c r="B104" s="24">
        <f>MODEL!K105</f>
        <v>0</v>
      </c>
      <c r="C104" s="26">
        <f>MODEL!Q105</f>
        <v>518.10203955099939</v>
      </c>
    </row>
    <row r="105" spans="2:3" x14ac:dyDescent="0.3">
      <c r="B105" s="24">
        <f>MODEL!K106</f>
        <v>1</v>
      </c>
      <c r="C105" s="26">
        <f>MODEL!Q106</f>
        <v>384.73964718367256</v>
      </c>
    </row>
    <row r="106" spans="2:3" x14ac:dyDescent="0.3">
      <c r="B106" s="24">
        <f>MODEL!K107</f>
        <v>0</v>
      </c>
      <c r="C106" s="26">
        <f>MODEL!Q107</f>
        <v>640.67824315093867</v>
      </c>
    </row>
    <row r="107" spans="2:3" x14ac:dyDescent="0.3">
      <c r="B107" s="24">
        <f>MODEL!K108</f>
        <v>1</v>
      </c>
      <c r="C107" s="26">
        <f>MODEL!Q108</f>
        <v>482.81664221008867</v>
      </c>
    </row>
    <row r="108" spans="2:3" x14ac:dyDescent="0.3">
      <c r="B108" s="24">
        <f>MODEL!K109</f>
        <v>0</v>
      </c>
      <c r="C108" s="26">
        <f>MODEL!Q109</f>
        <v>608.96454995452621</v>
      </c>
    </row>
    <row r="109" spans="2:3" x14ac:dyDescent="0.3">
      <c r="B109" s="24">
        <f>MODEL!K110</f>
        <v>1</v>
      </c>
      <c r="C109" s="26">
        <f>MODEL!Q110</f>
        <v>508.20085056849831</v>
      </c>
    </row>
    <row r="110" spans="2:3" x14ac:dyDescent="0.3">
      <c r="B110" s="24">
        <f>MODEL!K111</f>
        <v>0</v>
      </c>
      <c r="C110" s="26">
        <f>MODEL!Q111</f>
        <v>734.48986212701391</v>
      </c>
    </row>
    <row r="111" spans="2:3" x14ac:dyDescent="0.3">
      <c r="B111" s="24">
        <f>MODEL!K112</f>
        <v>1</v>
      </c>
      <c r="C111" s="26">
        <f>MODEL!Q112</f>
        <v>424.27419351875022</v>
      </c>
    </row>
    <row r="112" spans="2:3" x14ac:dyDescent="0.3">
      <c r="B112" s="24">
        <f>MODEL!K113</f>
        <v>1</v>
      </c>
      <c r="C112" s="26">
        <f>MODEL!Q113</f>
        <v>471.11913502922641</v>
      </c>
    </row>
    <row r="113" spans="2:3" x14ac:dyDescent="0.3">
      <c r="B113" s="24">
        <f>MODEL!K114</f>
        <v>0</v>
      </c>
      <c r="C113" s="26">
        <f>MODEL!Q114</f>
        <v>531.74795453075217</v>
      </c>
    </row>
    <row r="114" spans="2:3" x14ac:dyDescent="0.3">
      <c r="B114" s="24">
        <f>MODEL!K115</f>
        <v>0</v>
      </c>
      <c r="C114" s="26">
        <f>MODEL!Q115</f>
        <v>582.33176033679183</v>
      </c>
    </row>
    <row r="115" spans="2:3" x14ac:dyDescent="0.3">
      <c r="B115" s="24">
        <f>MODEL!K116</f>
        <v>0</v>
      </c>
      <c r="C115" s="26">
        <f>MODEL!Q116</f>
        <v>445.44736645098914</v>
      </c>
    </row>
    <row r="116" spans="2:3" x14ac:dyDescent="0.3">
      <c r="B116" s="24">
        <f>MODEL!K117</f>
        <v>0</v>
      </c>
      <c r="C116" s="26">
        <f>MODEL!Q117</f>
        <v>652.97493268589835</v>
      </c>
    </row>
    <row r="117" spans="2:3" x14ac:dyDescent="0.3">
      <c r="B117" s="24">
        <f>MODEL!K118</f>
        <v>1</v>
      </c>
      <c r="C117" s="26">
        <f>MODEL!Q118</f>
        <v>361.3584812053939</v>
      </c>
    </row>
    <row r="118" spans="2:3" x14ac:dyDescent="0.3">
      <c r="B118" s="24">
        <f>MODEL!K119</f>
        <v>0</v>
      </c>
      <c r="C118" s="26">
        <f>MODEL!Q119</f>
        <v>708.31420147853999</v>
      </c>
    </row>
    <row r="119" spans="2:3" x14ac:dyDescent="0.3">
      <c r="B119" s="24">
        <f>MODEL!K120</f>
        <v>0</v>
      </c>
      <c r="C119" s="26">
        <f>MODEL!Q120</f>
        <v>671.11112351214035</v>
      </c>
    </row>
    <row r="120" spans="2:3" x14ac:dyDescent="0.3">
      <c r="B120" s="24">
        <f>MODEL!K121</f>
        <v>1</v>
      </c>
      <c r="C120" s="26">
        <f>MODEL!Q121</f>
        <v>426.95613181414956</v>
      </c>
    </row>
    <row r="121" spans="2:3" x14ac:dyDescent="0.3">
      <c r="B121" s="24">
        <f>MODEL!K122</f>
        <v>1</v>
      </c>
      <c r="C121" s="26">
        <f>MODEL!Q122</f>
        <v>391.51450099955315</v>
      </c>
    </row>
    <row r="122" spans="2:3" x14ac:dyDescent="0.3">
      <c r="B122" s="24">
        <f>MODEL!K123</f>
        <v>1</v>
      </c>
      <c r="C122" s="26">
        <f>MODEL!Q123</f>
        <v>512.07956773218575</v>
      </c>
    </row>
    <row r="123" spans="2:3" x14ac:dyDescent="0.3">
      <c r="B123" s="24">
        <f>MODEL!K124</f>
        <v>0</v>
      </c>
      <c r="C123" s="26">
        <f>MODEL!Q124</f>
        <v>673.58517002180361</v>
      </c>
    </row>
    <row r="124" spans="2:3" x14ac:dyDescent="0.3">
      <c r="B124" s="24">
        <f>MODEL!K125</f>
        <v>0</v>
      </c>
      <c r="C124" s="26">
        <f>MODEL!Q125</f>
        <v>470.26705177643697</v>
      </c>
    </row>
    <row r="125" spans="2:3" x14ac:dyDescent="0.3">
      <c r="B125" s="24">
        <f>MODEL!K126</f>
        <v>1</v>
      </c>
      <c r="C125" s="26">
        <f>MODEL!Q126</f>
        <v>463.463674676121</v>
      </c>
    </row>
    <row r="126" spans="2:3" x14ac:dyDescent="0.3">
      <c r="B126" s="24">
        <f>MODEL!K127</f>
        <v>0</v>
      </c>
      <c r="C126" s="26">
        <f>MODEL!Q127</f>
        <v>481.17292756971921</v>
      </c>
    </row>
    <row r="127" spans="2:3" x14ac:dyDescent="0.3">
      <c r="B127" s="24">
        <f>MODEL!K128</f>
        <v>0</v>
      </c>
      <c r="C127" s="26">
        <f>MODEL!Q128</f>
        <v>514.89711133261301</v>
      </c>
    </row>
    <row r="128" spans="2:3" x14ac:dyDescent="0.3">
      <c r="B128" s="24">
        <f>MODEL!K129</f>
        <v>0</v>
      </c>
      <c r="C128" s="26">
        <f>MODEL!Q129</f>
        <v>530.16540318539319</v>
      </c>
    </row>
    <row r="129" spans="2:3" x14ac:dyDescent="0.3">
      <c r="B129" s="24">
        <f>MODEL!K130</f>
        <v>1</v>
      </c>
      <c r="C129" s="26">
        <f>MODEL!Q130</f>
        <v>516.763076213707</v>
      </c>
    </row>
    <row r="130" spans="2:3" x14ac:dyDescent="0.3">
      <c r="B130" s="24">
        <f>MODEL!K131</f>
        <v>0</v>
      </c>
      <c r="C130" s="26">
        <f>MODEL!Q131</f>
        <v>520.89820840378991</v>
      </c>
    </row>
    <row r="131" spans="2:3" x14ac:dyDescent="0.3">
      <c r="B131" s="24">
        <f>MODEL!K132</f>
        <v>1</v>
      </c>
      <c r="C131" s="26">
        <f>MODEL!Q132</f>
        <v>521.38178079525142</v>
      </c>
    </row>
    <row r="132" spans="2:3" x14ac:dyDescent="0.3">
      <c r="B132" s="24">
        <f>MODEL!K133</f>
        <v>0</v>
      </c>
      <c r="C132" s="26">
        <f>MODEL!Q133</f>
        <v>622.78758415934294</v>
      </c>
    </row>
    <row r="133" spans="2:3" x14ac:dyDescent="0.3">
      <c r="B133" s="24">
        <f>MODEL!K134</f>
        <v>0</v>
      </c>
      <c r="C133" s="26">
        <f>MODEL!Q134</f>
        <v>489.78338163655786</v>
      </c>
    </row>
    <row r="134" spans="2:3" x14ac:dyDescent="0.3">
      <c r="B134" s="24">
        <f>MODEL!K135</f>
        <v>1</v>
      </c>
      <c r="C134" s="26">
        <f>MODEL!Q135</f>
        <v>476.16795519602618</v>
      </c>
    </row>
    <row r="135" spans="2:3" x14ac:dyDescent="0.3">
      <c r="B135" s="24">
        <f>MODEL!K136</f>
        <v>0</v>
      </c>
      <c r="C135" s="26">
        <f>MODEL!Q136</f>
        <v>451.50543875418788</v>
      </c>
    </row>
    <row r="136" spans="2:3" x14ac:dyDescent="0.3">
      <c r="B136" s="24">
        <f>MODEL!K137</f>
        <v>0</v>
      </c>
      <c r="C136" s="26">
        <f>MODEL!Q137</f>
        <v>658.82971314647455</v>
      </c>
    </row>
    <row r="137" spans="2:3" x14ac:dyDescent="0.3">
      <c r="B137" s="24">
        <f>MODEL!K138</f>
        <v>0</v>
      </c>
      <c r="C137" s="26">
        <f>MODEL!Q138</f>
        <v>489.19432104145665</v>
      </c>
    </row>
    <row r="138" spans="2:3" x14ac:dyDescent="0.3">
      <c r="B138" s="24">
        <f>MODEL!K139</f>
        <v>0</v>
      </c>
      <c r="C138" s="26">
        <f>MODEL!Q139</f>
        <v>512.13630922805226</v>
      </c>
    </row>
    <row r="139" spans="2:3" x14ac:dyDescent="0.3">
      <c r="B139" s="24">
        <f>MODEL!K140</f>
        <v>0</v>
      </c>
      <c r="C139" s="26">
        <f>MODEL!Q140</f>
        <v>490.72147766377259</v>
      </c>
    </row>
    <row r="140" spans="2:3" x14ac:dyDescent="0.3">
      <c r="B140" s="24">
        <f>MODEL!K141</f>
        <v>0</v>
      </c>
      <c r="C140" s="26">
        <f>MODEL!Q141</f>
        <v>512.43061200652414</v>
      </c>
    </row>
    <row r="141" spans="2:3" x14ac:dyDescent="0.3">
      <c r="B141" s="24">
        <f>MODEL!K142</f>
        <v>0</v>
      </c>
      <c r="C141" s="26">
        <f>MODEL!Q142</f>
        <v>496.74025494873007</v>
      </c>
    </row>
    <row r="142" spans="2:3" x14ac:dyDescent="0.3">
      <c r="B142" s="24">
        <f>MODEL!K143</f>
        <v>0</v>
      </c>
      <c r="C142" s="26">
        <f>MODEL!Q143</f>
        <v>491.51175992817707</v>
      </c>
    </row>
    <row r="143" spans="2:3" x14ac:dyDescent="0.3">
      <c r="B143" s="24">
        <f>MODEL!K144</f>
        <v>0</v>
      </c>
      <c r="C143" s="26">
        <f>MODEL!Q144</f>
        <v>509.50359770596054</v>
      </c>
    </row>
    <row r="144" spans="2:3" x14ac:dyDescent="0.3">
      <c r="B144" s="24">
        <f>MODEL!K145</f>
        <v>0</v>
      </c>
      <c r="C144" s="26">
        <f>MODEL!Q145</f>
        <v>549.97228656984521</v>
      </c>
    </row>
    <row r="145" spans="2:3" x14ac:dyDescent="0.3">
      <c r="B145" s="24">
        <f>MODEL!K146</f>
        <v>0</v>
      </c>
      <c r="C145" s="26">
        <f>MODEL!Q146</f>
        <v>586.36995867153735</v>
      </c>
    </row>
    <row r="146" spans="2:3" x14ac:dyDescent="0.3">
      <c r="B146" s="24">
        <f>MODEL!K147</f>
        <v>0</v>
      </c>
      <c r="C146" s="26">
        <f>MODEL!Q147</f>
        <v>622.20411105836047</v>
      </c>
    </row>
    <row r="147" spans="2:3" x14ac:dyDescent="0.3">
      <c r="B147" s="24">
        <f>MODEL!K148</f>
        <v>1</v>
      </c>
      <c r="C147" s="26">
        <f>MODEL!Q148</f>
        <v>439.36673089530262</v>
      </c>
    </row>
    <row r="148" spans="2:3" x14ac:dyDescent="0.3">
      <c r="B148" s="24">
        <f>MODEL!K149</f>
        <v>1</v>
      </c>
      <c r="C148" s="26">
        <f>MODEL!Q149</f>
        <v>501.87603785126493</v>
      </c>
    </row>
    <row r="149" spans="2:3" x14ac:dyDescent="0.3">
      <c r="B149" s="24">
        <f>MODEL!K150</f>
        <v>1</v>
      </c>
      <c r="C149" s="26">
        <f>MODEL!Q150</f>
        <v>460.48491251520164</v>
      </c>
    </row>
    <row r="150" spans="2:3" x14ac:dyDescent="0.3">
      <c r="B150" s="24">
        <f>MODEL!K151</f>
        <v>0</v>
      </c>
      <c r="C150" s="26">
        <f>MODEL!Q151</f>
        <v>509.50115192821386</v>
      </c>
    </row>
    <row r="151" spans="2:3" x14ac:dyDescent="0.3">
      <c r="B151" s="24">
        <f>MODEL!K152</f>
        <v>0</v>
      </c>
      <c r="C151" s="26">
        <f>MODEL!Q152</f>
        <v>642.38339430133215</v>
      </c>
    </row>
    <row r="152" spans="2:3" x14ac:dyDescent="0.3">
      <c r="B152" s="24">
        <f>MODEL!K153</f>
        <v>0</v>
      </c>
      <c r="C152" s="26">
        <f>MODEL!Q153</f>
        <v>554.46048822651971</v>
      </c>
    </row>
    <row r="153" spans="2:3" x14ac:dyDescent="0.3">
      <c r="B153" s="24">
        <f>MODEL!K154</f>
        <v>1</v>
      </c>
      <c r="C153" s="26">
        <f>MODEL!Q154</f>
        <v>534.90385058013442</v>
      </c>
    </row>
    <row r="154" spans="2:3" x14ac:dyDescent="0.3">
      <c r="B154" s="24">
        <f>MODEL!K155</f>
        <v>0</v>
      </c>
      <c r="C154" s="26">
        <f>MODEL!Q155</f>
        <v>539.42623409641794</v>
      </c>
    </row>
    <row r="155" spans="2:3" x14ac:dyDescent="0.3">
      <c r="B155" s="24">
        <f>MODEL!K156</f>
        <v>0</v>
      </c>
      <c r="C155" s="26">
        <f>MODEL!Q156</f>
        <v>531.79080739267135</v>
      </c>
    </row>
    <row r="156" spans="2:3" x14ac:dyDescent="0.3">
      <c r="B156" s="24">
        <f>MODEL!K157</f>
        <v>0</v>
      </c>
      <c r="C156" s="26">
        <f>MODEL!Q157</f>
        <v>508.07578287662744</v>
      </c>
    </row>
    <row r="157" spans="2:3" x14ac:dyDescent="0.3">
      <c r="B157" s="24">
        <f>MODEL!K158</f>
        <v>1</v>
      </c>
      <c r="C157" s="26">
        <f>MODEL!Q158</f>
        <v>427.51255066364581</v>
      </c>
    </row>
    <row r="158" spans="2:3" x14ac:dyDescent="0.3">
      <c r="B158" s="24">
        <f>MODEL!K159</f>
        <v>0</v>
      </c>
      <c r="C158" s="26">
        <f>MODEL!Q159</f>
        <v>533.04218953766986</v>
      </c>
    </row>
    <row r="159" spans="2:3" x14ac:dyDescent="0.3">
      <c r="B159" s="24">
        <f>MODEL!K160</f>
        <v>0</v>
      </c>
      <c r="C159" s="26">
        <f>MODEL!Q160</f>
        <v>516.10090649140193</v>
      </c>
    </row>
    <row r="160" spans="2:3" x14ac:dyDescent="0.3">
      <c r="B160" s="24">
        <f>MODEL!K161</f>
        <v>0</v>
      </c>
      <c r="C160" s="26">
        <f>MODEL!Q161</f>
        <v>472.3471547637202</v>
      </c>
    </row>
    <row r="161" spans="2:3" x14ac:dyDescent="0.3">
      <c r="B161" s="24">
        <f>MODEL!K162</f>
        <v>0</v>
      </c>
      <c r="C161" s="26">
        <f>MODEL!Q162</f>
        <v>546.57560668390124</v>
      </c>
    </row>
    <row r="162" spans="2:3" x14ac:dyDescent="0.3">
      <c r="B162" s="24">
        <f>MODEL!K163</f>
        <v>0</v>
      </c>
      <c r="C162" s="26">
        <f>MODEL!Q163</f>
        <v>486.46483545650693</v>
      </c>
    </row>
    <row r="163" spans="2:3" x14ac:dyDescent="0.3">
      <c r="B163" s="24">
        <f>MODEL!K164</f>
        <v>0</v>
      </c>
      <c r="C163" s="26">
        <f>MODEL!Q164</f>
        <v>563.20409765273166</v>
      </c>
    </row>
    <row r="164" spans="2:3" x14ac:dyDescent="0.3">
      <c r="B164" s="24">
        <f>MODEL!K165</f>
        <v>0</v>
      </c>
      <c r="C164" s="26">
        <f>MODEL!Q165</f>
        <v>484.70767771467899</v>
      </c>
    </row>
    <row r="165" spans="2:3" x14ac:dyDescent="0.3">
      <c r="B165" s="24">
        <f>MODEL!K166</f>
        <v>1</v>
      </c>
      <c r="C165" s="26">
        <f>MODEL!Q166</f>
        <v>552.35503500328775</v>
      </c>
    </row>
    <row r="166" spans="2:3" x14ac:dyDescent="0.3">
      <c r="B166" s="24">
        <f>MODEL!K167</f>
        <v>0</v>
      </c>
      <c r="C166" s="26">
        <f>MODEL!Q167</f>
        <v>519.69423175117265</v>
      </c>
    </row>
    <row r="167" spans="2:3" x14ac:dyDescent="0.3">
      <c r="B167" s="24">
        <f>MODEL!K168</f>
        <v>1</v>
      </c>
      <c r="C167" s="26">
        <f>MODEL!Q168</f>
        <v>502.82466986400237</v>
      </c>
    </row>
    <row r="168" spans="2:3" x14ac:dyDescent="0.3">
      <c r="B168" s="24">
        <f>MODEL!K169</f>
        <v>1</v>
      </c>
      <c r="C168" s="26">
        <f>MODEL!Q169</f>
        <v>437.16296663546615</v>
      </c>
    </row>
    <row r="169" spans="2:3" x14ac:dyDescent="0.3">
      <c r="B169" s="24">
        <f>MODEL!K170</f>
        <v>1</v>
      </c>
      <c r="C169" s="26">
        <f>MODEL!Q170</f>
        <v>499.05897357122768</v>
      </c>
    </row>
    <row r="170" spans="2:3" x14ac:dyDescent="0.3">
      <c r="B170" s="24">
        <f>MODEL!K171</f>
        <v>0</v>
      </c>
      <c r="C170" s="26">
        <f>MODEL!Q171</f>
        <v>484.79709858402708</v>
      </c>
    </row>
    <row r="171" spans="2:3" x14ac:dyDescent="0.3">
      <c r="B171" s="24">
        <f>MODEL!K172</f>
        <v>0</v>
      </c>
      <c r="C171" s="26">
        <f>MODEL!Q172</f>
        <v>516.78644745700331</v>
      </c>
    </row>
    <row r="172" spans="2:3" x14ac:dyDescent="0.3">
      <c r="B172" s="24">
        <f>MODEL!K173</f>
        <v>1</v>
      </c>
      <c r="C172" s="26">
        <f>MODEL!Q173</f>
        <v>432.94819113584953</v>
      </c>
    </row>
    <row r="173" spans="2:3" x14ac:dyDescent="0.3">
      <c r="B173" s="24">
        <f>MODEL!K174</f>
        <v>0</v>
      </c>
      <c r="C173" s="26">
        <f>MODEL!Q174</f>
        <v>488.71989874960332</v>
      </c>
    </row>
    <row r="174" spans="2:3" x14ac:dyDescent="0.3">
      <c r="B174" s="24">
        <f>MODEL!K175</f>
        <v>0</v>
      </c>
      <c r="C174" s="26">
        <f>MODEL!Q175</f>
        <v>645.1975427106795</v>
      </c>
    </row>
    <row r="175" spans="2:3" x14ac:dyDescent="0.3">
      <c r="B175" s="24">
        <f>MODEL!K176</f>
        <v>0</v>
      </c>
      <c r="C175" s="26">
        <f>MODEL!Q176</f>
        <v>508.00460524181563</v>
      </c>
    </row>
    <row r="176" spans="2:3" x14ac:dyDescent="0.3">
      <c r="B176" s="24">
        <f>MODEL!K177</f>
        <v>0</v>
      </c>
      <c r="C176" s="26">
        <f>MODEL!Q177</f>
        <v>627.35273106200384</v>
      </c>
    </row>
    <row r="177" spans="2:3" x14ac:dyDescent="0.3">
      <c r="B177" s="24">
        <f>MODEL!K178</f>
        <v>0</v>
      </c>
      <c r="C177" s="26">
        <f>MODEL!Q178</f>
        <v>571.37049074929564</v>
      </c>
    </row>
    <row r="178" spans="2:3" x14ac:dyDescent="0.3">
      <c r="B178" s="24">
        <f>MODEL!K179</f>
        <v>0</v>
      </c>
      <c r="C178" s="26">
        <f>MODEL!Q179</f>
        <v>564.45952675510773</v>
      </c>
    </row>
    <row r="179" spans="2:3" x14ac:dyDescent="0.3">
      <c r="B179" s="24">
        <f>MODEL!K180</f>
        <v>1</v>
      </c>
      <c r="C179" s="26">
        <f>MODEL!Q180</f>
        <v>420.22212323874516</v>
      </c>
    </row>
    <row r="180" spans="2:3" x14ac:dyDescent="0.3">
      <c r="B180" s="24">
        <f>MODEL!K181</f>
        <v>0</v>
      </c>
      <c r="C180" s="26">
        <f>MODEL!Q181</f>
        <v>521.02103047938704</v>
      </c>
    </row>
    <row r="181" spans="2:3" x14ac:dyDescent="0.3">
      <c r="B181" s="24">
        <f>MODEL!K182</f>
        <v>0</v>
      </c>
      <c r="C181" s="26">
        <f>MODEL!Q182</f>
        <v>494.39003760459474</v>
      </c>
    </row>
    <row r="182" spans="2:3" x14ac:dyDescent="0.3">
      <c r="B182" s="24">
        <f>MODEL!K183</f>
        <v>0</v>
      </c>
      <c r="C182" s="26">
        <f>MODEL!Q183</f>
        <v>545.45046781065139</v>
      </c>
    </row>
    <row r="183" spans="2:3" x14ac:dyDescent="0.3">
      <c r="B183" s="24">
        <f>MODEL!K184</f>
        <v>0</v>
      </c>
      <c r="C183" s="26">
        <f>MODEL!Q184</f>
        <v>436.9931795441845</v>
      </c>
    </row>
    <row r="184" spans="2:3" x14ac:dyDescent="0.3">
      <c r="B184" s="24">
        <f>MODEL!K185</f>
        <v>0</v>
      </c>
      <c r="C184" s="26">
        <f>MODEL!Q185</f>
        <v>492.13946718408539</v>
      </c>
    </row>
    <row r="185" spans="2:3" x14ac:dyDescent="0.3">
      <c r="B185" s="24">
        <f>MODEL!K186</f>
        <v>0</v>
      </c>
      <c r="C185" s="26">
        <f>MODEL!Q186</f>
        <v>467.16269468404994</v>
      </c>
    </row>
    <row r="186" spans="2:3" x14ac:dyDescent="0.3">
      <c r="B186" s="24">
        <f>MODEL!K187</f>
        <v>0</v>
      </c>
      <c r="C186" s="26">
        <f>MODEL!Q187</f>
        <v>563.48537336568916</v>
      </c>
    </row>
    <row r="187" spans="2:3" x14ac:dyDescent="0.3">
      <c r="B187" s="24">
        <f>MODEL!K188</f>
        <v>0</v>
      </c>
      <c r="C187" s="26">
        <f>MODEL!Q188</f>
        <v>582.61641600970609</v>
      </c>
    </row>
    <row r="188" spans="2:3" x14ac:dyDescent="0.3">
      <c r="B188" s="24">
        <f>MODEL!K189</f>
        <v>0</v>
      </c>
      <c r="C188" s="26">
        <f>MODEL!Q189</f>
        <v>494.77192168654261</v>
      </c>
    </row>
    <row r="189" spans="2:3" x14ac:dyDescent="0.3">
      <c r="B189" s="24">
        <f>MODEL!K190</f>
        <v>0</v>
      </c>
      <c r="C189" s="26">
        <f>MODEL!Q190</f>
        <v>489.15417814080485</v>
      </c>
    </row>
    <row r="190" spans="2:3" x14ac:dyDescent="0.3">
      <c r="B190" s="24">
        <f>MODEL!K191</f>
        <v>1</v>
      </c>
      <c r="C190" s="26">
        <f>MODEL!Q191</f>
        <v>506.13484745216971</v>
      </c>
    </row>
    <row r="191" spans="2:3" x14ac:dyDescent="0.3">
      <c r="B191" s="24">
        <f>MODEL!K192</f>
        <v>0</v>
      </c>
      <c r="C191" s="26">
        <f>MODEL!Q192</f>
        <v>495.89654984409486</v>
      </c>
    </row>
    <row r="192" spans="2:3" x14ac:dyDescent="0.3">
      <c r="B192" s="24">
        <f>MODEL!K193</f>
        <v>1</v>
      </c>
      <c r="C192" s="26">
        <f>MODEL!Q193</f>
        <v>504.93263202616134</v>
      </c>
    </row>
    <row r="193" spans="2:3" x14ac:dyDescent="0.3">
      <c r="B193" s="24">
        <f>MODEL!K194</f>
        <v>1</v>
      </c>
      <c r="C193" s="26">
        <f>MODEL!Q194</f>
        <v>425.31447782034962</v>
      </c>
    </row>
    <row r="194" spans="2:3" x14ac:dyDescent="0.3">
      <c r="B194" s="24">
        <f>MODEL!K195</f>
        <v>0</v>
      </c>
      <c r="C194" s="26">
        <f>MODEL!Q195</f>
        <v>515.31203979187262</v>
      </c>
    </row>
    <row r="195" spans="2:3" x14ac:dyDescent="0.3">
      <c r="B195" s="24">
        <f>MODEL!K196</f>
        <v>0</v>
      </c>
      <c r="C195" s="26">
        <f>MODEL!Q196</f>
        <v>849.91915724795376</v>
      </c>
    </row>
    <row r="196" spans="2:3" x14ac:dyDescent="0.3">
      <c r="B196" s="24">
        <f>MODEL!K197</f>
        <v>0</v>
      </c>
      <c r="C196" s="26">
        <f>MODEL!Q197</f>
        <v>531.39502913472506</v>
      </c>
    </row>
    <row r="197" spans="2:3" x14ac:dyDescent="0.3">
      <c r="B197" s="24">
        <f>MODEL!K198</f>
        <v>1</v>
      </c>
      <c r="C197" s="26">
        <f>MODEL!Q198</f>
        <v>474.1821004615702</v>
      </c>
    </row>
    <row r="198" spans="2:3" x14ac:dyDescent="0.3">
      <c r="B198" s="24">
        <f>MODEL!K199</f>
        <v>0</v>
      </c>
      <c r="C198" s="26">
        <f>MODEL!Q199</f>
        <v>550.80792304159024</v>
      </c>
    </row>
    <row r="199" spans="2:3" x14ac:dyDescent="0.3">
      <c r="B199" s="24">
        <f>MODEL!K200</f>
        <v>0</v>
      </c>
      <c r="C199" s="26">
        <f>MODEL!Q200</f>
        <v>507.59379029162795</v>
      </c>
    </row>
    <row r="200" spans="2:3" x14ac:dyDescent="0.3">
      <c r="B200" s="24">
        <f>MODEL!K201</f>
        <v>0</v>
      </c>
      <c r="C200" s="26">
        <f>MODEL!Q201</f>
        <v>488.15308488638186</v>
      </c>
    </row>
    <row r="201" spans="2:3" x14ac:dyDescent="0.3">
      <c r="B201" s="24">
        <f>MODEL!K202</f>
        <v>0</v>
      </c>
      <c r="C201" s="26">
        <f>MODEL!Q202</f>
        <v>499.99869564869715</v>
      </c>
    </row>
    <row r="202" spans="2:3" x14ac:dyDescent="0.3">
      <c r="B202" s="24">
        <f>MODEL!K203</f>
        <v>0</v>
      </c>
      <c r="C202" s="26">
        <f>MODEL!Q203</f>
        <v>501.10336979880242</v>
      </c>
    </row>
    <row r="203" spans="2:3" x14ac:dyDescent="0.3">
      <c r="B203" s="24">
        <f>MODEL!K204</f>
        <v>1</v>
      </c>
      <c r="C203" s="26">
        <f>MODEL!Q204</f>
        <v>417.36864560942809</v>
      </c>
    </row>
    <row r="204" spans="2:3" x14ac:dyDescent="0.3">
      <c r="B204" s="24">
        <f>MODEL!K205</f>
        <v>0</v>
      </c>
      <c r="C204" s="26">
        <f>MODEL!Q205</f>
        <v>590.18339538076293</v>
      </c>
    </row>
    <row r="205" spans="2:3" x14ac:dyDescent="0.3">
      <c r="B205" s="24">
        <f>MODEL!K206</f>
        <v>0</v>
      </c>
      <c r="C205" s="26">
        <f>MODEL!Q206</f>
        <v>543.19247934873147</v>
      </c>
    </row>
    <row r="206" spans="2:3" x14ac:dyDescent="0.3">
      <c r="B206" s="24">
        <f>MODEL!K207</f>
        <v>1</v>
      </c>
      <c r="C206" s="26">
        <f>MODEL!Q207</f>
        <v>421.19042267027402</v>
      </c>
    </row>
    <row r="207" spans="2:3" x14ac:dyDescent="0.3">
      <c r="B207" s="24">
        <f>MODEL!K208</f>
        <v>0</v>
      </c>
      <c r="C207" s="26">
        <f>MODEL!Q208</f>
        <v>759.02960323883713</v>
      </c>
    </row>
    <row r="208" spans="2:3" x14ac:dyDescent="0.3">
      <c r="B208" s="24">
        <f>MODEL!K209</f>
        <v>0</v>
      </c>
      <c r="C208" s="26">
        <f>MODEL!Q209</f>
        <v>658.49739455554038</v>
      </c>
    </row>
    <row r="209" spans="2:3" x14ac:dyDescent="0.3">
      <c r="B209" s="24">
        <f>MODEL!K210</f>
        <v>0</v>
      </c>
      <c r="C209" s="26">
        <f>MODEL!Q210</f>
        <v>467.82593270338879</v>
      </c>
    </row>
    <row r="210" spans="2:3" x14ac:dyDescent="0.3">
      <c r="B210" s="24">
        <f>MODEL!K211</f>
        <v>1</v>
      </c>
      <c r="C210" s="26">
        <f>MODEL!Q211</f>
        <v>512.75106136574607</v>
      </c>
    </row>
    <row r="211" spans="2:3" x14ac:dyDescent="0.3">
      <c r="B211" s="24">
        <f>MODEL!K212</f>
        <v>1</v>
      </c>
      <c r="C211" s="26">
        <f>MODEL!Q212</f>
        <v>489.52465013847677</v>
      </c>
    </row>
    <row r="212" spans="2:3" x14ac:dyDescent="0.3">
      <c r="B212" s="24">
        <f>MODEL!K213</f>
        <v>1</v>
      </c>
      <c r="C212" s="26">
        <f>MODEL!Q213</f>
        <v>456.2057239916391</v>
      </c>
    </row>
    <row r="213" spans="2:3" x14ac:dyDescent="0.3">
      <c r="B213" s="24">
        <f>MODEL!K214</f>
        <v>1</v>
      </c>
      <c r="C213" s="26">
        <f>MODEL!Q214</f>
        <v>379.11682382583194</v>
      </c>
    </row>
    <row r="214" spans="2:3" x14ac:dyDescent="0.3">
      <c r="B214" s="24">
        <f>MODEL!K215</f>
        <v>1</v>
      </c>
      <c r="C214" s="26">
        <f>MODEL!Q215</f>
        <v>494.08713398171</v>
      </c>
    </row>
    <row r="215" spans="2:3" x14ac:dyDescent="0.3">
      <c r="B215" s="24">
        <f>MODEL!K216</f>
        <v>0</v>
      </c>
      <c r="C215" s="26">
        <f>MODEL!Q216</f>
        <v>518.37666321019469</v>
      </c>
    </row>
    <row r="216" spans="2:3" x14ac:dyDescent="0.3">
      <c r="B216" s="24">
        <f>MODEL!K217</f>
        <v>0</v>
      </c>
      <c r="C216" s="26">
        <f>MODEL!Q217</f>
        <v>586.1552104345925</v>
      </c>
    </row>
    <row r="217" spans="2:3" x14ac:dyDescent="0.3">
      <c r="B217" s="24">
        <f>MODEL!K218</f>
        <v>0</v>
      </c>
      <c r="C217" s="26">
        <f>MODEL!Q218</f>
        <v>561.22554109139014</v>
      </c>
    </row>
    <row r="218" spans="2:3" x14ac:dyDescent="0.3">
      <c r="B218" s="24">
        <f>MODEL!K219</f>
        <v>0</v>
      </c>
      <c r="C218" s="26">
        <f>MODEL!Q219</f>
        <v>544.2660075480004</v>
      </c>
    </row>
    <row r="219" spans="2:3" x14ac:dyDescent="0.3">
      <c r="B219" s="24">
        <f>MODEL!K220</f>
        <v>0</v>
      </c>
      <c r="C219" s="26">
        <f>MODEL!Q220</f>
        <v>557.61810051801854</v>
      </c>
    </row>
    <row r="220" spans="2:3" x14ac:dyDescent="0.3">
      <c r="B220" s="24">
        <f>MODEL!K221</f>
        <v>0</v>
      </c>
      <c r="C220" s="26">
        <f>MODEL!Q221</f>
        <v>506.63235537067658</v>
      </c>
    </row>
    <row r="221" spans="2:3" x14ac:dyDescent="0.3">
      <c r="B221" s="24">
        <f>MODEL!K222</f>
        <v>1</v>
      </c>
      <c r="C221" s="26">
        <f>MODEL!Q222</f>
        <v>355.10627466169342</v>
      </c>
    </row>
    <row r="222" spans="2:3" x14ac:dyDescent="0.3">
      <c r="B222" s="24">
        <f>MODEL!K223</f>
        <v>1</v>
      </c>
      <c r="C222" s="26">
        <f>MODEL!Q223</f>
        <v>479.74638697449763</v>
      </c>
    </row>
    <row r="223" spans="2:3" x14ac:dyDescent="0.3">
      <c r="B223" s="24">
        <f>MODEL!K224</f>
        <v>0</v>
      </c>
      <c r="C223" s="26">
        <f>MODEL!Q224</f>
        <v>553.88681090884324</v>
      </c>
    </row>
    <row r="224" spans="2:3" x14ac:dyDescent="0.3">
      <c r="B224" s="24">
        <f>MODEL!K225</f>
        <v>0</v>
      </c>
      <c r="C224" s="26">
        <f>MODEL!Q225</f>
        <v>522.63093496961892</v>
      </c>
    </row>
    <row r="225" spans="2:3" x14ac:dyDescent="0.3">
      <c r="B225" s="24">
        <f>MODEL!K226</f>
        <v>0</v>
      </c>
      <c r="C225" s="26">
        <f>MODEL!Q226</f>
        <v>561.97672298810744</v>
      </c>
    </row>
    <row r="226" spans="2:3" x14ac:dyDescent="0.3">
      <c r="B226" s="24">
        <f>MODEL!K227</f>
        <v>0</v>
      </c>
      <c r="C226" s="26">
        <f>MODEL!Q227</f>
        <v>546.98076531142408</v>
      </c>
    </row>
    <row r="227" spans="2:3" x14ac:dyDescent="0.3">
      <c r="B227" s="24">
        <f>MODEL!K228</f>
        <v>0</v>
      </c>
      <c r="C227" s="26">
        <f>MODEL!Q228</f>
        <v>514.80446265224873</v>
      </c>
    </row>
    <row r="228" spans="2:3" x14ac:dyDescent="0.3">
      <c r="B228" s="24">
        <f>MODEL!K229</f>
        <v>0</v>
      </c>
      <c r="C228" s="26">
        <f>MODEL!Q229</f>
        <v>560.71498962101975</v>
      </c>
    </row>
    <row r="229" spans="2:3" x14ac:dyDescent="0.3">
      <c r="B229" s="24">
        <f>MODEL!K230</f>
        <v>0</v>
      </c>
      <c r="C229" s="26">
        <f>MODEL!Q230</f>
        <v>483.30443459630544</v>
      </c>
    </row>
    <row r="230" spans="2:3" x14ac:dyDescent="0.3">
      <c r="B230" s="24">
        <f>MODEL!K231</f>
        <v>0</v>
      </c>
      <c r="C230" s="26">
        <f>MODEL!Q231</f>
        <v>524.38985719440029</v>
      </c>
    </row>
    <row r="231" spans="2:3" x14ac:dyDescent="0.3">
      <c r="B231" s="24">
        <f>MODEL!K232</f>
        <v>1</v>
      </c>
      <c r="C231" s="26">
        <f>MODEL!Q232</f>
        <v>333.54402352342817</v>
      </c>
    </row>
    <row r="232" spans="2:3" x14ac:dyDescent="0.3">
      <c r="B232" s="24">
        <f>MODEL!K233</f>
        <v>0</v>
      </c>
      <c r="C232" s="26">
        <f>MODEL!Q233</f>
        <v>521.97247525028411</v>
      </c>
    </row>
    <row r="233" spans="2:3" x14ac:dyDescent="0.3">
      <c r="B233" s="24">
        <f>MODEL!K234</f>
        <v>1</v>
      </c>
      <c r="C233" s="26">
        <f>MODEL!Q234</f>
        <v>466.31046754941724</v>
      </c>
    </row>
    <row r="234" spans="2:3" x14ac:dyDescent="0.3">
      <c r="B234" s="24">
        <f>MODEL!K235</f>
        <v>0</v>
      </c>
      <c r="C234" s="26">
        <f>MODEL!Q235</f>
        <v>636.82887380845455</v>
      </c>
    </row>
    <row r="235" spans="2:3" x14ac:dyDescent="0.3">
      <c r="B235" s="24">
        <f>MODEL!K236</f>
        <v>0</v>
      </c>
      <c r="C235" s="26">
        <f>MODEL!Q236</f>
        <v>524.03237316275204</v>
      </c>
    </row>
    <row r="236" spans="2:3" x14ac:dyDescent="0.3">
      <c r="B236" s="24">
        <f>MODEL!K237</f>
        <v>0</v>
      </c>
      <c r="C236" s="26">
        <f>MODEL!Q237</f>
        <v>516.51030428875072</v>
      </c>
    </row>
    <row r="237" spans="2:3" x14ac:dyDescent="0.3">
      <c r="B237" s="24">
        <f>MODEL!K238</f>
        <v>0</v>
      </c>
      <c r="C237" s="26">
        <f>MODEL!Q238</f>
        <v>726.16799111404896</v>
      </c>
    </row>
    <row r="238" spans="2:3" x14ac:dyDescent="0.3">
      <c r="B238" s="24">
        <f>MODEL!K239</f>
        <v>0</v>
      </c>
      <c r="C238" s="26">
        <f>MODEL!Q239</f>
        <v>554.15772405966425</v>
      </c>
    </row>
    <row r="239" spans="2:3" x14ac:dyDescent="0.3">
      <c r="B239" s="24">
        <f>MODEL!K240</f>
        <v>0</v>
      </c>
      <c r="C239" s="26">
        <f>MODEL!Q240</f>
        <v>499.63625353226058</v>
      </c>
    </row>
    <row r="240" spans="2:3" x14ac:dyDescent="0.3">
      <c r="B240" s="24">
        <f>MODEL!K241</f>
        <v>0</v>
      </c>
      <c r="C240" s="26">
        <f>MODEL!Q241</f>
        <v>469.81564063768025</v>
      </c>
    </row>
    <row r="241" spans="2:3" x14ac:dyDescent="0.3">
      <c r="B241" s="24">
        <f>MODEL!K242</f>
        <v>1</v>
      </c>
      <c r="C241" s="26">
        <f>MODEL!Q242</f>
        <v>436.31505643973941</v>
      </c>
    </row>
    <row r="242" spans="2:3" x14ac:dyDescent="0.3">
      <c r="B242" s="24">
        <f>MODEL!K243</f>
        <v>0</v>
      </c>
      <c r="C242" s="26">
        <f>MODEL!Q243</f>
        <v>498.10676475232589</v>
      </c>
    </row>
    <row r="243" spans="2:3" x14ac:dyDescent="0.3">
      <c r="B243" s="24">
        <f>MODEL!K244</f>
        <v>0</v>
      </c>
      <c r="C243" s="26">
        <f>MODEL!Q244</f>
        <v>530.08433814731234</v>
      </c>
    </row>
    <row r="244" spans="2:3" x14ac:dyDescent="0.3">
      <c r="B244" s="24">
        <f>MODEL!K245</f>
        <v>0</v>
      </c>
      <c r="C244" s="26">
        <f>MODEL!Q245</f>
        <v>459.364354354233</v>
      </c>
    </row>
    <row r="245" spans="2:3" x14ac:dyDescent="0.3">
      <c r="B245" s="24">
        <f>MODEL!K246</f>
        <v>0</v>
      </c>
      <c r="C245" s="26">
        <f>MODEL!Q246</f>
        <v>587.49218668827245</v>
      </c>
    </row>
    <row r="246" spans="2:3" x14ac:dyDescent="0.3">
      <c r="B246" s="24">
        <f>MODEL!K247</f>
        <v>1</v>
      </c>
      <c r="C246" s="26">
        <f>MODEL!Q247</f>
        <v>480.03013095700572</v>
      </c>
    </row>
    <row r="247" spans="2:3" x14ac:dyDescent="0.3">
      <c r="B247" s="24">
        <f>MODEL!K248</f>
        <v>1</v>
      </c>
      <c r="C247" s="26">
        <f>MODEL!Q248</f>
        <v>417.02815754036402</v>
      </c>
    </row>
    <row r="248" spans="2:3" x14ac:dyDescent="0.3">
      <c r="B248" s="24">
        <f>MODEL!K249</f>
        <v>0</v>
      </c>
      <c r="C248" s="26">
        <f>MODEL!Q249</f>
        <v>530.81829394532781</v>
      </c>
    </row>
    <row r="249" spans="2:3" x14ac:dyDescent="0.3">
      <c r="B249" s="24">
        <f>MODEL!K250</f>
        <v>1</v>
      </c>
      <c r="C249" s="26">
        <f>MODEL!Q250</f>
        <v>439.38345784716159</v>
      </c>
    </row>
    <row r="250" spans="2:3" x14ac:dyDescent="0.3">
      <c r="B250" s="24">
        <f>MODEL!K251</f>
        <v>1</v>
      </c>
      <c r="C250" s="26">
        <f>MODEL!Q251</f>
        <v>509.39782667997724</v>
      </c>
    </row>
    <row r="251" spans="2:3" x14ac:dyDescent="0.3">
      <c r="B251" s="24">
        <f>MODEL!K252</f>
        <v>0</v>
      </c>
      <c r="C251" s="26">
        <f>MODEL!Q252</f>
        <v>661.31698933528924</v>
      </c>
    </row>
    <row r="252" spans="2:3" x14ac:dyDescent="0.3">
      <c r="B252" s="24">
        <f>MODEL!K253</f>
        <v>1</v>
      </c>
      <c r="C252" s="26">
        <f>MODEL!Q253</f>
        <v>499.80721296958183</v>
      </c>
    </row>
    <row r="253" spans="2:3" x14ac:dyDescent="0.3">
      <c r="B253" s="24">
        <f>MODEL!K254</f>
        <v>0</v>
      </c>
      <c r="C253" s="26">
        <f>MODEL!Q254</f>
        <v>485.08490795602467</v>
      </c>
    </row>
    <row r="254" spans="2:3" x14ac:dyDescent="0.3">
      <c r="B254" s="24">
        <f>MODEL!K255</f>
        <v>0</v>
      </c>
      <c r="C254" s="26">
        <f>MODEL!Q255</f>
        <v>493.71830520046831</v>
      </c>
    </row>
    <row r="255" spans="2:3" x14ac:dyDescent="0.3">
      <c r="B255" s="24">
        <f>MODEL!K256</f>
        <v>1</v>
      </c>
      <c r="C255" s="26">
        <f>MODEL!Q256</f>
        <v>450.0789546703698</v>
      </c>
    </row>
    <row r="256" spans="2:3" x14ac:dyDescent="0.3">
      <c r="B256" s="24">
        <f>MODEL!K257</f>
        <v>0</v>
      </c>
      <c r="C256" s="26">
        <f>MODEL!Q257</f>
        <v>472.64292012873847</v>
      </c>
    </row>
    <row r="257" spans="2:3" x14ac:dyDescent="0.3">
      <c r="B257" s="24">
        <f>MODEL!K258</f>
        <v>1</v>
      </c>
      <c r="C257" s="26">
        <f>MODEL!Q258</f>
        <v>468.48327698687353</v>
      </c>
    </row>
    <row r="258" spans="2:3" x14ac:dyDescent="0.3">
      <c r="B258" s="24">
        <f>MODEL!K259</f>
        <v>1</v>
      </c>
      <c r="C258" s="26">
        <f>MODEL!Q259</f>
        <v>513.07079394971095</v>
      </c>
    </row>
    <row r="259" spans="2:3" x14ac:dyDescent="0.3">
      <c r="B259" s="24">
        <f>MODEL!K260</f>
        <v>0</v>
      </c>
      <c r="C259" s="26">
        <f>MODEL!Q260</f>
        <v>759.18343019871395</v>
      </c>
    </row>
    <row r="260" spans="2:3" x14ac:dyDescent="0.3">
      <c r="B260" s="24">
        <f>MODEL!K261</f>
        <v>1</v>
      </c>
      <c r="C260" s="26">
        <f>MODEL!Q261</f>
        <v>486.80789749668264</v>
      </c>
    </row>
    <row r="261" spans="2:3" x14ac:dyDescent="0.3">
      <c r="B261" s="24">
        <f>MODEL!K262</f>
        <v>1</v>
      </c>
      <c r="C261" s="26">
        <f>MODEL!Q262</f>
        <v>342.68893154132587</v>
      </c>
    </row>
    <row r="262" spans="2:3" x14ac:dyDescent="0.3">
      <c r="B262" s="24">
        <f>MODEL!K263</f>
        <v>1</v>
      </c>
      <c r="C262" s="26">
        <f>MODEL!Q263</f>
        <v>501.73000148015797</v>
      </c>
    </row>
    <row r="263" spans="2:3" x14ac:dyDescent="0.3">
      <c r="B263" s="24">
        <f>MODEL!K264</f>
        <v>0</v>
      </c>
      <c r="C263" s="26">
        <f>MODEL!Q264</f>
        <v>485.72436820386923</v>
      </c>
    </row>
    <row r="264" spans="2:3" x14ac:dyDescent="0.3">
      <c r="B264" s="24">
        <f>MODEL!K265</f>
        <v>1</v>
      </c>
      <c r="C264" s="26">
        <f>MODEL!Q265</f>
        <v>522.23020804234613</v>
      </c>
    </row>
    <row r="265" spans="2:3" x14ac:dyDescent="0.3">
      <c r="B265" s="24">
        <f>MODEL!K266</f>
        <v>1</v>
      </c>
      <c r="C265" s="26">
        <f>MODEL!Q266</f>
        <v>504.32936710431466</v>
      </c>
    </row>
    <row r="266" spans="2:3" x14ac:dyDescent="0.3">
      <c r="B266" s="24">
        <f>MODEL!K267</f>
        <v>0</v>
      </c>
      <c r="C266" s="26">
        <f>MODEL!Q267</f>
        <v>430.91436662971813</v>
      </c>
    </row>
    <row r="267" spans="2:3" x14ac:dyDescent="0.3">
      <c r="B267" s="24">
        <f>MODEL!K268</f>
        <v>0</v>
      </c>
      <c r="C267" s="26">
        <f>MODEL!Q268</f>
        <v>815.23941477179255</v>
      </c>
    </row>
    <row r="268" spans="2:3" x14ac:dyDescent="0.3">
      <c r="B268" s="24">
        <f>MODEL!K269</f>
        <v>0</v>
      </c>
      <c r="C268" s="26">
        <f>MODEL!Q269</f>
        <v>589.57640987009381</v>
      </c>
    </row>
    <row r="269" spans="2:3" x14ac:dyDescent="0.3">
      <c r="B269" s="24">
        <f>MODEL!K270</f>
        <v>0</v>
      </c>
      <c r="C269" s="26">
        <f>MODEL!Q270</f>
        <v>557.68496250480143</v>
      </c>
    </row>
    <row r="270" spans="2:3" x14ac:dyDescent="0.3">
      <c r="B270" s="24">
        <f>MODEL!K271</f>
        <v>1</v>
      </c>
      <c r="C270" s="26">
        <f>MODEL!Q271</f>
        <v>496.32730277033619</v>
      </c>
    </row>
    <row r="271" spans="2:3" x14ac:dyDescent="0.3">
      <c r="B271" s="24">
        <f>MODEL!K272</f>
        <v>0</v>
      </c>
      <c r="C271" s="26">
        <f>MODEL!Q272</f>
        <v>542.49590131284367</v>
      </c>
    </row>
    <row r="272" spans="2:3" x14ac:dyDescent="0.3">
      <c r="B272" s="24">
        <f>MODEL!K273</f>
        <v>0</v>
      </c>
      <c r="C272" s="26">
        <f>MODEL!Q273</f>
        <v>521.86238143319952</v>
      </c>
    </row>
    <row r="273" spans="2:3" x14ac:dyDescent="0.3">
      <c r="B273" s="24">
        <f>MODEL!K274</f>
        <v>0</v>
      </c>
      <c r="C273" s="26">
        <f>MODEL!Q274</f>
        <v>465.80671475222647</v>
      </c>
    </row>
    <row r="274" spans="2:3" x14ac:dyDescent="0.3">
      <c r="B274" s="24">
        <f>MODEL!K275</f>
        <v>1</v>
      </c>
      <c r="C274" s="26">
        <f>MODEL!Q275</f>
        <v>476.98346458897026</v>
      </c>
    </row>
    <row r="275" spans="2:3" x14ac:dyDescent="0.3">
      <c r="B275" s="24">
        <f>MODEL!K276</f>
        <v>0</v>
      </c>
      <c r="C275" s="26">
        <f>MODEL!Q276</f>
        <v>520.52779428927261</v>
      </c>
    </row>
    <row r="276" spans="2:3" x14ac:dyDescent="0.3">
      <c r="B276" s="24">
        <f>MODEL!K277</f>
        <v>0</v>
      </c>
      <c r="C276" s="26">
        <f>MODEL!Q277</f>
        <v>529.99092919983889</v>
      </c>
    </row>
    <row r="277" spans="2:3" x14ac:dyDescent="0.3">
      <c r="B277" s="24">
        <f>MODEL!K278</f>
        <v>1</v>
      </c>
      <c r="C277" s="26">
        <f>MODEL!Q278</f>
        <v>522.23510327091924</v>
      </c>
    </row>
    <row r="278" spans="2:3" x14ac:dyDescent="0.3">
      <c r="B278" s="24">
        <f>MODEL!K279</f>
        <v>0</v>
      </c>
      <c r="C278" s="26">
        <f>MODEL!Q279</f>
        <v>503.35983591373474</v>
      </c>
    </row>
    <row r="279" spans="2:3" x14ac:dyDescent="0.3">
      <c r="B279" s="24">
        <f>MODEL!K280</f>
        <v>1</v>
      </c>
      <c r="C279" s="26">
        <f>MODEL!Q280</f>
        <v>492.4324392010837</v>
      </c>
    </row>
    <row r="280" spans="2:3" x14ac:dyDescent="0.3">
      <c r="B280" s="24">
        <f>MODEL!K281</f>
        <v>0</v>
      </c>
      <c r="C280" s="26">
        <f>MODEL!Q281</f>
        <v>464.31189347930109</v>
      </c>
    </row>
    <row r="281" spans="2:3" x14ac:dyDescent="0.3">
      <c r="B281" s="24">
        <f>MODEL!K282</f>
        <v>0</v>
      </c>
      <c r="C281" s="26">
        <f>MODEL!Q282</f>
        <v>527.93177885182217</v>
      </c>
    </row>
    <row r="282" spans="2:3" x14ac:dyDescent="0.3">
      <c r="B282" s="24">
        <f>MODEL!K283</f>
        <v>0</v>
      </c>
      <c r="C282" s="26">
        <f>MODEL!Q283</f>
        <v>489.06041287381697</v>
      </c>
    </row>
    <row r="283" spans="2:3" x14ac:dyDescent="0.3">
      <c r="B283" s="24">
        <f>MODEL!K284</f>
        <v>0</v>
      </c>
      <c r="C283" s="26">
        <f>MODEL!Q284</f>
        <v>495.83937586888504</v>
      </c>
    </row>
    <row r="284" spans="2:3" x14ac:dyDescent="0.3">
      <c r="B284" s="24">
        <f>MODEL!K285</f>
        <v>0</v>
      </c>
      <c r="C284" s="26">
        <f>MODEL!Q285</f>
        <v>544.5024192865493</v>
      </c>
    </row>
    <row r="285" spans="2:3" x14ac:dyDescent="0.3">
      <c r="B285" s="24">
        <f>MODEL!K286</f>
        <v>1</v>
      </c>
      <c r="C285" s="26">
        <f>MODEL!Q286</f>
        <v>496.59617725254577</v>
      </c>
    </row>
    <row r="286" spans="2:3" x14ac:dyDescent="0.3">
      <c r="B286" s="24">
        <f>MODEL!K287</f>
        <v>0</v>
      </c>
      <c r="C286" s="26">
        <f>MODEL!Q287</f>
        <v>454.42243830739824</v>
      </c>
    </row>
    <row r="287" spans="2:3" x14ac:dyDescent="0.3">
      <c r="B287" s="24">
        <f>MODEL!K288</f>
        <v>0</v>
      </c>
      <c r="C287" s="26">
        <f>MODEL!Q288</f>
        <v>527.22356300149204</v>
      </c>
    </row>
    <row r="288" spans="2:3" x14ac:dyDescent="0.3">
      <c r="B288" s="24">
        <f>MODEL!K289</f>
        <v>1</v>
      </c>
      <c r="C288" s="26">
        <f>MODEL!Q289</f>
        <v>428.24634601407166</v>
      </c>
    </row>
    <row r="289" spans="2:3" x14ac:dyDescent="0.3">
      <c r="B289" s="24">
        <f>MODEL!K290</f>
        <v>0</v>
      </c>
      <c r="C289" s="26">
        <f>MODEL!Q290</f>
        <v>540.60339632010653</v>
      </c>
    </row>
    <row r="290" spans="2:3" x14ac:dyDescent="0.3">
      <c r="B290" s="24">
        <f>MODEL!K291</f>
        <v>1</v>
      </c>
      <c r="C290" s="26">
        <f>MODEL!Q291</f>
        <v>484.88303115633943</v>
      </c>
    </row>
    <row r="291" spans="2:3" x14ac:dyDescent="0.3">
      <c r="B291" s="24">
        <f>MODEL!K292</f>
        <v>0</v>
      </c>
      <c r="C291" s="26">
        <f>MODEL!Q292</f>
        <v>544.51748902795043</v>
      </c>
    </row>
    <row r="292" spans="2:3" x14ac:dyDescent="0.3">
      <c r="B292" s="24">
        <f>MODEL!K293</f>
        <v>0</v>
      </c>
      <c r="C292" s="26">
        <f>MODEL!Q293</f>
        <v>508.72941022187138</v>
      </c>
    </row>
    <row r="293" spans="2:3" x14ac:dyDescent="0.3">
      <c r="B293" s="24">
        <f>MODEL!K294</f>
        <v>0</v>
      </c>
      <c r="C293" s="26">
        <f>MODEL!Q294</f>
        <v>427.75746341518828</v>
      </c>
    </row>
    <row r="294" spans="2:3" x14ac:dyDescent="0.3">
      <c r="B294" s="24">
        <f>MODEL!K295</f>
        <v>0</v>
      </c>
      <c r="C294" s="26">
        <f>MODEL!Q295</f>
        <v>526.98625158489313</v>
      </c>
    </row>
    <row r="295" spans="2:3" x14ac:dyDescent="0.3">
      <c r="B295" s="24">
        <f>MODEL!K296</f>
        <v>1</v>
      </c>
      <c r="C295" s="26">
        <f>MODEL!Q296</f>
        <v>462.33254570625132</v>
      </c>
    </row>
    <row r="296" spans="2:3" x14ac:dyDescent="0.3">
      <c r="B296" s="24">
        <f>MODEL!K297</f>
        <v>0</v>
      </c>
      <c r="C296" s="26">
        <f>MODEL!Q297</f>
        <v>584.27064056246195</v>
      </c>
    </row>
    <row r="297" spans="2:3" x14ac:dyDescent="0.3">
      <c r="B297" s="24">
        <f>MODEL!K298</f>
        <v>1</v>
      </c>
      <c r="C297" s="26">
        <f>MODEL!Q298</f>
        <v>501.3785698684614</v>
      </c>
    </row>
    <row r="298" spans="2:3" x14ac:dyDescent="0.3">
      <c r="B298" s="24">
        <f>MODEL!K299</f>
        <v>0</v>
      </c>
      <c r="C298" s="26">
        <f>MODEL!Q299</f>
        <v>573.45071796063598</v>
      </c>
    </row>
    <row r="299" spans="2:3" x14ac:dyDescent="0.3">
      <c r="B299" s="24">
        <f>MODEL!K300</f>
        <v>0</v>
      </c>
      <c r="C299" s="26">
        <f>MODEL!Q300</f>
        <v>544.07034764231298</v>
      </c>
    </row>
    <row r="300" spans="2:3" x14ac:dyDescent="0.3">
      <c r="B300" s="24">
        <f>MODEL!K301</f>
        <v>0</v>
      </c>
      <c r="C300" s="26">
        <f>MODEL!Q301</f>
        <v>750.18504546823408</v>
      </c>
    </row>
    <row r="301" spans="2:3" x14ac:dyDescent="0.3">
      <c r="B301" s="24">
        <f>MODEL!K302</f>
        <v>0</v>
      </c>
      <c r="C301" s="26">
        <f>MODEL!Q302</f>
        <v>631.67495910327125</v>
      </c>
    </row>
    <row r="302" spans="2:3" x14ac:dyDescent="0.3">
      <c r="B302" s="24">
        <f>MODEL!K303</f>
        <v>0</v>
      </c>
      <c r="C302" s="26">
        <f>MODEL!Q303</f>
        <v>669.12818062854376</v>
      </c>
    </row>
    <row r="303" spans="2:3" x14ac:dyDescent="0.3">
      <c r="B303" s="24">
        <f>MODEL!K304</f>
        <v>1</v>
      </c>
      <c r="C303" s="26">
        <f>MODEL!Q304</f>
        <v>514.89830162293049</v>
      </c>
    </row>
    <row r="304" spans="2:3" x14ac:dyDescent="0.3">
      <c r="B304" s="24">
        <f>MODEL!K305</f>
        <v>1</v>
      </c>
      <c r="C304" s="26">
        <f>MODEL!Q305</f>
        <v>456.17573956755814</v>
      </c>
    </row>
    <row r="305" spans="2:3" x14ac:dyDescent="0.3">
      <c r="B305" s="24">
        <f>MODEL!K306</f>
        <v>0</v>
      </c>
      <c r="C305" s="26">
        <f>MODEL!Q306</f>
        <v>483.89253629194008</v>
      </c>
    </row>
    <row r="306" spans="2:3" x14ac:dyDescent="0.3">
      <c r="B306" s="24">
        <f>MODEL!K307</f>
        <v>0</v>
      </c>
      <c r="C306" s="26">
        <f>MODEL!Q307</f>
        <v>497.53509622331154</v>
      </c>
    </row>
    <row r="307" spans="2:3" x14ac:dyDescent="0.3">
      <c r="B307" s="24">
        <f>MODEL!K308</f>
        <v>1</v>
      </c>
      <c r="C307" s="26">
        <f>MODEL!Q308</f>
        <v>494.48063161893299</v>
      </c>
    </row>
    <row r="308" spans="2:3" x14ac:dyDescent="0.3">
      <c r="B308" s="24">
        <f>MODEL!K309</f>
        <v>0</v>
      </c>
      <c r="C308" s="26">
        <f>MODEL!Q309</f>
        <v>558.74950632026889</v>
      </c>
    </row>
    <row r="309" spans="2:3" x14ac:dyDescent="0.3">
      <c r="B309" s="24">
        <f>MODEL!K310</f>
        <v>0</v>
      </c>
      <c r="C309" s="26">
        <f>MODEL!Q310</f>
        <v>519.79881971733494</v>
      </c>
    </row>
    <row r="310" spans="2:3" x14ac:dyDescent="0.3">
      <c r="B310" s="24">
        <f>MODEL!K311</f>
        <v>0</v>
      </c>
      <c r="C310" s="26">
        <f>MODEL!Q311</f>
        <v>517.88795867956287</v>
      </c>
    </row>
    <row r="311" spans="2:3" x14ac:dyDescent="0.3">
      <c r="B311" s="24">
        <f>MODEL!K312</f>
        <v>1</v>
      </c>
      <c r="C311" s="26">
        <f>MODEL!Q312</f>
        <v>463.44727327688764</v>
      </c>
    </row>
    <row r="312" spans="2:3" x14ac:dyDescent="0.3">
      <c r="B312" s="24">
        <f>MODEL!K313</f>
        <v>0</v>
      </c>
      <c r="C312" s="26">
        <f>MODEL!Q313</f>
        <v>546.9496830545786</v>
      </c>
    </row>
    <row r="313" spans="2:3" x14ac:dyDescent="0.3">
      <c r="B313" s="24">
        <f>MODEL!K314</f>
        <v>0</v>
      </c>
      <c r="C313" s="26">
        <f>MODEL!Q314</f>
        <v>659.23817350922764</v>
      </c>
    </row>
    <row r="314" spans="2:3" x14ac:dyDescent="0.3">
      <c r="B314" s="24">
        <f>MODEL!K315</f>
        <v>1</v>
      </c>
      <c r="C314" s="26">
        <f>MODEL!Q315</f>
        <v>466.12118341505936</v>
      </c>
    </row>
    <row r="315" spans="2:3" x14ac:dyDescent="0.3">
      <c r="B315" s="24">
        <f>MODEL!K316</f>
        <v>1</v>
      </c>
      <c r="C315" s="26">
        <f>MODEL!Q316</f>
        <v>478.95963250492468</v>
      </c>
    </row>
    <row r="316" spans="2:3" x14ac:dyDescent="0.3">
      <c r="B316" s="24">
        <f>MODEL!K317</f>
        <v>1</v>
      </c>
      <c r="C316" s="26">
        <f>MODEL!Q317</f>
        <v>450.60420373701248</v>
      </c>
    </row>
    <row r="317" spans="2:3" x14ac:dyDescent="0.3">
      <c r="B317" s="24">
        <f>MODEL!K318</f>
        <v>0</v>
      </c>
      <c r="C317" s="26">
        <f>MODEL!Q318</f>
        <v>565.54143264536526</v>
      </c>
    </row>
    <row r="318" spans="2:3" x14ac:dyDescent="0.3">
      <c r="B318" s="24">
        <f>MODEL!K319</f>
        <v>0</v>
      </c>
      <c r="C318" s="26">
        <f>MODEL!Q319</f>
        <v>555.55617406893589</v>
      </c>
    </row>
    <row r="319" spans="2:3" x14ac:dyDescent="0.3">
      <c r="B319" s="24">
        <f>MODEL!K320</f>
        <v>1</v>
      </c>
      <c r="C319" s="26">
        <f>MODEL!Q320</f>
        <v>467.10701877495484</v>
      </c>
    </row>
    <row r="320" spans="2:3" x14ac:dyDescent="0.3">
      <c r="B320" s="24">
        <f>MODEL!K321</f>
        <v>0</v>
      </c>
      <c r="C320" s="26">
        <f>MODEL!Q321</f>
        <v>538.59375832208696</v>
      </c>
    </row>
    <row r="321" spans="2:3" x14ac:dyDescent="0.3">
      <c r="B321" s="24">
        <f>MODEL!K322</f>
        <v>0</v>
      </c>
      <c r="C321" s="26">
        <f>MODEL!Q322</f>
        <v>638.15817643612877</v>
      </c>
    </row>
    <row r="322" spans="2:3" x14ac:dyDescent="0.3">
      <c r="B322" s="24">
        <f>MODEL!K323</f>
        <v>1</v>
      </c>
      <c r="C322" s="26">
        <f>MODEL!Q323</f>
        <v>441.28562309140125</v>
      </c>
    </row>
    <row r="323" spans="2:3" x14ac:dyDescent="0.3">
      <c r="B323" s="24">
        <f>MODEL!K324</f>
        <v>0</v>
      </c>
      <c r="C323" s="26">
        <f>MODEL!Q324</f>
        <v>615.81327713496921</v>
      </c>
    </row>
    <row r="324" spans="2:3" x14ac:dyDescent="0.3">
      <c r="B324" s="24">
        <f>MODEL!K325</f>
        <v>0</v>
      </c>
      <c r="C324" s="26">
        <f>MODEL!Q325</f>
        <v>664.09222219199887</v>
      </c>
    </row>
    <row r="325" spans="2:3" x14ac:dyDescent="0.3">
      <c r="B325" s="24">
        <f>MODEL!K326</f>
        <v>0</v>
      </c>
      <c r="C325" s="26">
        <f>MODEL!Q326</f>
        <v>531.64965085081485</v>
      </c>
    </row>
    <row r="326" spans="2:3" x14ac:dyDescent="0.3">
      <c r="B326" s="24">
        <f>MODEL!K327</f>
        <v>1</v>
      </c>
      <c r="C326" s="26">
        <f>MODEL!Q327</f>
        <v>438.1847482611725</v>
      </c>
    </row>
    <row r="327" spans="2:3" x14ac:dyDescent="0.3">
      <c r="B327" s="24">
        <f>MODEL!K328</f>
        <v>0</v>
      </c>
      <c r="C327" s="26">
        <f>MODEL!Q328</f>
        <v>542.59394761922567</v>
      </c>
    </row>
    <row r="328" spans="2:3" x14ac:dyDescent="0.3">
      <c r="B328" s="24">
        <f>MODEL!K329</f>
        <v>0</v>
      </c>
      <c r="C328" s="26">
        <f>MODEL!Q329</f>
        <v>481.178847532335</v>
      </c>
    </row>
    <row r="329" spans="2:3" x14ac:dyDescent="0.3">
      <c r="B329" s="24">
        <f>MODEL!K330</f>
        <v>0</v>
      </c>
      <c r="C329" s="26">
        <f>MODEL!Q330</f>
        <v>522.42118454993522</v>
      </c>
    </row>
    <row r="330" spans="2:3" x14ac:dyDescent="0.3">
      <c r="B330" s="24">
        <f>MODEL!K331</f>
        <v>1</v>
      </c>
      <c r="C330" s="26">
        <f>MODEL!Q331</f>
        <v>471.57202748598667</v>
      </c>
    </row>
    <row r="331" spans="2:3" x14ac:dyDescent="0.3">
      <c r="B331" s="24">
        <f>MODEL!K332</f>
        <v>0</v>
      </c>
      <c r="C331" s="26">
        <f>MODEL!Q332</f>
        <v>498.52362918676209</v>
      </c>
    </row>
    <row r="332" spans="2:3" x14ac:dyDescent="0.3">
      <c r="B332" s="24">
        <f>MODEL!K333</f>
        <v>0</v>
      </c>
      <c r="C332" s="26">
        <f>MODEL!Q333</f>
        <v>467.26508040126862</v>
      </c>
    </row>
    <row r="333" spans="2:3" x14ac:dyDescent="0.3">
      <c r="B333" s="24">
        <f>MODEL!K334</f>
        <v>0</v>
      </c>
      <c r="C333" s="26">
        <f>MODEL!Q334</f>
        <v>516.89097686451703</v>
      </c>
    </row>
    <row r="334" spans="2:3" x14ac:dyDescent="0.3">
      <c r="B334" s="24">
        <f>MODEL!K335</f>
        <v>0</v>
      </c>
      <c r="C334" s="26">
        <f>MODEL!Q335</f>
        <v>569.05356821904127</v>
      </c>
    </row>
    <row r="335" spans="2:3" x14ac:dyDescent="0.3">
      <c r="B335" s="24">
        <f>MODEL!K336</f>
        <v>1</v>
      </c>
      <c r="C335" s="26">
        <f>MODEL!Q336</f>
        <v>532.24604875405487</v>
      </c>
    </row>
    <row r="336" spans="2:3" x14ac:dyDescent="0.3">
      <c r="B336" s="24">
        <f>MODEL!K337</f>
        <v>0</v>
      </c>
      <c r="C336" s="26">
        <f>MODEL!Q337</f>
        <v>562.82021829355131</v>
      </c>
    </row>
    <row r="337" spans="2:3" x14ac:dyDescent="0.3">
      <c r="B337" s="24">
        <f>MODEL!K338</f>
        <v>1</v>
      </c>
      <c r="C337" s="26">
        <f>MODEL!Q338</f>
        <v>523.97105459713566</v>
      </c>
    </row>
    <row r="338" spans="2:3" x14ac:dyDescent="0.3">
      <c r="B338" s="24">
        <f>MODEL!K339</f>
        <v>0</v>
      </c>
      <c r="C338" s="26">
        <f>MODEL!Q339</f>
        <v>570.77380916988864</v>
      </c>
    </row>
    <row r="339" spans="2:3" x14ac:dyDescent="0.3">
      <c r="B339" s="24">
        <f>MODEL!K340</f>
        <v>0</v>
      </c>
      <c r="C339" s="26">
        <f>MODEL!Q340</f>
        <v>506.26429972333619</v>
      </c>
    </row>
    <row r="340" spans="2:3" x14ac:dyDescent="0.3">
      <c r="B340" s="24">
        <f>MODEL!K341</f>
        <v>0</v>
      </c>
      <c r="C340" s="26">
        <f>MODEL!Q341</f>
        <v>584.45429859377941</v>
      </c>
    </row>
    <row r="341" spans="2:3" x14ac:dyDescent="0.3">
      <c r="B341" s="24">
        <f>MODEL!K342</f>
        <v>1</v>
      </c>
      <c r="C341" s="26">
        <f>MODEL!Q342</f>
        <v>395.15519755232219</v>
      </c>
    </row>
    <row r="342" spans="2:3" x14ac:dyDescent="0.3">
      <c r="B342" s="24">
        <f>MODEL!K343</f>
        <v>0</v>
      </c>
      <c r="C342" s="26">
        <f>MODEL!Q343</f>
        <v>599.58139786885192</v>
      </c>
    </row>
    <row r="343" spans="2:3" x14ac:dyDescent="0.3">
      <c r="B343" s="24">
        <f>MODEL!K344</f>
        <v>0</v>
      </c>
      <c r="C343" s="26">
        <f>MODEL!Q344</f>
        <v>659.27671462429089</v>
      </c>
    </row>
    <row r="344" spans="2:3" x14ac:dyDescent="0.3">
      <c r="B344" s="24">
        <f>MODEL!K345</f>
        <v>0</v>
      </c>
      <c r="C344" s="26">
        <f>MODEL!Q345</f>
        <v>523.59596528554221</v>
      </c>
    </row>
    <row r="345" spans="2:3" x14ac:dyDescent="0.3">
      <c r="B345" s="24">
        <f>MODEL!K346</f>
        <v>0</v>
      </c>
      <c r="C345" s="26">
        <f>MODEL!Q346</f>
        <v>576.78292179028472</v>
      </c>
    </row>
    <row r="346" spans="2:3" x14ac:dyDescent="0.3">
      <c r="B346" s="24">
        <f>MODEL!K347</f>
        <v>1</v>
      </c>
      <c r="C346" s="26">
        <f>MODEL!Q347</f>
        <v>395.54781313547596</v>
      </c>
    </row>
    <row r="347" spans="2:3" x14ac:dyDescent="0.3">
      <c r="B347" s="24">
        <f>MODEL!K348</f>
        <v>0</v>
      </c>
      <c r="C347" s="26">
        <f>MODEL!Q348</f>
        <v>569.3834239143639</v>
      </c>
    </row>
    <row r="348" spans="2:3" x14ac:dyDescent="0.3">
      <c r="B348" s="24">
        <f>MODEL!K349</f>
        <v>1</v>
      </c>
      <c r="C348" s="26">
        <f>MODEL!Q349</f>
        <v>525.9588927072358</v>
      </c>
    </row>
    <row r="349" spans="2:3" x14ac:dyDescent="0.3">
      <c r="B349" s="24">
        <f>MODEL!K350</f>
        <v>1</v>
      </c>
      <c r="C349" s="26">
        <f>MODEL!Q350</f>
        <v>493.542573071059</v>
      </c>
    </row>
    <row r="350" spans="2:3" x14ac:dyDescent="0.3">
      <c r="B350" s="24">
        <f>MODEL!K351</f>
        <v>0</v>
      </c>
      <c r="C350" s="26">
        <f>MODEL!Q351</f>
        <v>528.98915157502302</v>
      </c>
    </row>
    <row r="351" spans="2:3" x14ac:dyDescent="0.3">
      <c r="B351" s="24">
        <f>MODEL!K352</f>
        <v>1</v>
      </c>
      <c r="C351" s="26">
        <f>MODEL!Q352</f>
        <v>560.97316187637989</v>
      </c>
    </row>
    <row r="352" spans="2:3" x14ac:dyDescent="0.3">
      <c r="B352" s="24">
        <f>MODEL!K353</f>
        <v>0</v>
      </c>
      <c r="C352" s="26">
        <f>MODEL!Q353</f>
        <v>510.71647488149659</v>
      </c>
    </row>
    <row r="353" spans="2:3" x14ac:dyDescent="0.3">
      <c r="B353" s="24">
        <f>MODEL!K354</f>
        <v>0</v>
      </c>
      <c r="C353" s="26">
        <f>MODEL!Q354</f>
        <v>563.73345901881544</v>
      </c>
    </row>
    <row r="354" spans="2:3" x14ac:dyDescent="0.3">
      <c r="B354" s="24">
        <f>MODEL!K355</f>
        <v>0</v>
      </c>
      <c r="C354" s="26">
        <f>MODEL!Q355</f>
        <v>529.85104487635567</v>
      </c>
    </row>
    <row r="355" spans="2:3" x14ac:dyDescent="0.3">
      <c r="B355" s="24">
        <f>MODEL!K356</f>
        <v>1</v>
      </c>
      <c r="C355" s="26">
        <f>MODEL!Q356</f>
        <v>492.75435231348922</v>
      </c>
    </row>
    <row r="356" spans="2:3" x14ac:dyDescent="0.3">
      <c r="B356" s="24">
        <f>MODEL!K357</f>
        <v>1</v>
      </c>
      <c r="C356" s="26">
        <f>MODEL!Q357</f>
        <v>454.95719626387029</v>
      </c>
    </row>
    <row r="357" spans="2:3" x14ac:dyDescent="0.3">
      <c r="B357" s="24">
        <f>MODEL!K358</f>
        <v>1</v>
      </c>
      <c r="C357" s="26">
        <f>MODEL!Q358</f>
        <v>513.1608526431196</v>
      </c>
    </row>
    <row r="358" spans="2:3" x14ac:dyDescent="0.3">
      <c r="B358" s="24">
        <f>MODEL!K359</f>
        <v>0</v>
      </c>
      <c r="C358" s="26">
        <f>MODEL!Q359</f>
        <v>478.18937517091831</v>
      </c>
    </row>
    <row r="359" spans="2:3" x14ac:dyDescent="0.3">
      <c r="B359" s="24">
        <f>MODEL!K360</f>
        <v>0</v>
      </c>
      <c r="C359" s="26">
        <f>MODEL!Q360</f>
        <v>641.3259517925095</v>
      </c>
    </row>
    <row r="360" spans="2:3" x14ac:dyDescent="0.3">
      <c r="B360" s="24">
        <f>MODEL!K361</f>
        <v>0</v>
      </c>
      <c r="C360" s="26">
        <f>MODEL!Q361</f>
        <v>530.55395109762344</v>
      </c>
    </row>
    <row r="361" spans="2:3" x14ac:dyDescent="0.3">
      <c r="B361" s="24">
        <f>MODEL!K362</f>
        <v>0</v>
      </c>
      <c r="C361" s="26">
        <f>MODEL!Q362</f>
        <v>535.2409923385535</v>
      </c>
    </row>
    <row r="362" spans="2:3" x14ac:dyDescent="0.3">
      <c r="B362" s="24">
        <f>MODEL!K363</f>
        <v>0</v>
      </c>
      <c r="C362" s="26">
        <f>MODEL!Q363</f>
        <v>672.47712238914198</v>
      </c>
    </row>
    <row r="363" spans="2:3" x14ac:dyDescent="0.3">
      <c r="B363" s="24">
        <f>MODEL!K364</f>
        <v>1</v>
      </c>
      <c r="C363" s="26">
        <f>MODEL!Q364</f>
        <v>372.49385251822275</v>
      </c>
    </row>
    <row r="364" spans="2:3" x14ac:dyDescent="0.3">
      <c r="B364" s="24">
        <f>MODEL!K365</f>
        <v>0</v>
      </c>
      <c r="C364" s="26">
        <f>MODEL!Q365</f>
        <v>706.36295917215307</v>
      </c>
    </row>
    <row r="365" spans="2:3" x14ac:dyDescent="0.3">
      <c r="B365" s="24">
        <f>MODEL!K366</f>
        <v>0</v>
      </c>
      <c r="C365" s="26">
        <f>MODEL!Q366</f>
        <v>468.76981576010945</v>
      </c>
    </row>
    <row r="366" spans="2:3" x14ac:dyDescent="0.3">
      <c r="B366" s="24">
        <f>MODEL!K367</f>
        <v>0</v>
      </c>
      <c r="C366" s="26">
        <f>MODEL!Q367</f>
        <v>696.58292689171708</v>
      </c>
    </row>
    <row r="367" spans="2:3" x14ac:dyDescent="0.3">
      <c r="B367" s="24">
        <f>MODEL!K368</f>
        <v>1</v>
      </c>
      <c r="C367" s="26">
        <f>MODEL!Q368</f>
        <v>518.82267025145393</v>
      </c>
    </row>
    <row r="368" spans="2:3" x14ac:dyDescent="0.3">
      <c r="B368" s="24">
        <f>MODEL!K369</f>
        <v>0</v>
      </c>
      <c r="C368" s="26">
        <f>MODEL!Q369</f>
        <v>547.03503277829634</v>
      </c>
    </row>
    <row r="369" spans="2:3" x14ac:dyDescent="0.3">
      <c r="B369" s="24">
        <f>MODEL!K370</f>
        <v>0</v>
      </c>
      <c r="C369" s="26">
        <f>MODEL!Q370</f>
        <v>519.5376865669524</v>
      </c>
    </row>
    <row r="370" spans="2:3" x14ac:dyDescent="0.3">
      <c r="B370" s="24">
        <f>MODEL!K371</f>
        <v>0</v>
      </c>
      <c r="C370" s="26">
        <f>MODEL!Q371</f>
        <v>491.2202481908646</v>
      </c>
    </row>
    <row r="371" spans="2:3" x14ac:dyDescent="0.3">
      <c r="B371" s="24">
        <f>MODEL!K372</f>
        <v>0</v>
      </c>
      <c r="C371" s="26">
        <f>MODEL!Q372</f>
        <v>714.03408405167568</v>
      </c>
    </row>
    <row r="372" spans="2:3" x14ac:dyDescent="0.3">
      <c r="B372" s="24">
        <f>MODEL!K373</f>
        <v>0</v>
      </c>
      <c r="C372" s="26">
        <f>MODEL!Q373</f>
        <v>451.06341093268878</v>
      </c>
    </row>
    <row r="373" spans="2:3" x14ac:dyDescent="0.3">
      <c r="B373" s="24">
        <f>MODEL!K374</f>
        <v>1</v>
      </c>
      <c r="C373" s="26">
        <f>MODEL!Q374</f>
        <v>469.85218548632463</v>
      </c>
    </row>
    <row r="374" spans="2:3" x14ac:dyDescent="0.3">
      <c r="B374" s="24">
        <f>MODEL!K375</f>
        <v>1</v>
      </c>
      <c r="C374" s="26">
        <f>MODEL!Q375</f>
        <v>449.47197277039334</v>
      </c>
    </row>
    <row r="375" spans="2:3" x14ac:dyDescent="0.3">
      <c r="B375" s="24">
        <f>MODEL!K376</f>
        <v>0</v>
      </c>
      <c r="C375" s="26">
        <f>MODEL!Q376</f>
        <v>557.26648733210345</v>
      </c>
    </row>
    <row r="376" spans="2:3" x14ac:dyDescent="0.3">
      <c r="B376" s="24">
        <f>MODEL!K377</f>
        <v>0</v>
      </c>
      <c r="C376" s="26">
        <f>MODEL!Q377</f>
        <v>544.814471154383</v>
      </c>
    </row>
    <row r="377" spans="2:3" x14ac:dyDescent="0.3">
      <c r="B377" s="24">
        <f>MODEL!K378</f>
        <v>0</v>
      </c>
      <c r="C377" s="26">
        <f>MODEL!Q378</f>
        <v>473.81501192092333</v>
      </c>
    </row>
    <row r="378" spans="2:3" x14ac:dyDescent="0.3">
      <c r="B378" s="24">
        <f>MODEL!K379</f>
        <v>0</v>
      </c>
      <c r="C378" s="26">
        <f>MODEL!Q379</f>
        <v>480.87270574495187</v>
      </c>
    </row>
    <row r="379" spans="2:3" x14ac:dyDescent="0.3">
      <c r="B379" s="24">
        <f>MODEL!K380</f>
        <v>0</v>
      </c>
      <c r="C379" s="26">
        <f>MODEL!Q380</f>
        <v>695.88305675855781</v>
      </c>
    </row>
    <row r="380" spans="2:3" x14ac:dyDescent="0.3">
      <c r="B380" s="24">
        <f>MODEL!K381</f>
        <v>1</v>
      </c>
      <c r="C380" s="26">
        <f>MODEL!Q381</f>
        <v>461.06143992318357</v>
      </c>
    </row>
    <row r="381" spans="2:3" x14ac:dyDescent="0.3">
      <c r="B381" s="24">
        <f>MODEL!K382</f>
        <v>1</v>
      </c>
      <c r="C381" s="26">
        <f>MODEL!Q382</f>
        <v>456.48235769583408</v>
      </c>
    </row>
    <row r="382" spans="2:3" x14ac:dyDescent="0.3">
      <c r="B382" s="24">
        <f>MODEL!K383</f>
        <v>1</v>
      </c>
      <c r="C382" s="26">
        <f>MODEL!Q383</f>
        <v>494.5212787090349</v>
      </c>
    </row>
    <row r="383" spans="2:3" x14ac:dyDescent="0.3">
      <c r="B383" s="24">
        <f>MODEL!K384</f>
        <v>1</v>
      </c>
      <c r="C383" s="26">
        <f>MODEL!Q384</f>
        <v>469.78064506255845</v>
      </c>
    </row>
    <row r="384" spans="2:3" x14ac:dyDescent="0.3">
      <c r="B384" s="24">
        <f>MODEL!K385</f>
        <v>1</v>
      </c>
      <c r="C384" s="26">
        <f>MODEL!Q385</f>
        <v>496.23476470346986</v>
      </c>
    </row>
    <row r="385" spans="2:3" x14ac:dyDescent="0.3">
      <c r="B385" s="24">
        <f>MODEL!K386</f>
        <v>1</v>
      </c>
      <c r="C385" s="26">
        <f>MODEL!Q386</f>
        <v>483.14235519929508</v>
      </c>
    </row>
    <row r="386" spans="2:3" x14ac:dyDescent="0.3">
      <c r="B386" s="24">
        <f>MODEL!K387</f>
        <v>0</v>
      </c>
      <c r="C386" s="26">
        <f>MODEL!Q387</f>
        <v>487.58911185731523</v>
      </c>
    </row>
    <row r="387" spans="2:3" x14ac:dyDescent="0.3">
      <c r="B387" s="24">
        <f>MODEL!K388</f>
        <v>0</v>
      </c>
      <c r="C387" s="26">
        <f>MODEL!Q388</f>
        <v>516.11662905647893</v>
      </c>
    </row>
    <row r="388" spans="2:3" x14ac:dyDescent="0.3">
      <c r="B388" s="24">
        <f>MODEL!K389</f>
        <v>0</v>
      </c>
      <c r="C388" s="26">
        <f>MODEL!Q389</f>
        <v>513.76887692691196</v>
      </c>
    </row>
    <row r="389" spans="2:3" x14ac:dyDescent="0.3">
      <c r="B389" s="24">
        <f>MODEL!K390</f>
        <v>0</v>
      </c>
      <c r="C389" s="26">
        <f>MODEL!Q390</f>
        <v>580.64006651151033</v>
      </c>
    </row>
    <row r="390" spans="2:3" x14ac:dyDescent="0.3">
      <c r="B390" s="24">
        <f>MODEL!K391</f>
        <v>0</v>
      </c>
      <c r="C390" s="26">
        <f>MODEL!Q391</f>
        <v>531.41842168813457</v>
      </c>
    </row>
    <row r="391" spans="2:3" x14ac:dyDescent="0.3">
      <c r="B391" s="24">
        <f>MODEL!K392</f>
        <v>1</v>
      </c>
      <c r="C391" s="26">
        <f>MODEL!Q392</f>
        <v>456.71618467184607</v>
      </c>
    </row>
    <row r="392" spans="2:3" x14ac:dyDescent="0.3">
      <c r="B392" s="24">
        <f>MODEL!K393</f>
        <v>0</v>
      </c>
      <c r="C392" s="26">
        <f>MODEL!Q393</f>
        <v>491.94775122024328</v>
      </c>
    </row>
    <row r="393" spans="2:3" x14ac:dyDescent="0.3">
      <c r="B393" s="24">
        <f>MODEL!K394</f>
        <v>1</v>
      </c>
      <c r="C393" s="26">
        <f>MODEL!Q394</f>
        <v>524.34671020915494</v>
      </c>
    </row>
    <row r="394" spans="2:3" x14ac:dyDescent="0.3">
      <c r="B394" s="24">
        <f>MODEL!K395</f>
        <v>0</v>
      </c>
      <c r="C394" s="26">
        <f>MODEL!Q395</f>
        <v>489.95166231937975</v>
      </c>
    </row>
    <row r="395" spans="2:3" x14ac:dyDescent="0.3">
      <c r="B395" s="24">
        <f>MODEL!K396</f>
        <v>0</v>
      </c>
      <c r="C395" s="26">
        <f>MODEL!Q396</f>
        <v>537.32100598732734</v>
      </c>
    </row>
    <row r="396" spans="2:3" x14ac:dyDescent="0.3">
      <c r="B396" s="24">
        <f>MODEL!K397</f>
        <v>1</v>
      </c>
      <c r="C396" s="26">
        <f>MODEL!Q397</f>
        <v>476.10778645717204</v>
      </c>
    </row>
    <row r="397" spans="2:3" x14ac:dyDescent="0.3">
      <c r="B397" s="24">
        <f>MODEL!K398</f>
        <v>0</v>
      </c>
      <c r="C397" s="26">
        <f>MODEL!Q398</f>
        <v>529.30683141790053</v>
      </c>
    </row>
    <row r="398" spans="2:3" x14ac:dyDescent="0.3">
      <c r="B398" s="24">
        <f>MODEL!K399</f>
        <v>0</v>
      </c>
      <c r="C398" s="26">
        <f>MODEL!Q399</f>
        <v>508.49001347405482</v>
      </c>
    </row>
    <row r="399" spans="2:3" x14ac:dyDescent="0.3">
      <c r="B399" s="24">
        <f>MODEL!K400</f>
        <v>0</v>
      </c>
      <c r="C399" s="26">
        <f>MODEL!Q400</f>
        <v>504.09485401383068</v>
      </c>
    </row>
    <row r="400" spans="2:3" x14ac:dyDescent="0.3">
      <c r="B400" s="24">
        <f>MODEL!K401</f>
        <v>0</v>
      </c>
      <c r="C400" s="26">
        <f>MODEL!Q401</f>
        <v>545.02226750516024</v>
      </c>
    </row>
    <row r="401" spans="2:3" x14ac:dyDescent="0.3">
      <c r="B401" s="24">
        <f>MODEL!K402</f>
        <v>1</v>
      </c>
      <c r="C401" s="26">
        <f>MODEL!Q402</f>
        <v>493.24011045307418</v>
      </c>
    </row>
    <row r="402" spans="2:3" x14ac:dyDescent="0.3">
      <c r="B402" s="24">
        <f>MODEL!K403</f>
        <v>0</v>
      </c>
      <c r="C402" s="26">
        <f>MODEL!Q403</f>
        <v>574.22974903874638</v>
      </c>
    </row>
    <row r="403" spans="2:3" x14ac:dyDescent="0.3">
      <c r="B403" s="24">
        <f>MODEL!K404</f>
        <v>0</v>
      </c>
      <c r="C403" s="26">
        <f>MODEL!Q404</f>
        <v>488.38366690404467</v>
      </c>
    </row>
    <row r="404" spans="2:3" x14ac:dyDescent="0.3">
      <c r="B404" s="24">
        <f>MODEL!K405</f>
        <v>0</v>
      </c>
      <c r="C404" s="26">
        <f>MODEL!Q405</f>
        <v>577.48108565436075</v>
      </c>
    </row>
    <row r="405" spans="2:3" x14ac:dyDescent="0.3">
      <c r="B405" s="24">
        <f>MODEL!K406</f>
        <v>0</v>
      </c>
      <c r="C405" s="26">
        <f>MODEL!Q406</f>
        <v>613.8756732164527</v>
      </c>
    </row>
    <row r="406" spans="2:3" x14ac:dyDescent="0.3">
      <c r="B406" s="24">
        <f>MODEL!K407</f>
        <v>0</v>
      </c>
      <c r="C406" s="26">
        <f>MODEL!Q407</f>
        <v>490.22195382918233</v>
      </c>
    </row>
    <row r="407" spans="2:3" x14ac:dyDescent="0.3">
      <c r="B407" s="24">
        <f>MODEL!K408</f>
        <v>1</v>
      </c>
      <c r="C407" s="26">
        <f>MODEL!Q408</f>
        <v>552.4116010180453</v>
      </c>
    </row>
    <row r="408" spans="2:3" x14ac:dyDescent="0.3">
      <c r="B408" s="24">
        <f>MODEL!K409</f>
        <v>0</v>
      </c>
      <c r="C408" s="26">
        <f>MODEL!Q409</f>
        <v>564.38524381098887</v>
      </c>
    </row>
    <row r="409" spans="2:3" x14ac:dyDescent="0.3">
      <c r="B409" s="24">
        <f>MODEL!K410</f>
        <v>0</v>
      </c>
      <c r="C409" s="26">
        <f>MODEL!Q410</f>
        <v>499.63379328753859</v>
      </c>
    </row>
    <row r="410" spans="2:3" x14ac:dyDescent="0.3">
      <c r="B410" s="24">
        <f>MODEL!K411</f>
        <v>0</v>
      </c>
      <c r="C410" s="26">
        <f>MODEL!Q411</f>
        <v>513.20413806409101</v>
      </c>
    </row>
    <row r="411" spans="2:3" x14ac:dyDescent="0.3">
      <c r="B411" s="24">
        <f>MODEL!K412</f>
        <v>0</v>
      </c>
      <c r="C411" s="26">
        <f>MODEL!Q412</f>
        <v>527.99753264695619</v>
      </c>
    </row>
    <row r="412" spans="2:3" x14ac:dyDescent="0.3">
      <c r="B412" s="24">
        <f>MODEL!K413</f>
        <v>0</v>
      </c>
      <c r="C412" s="26">
        <f>MODEL!Q413</f>
        <v>493.37796740139214</v>
      </c>
    </row>
    <row r="413" spans="2:3" x14ac:dyDescent="0.3">
      <c r="B413" s="24">
        <f>MODEL!K414</f>
        <v>1</v>
      </c>
      <c r="C413" s="26">
        <f>MODEL!Q414</f>
        <v>371.72284747579522</v>
      </c>
    </row>
    <row r="414" spans="2:3" x14ac:dyDescent="0.3">
      <c r="B414" s="24">
        <f>MODEL!K415</f>
        <v>0</v>
      </c>
      <c r="C414" s="26">
        <f>MODEL!Q415</f>
        <v>472.25657436487035</v>
      </c>
    </row>
    <row r="415" spans="2:3" x14ac:dyDescent="0.3">
      <c r="B415" s="24">
        <f>MODEL!K416</f>
        <v>1</v>
      </c>
      <c r="C415" s="26">
        <f>MODEL!Q416</f>
        <v>352.6203746639975</v>
      </c>
    </row>
    <row r="416" spans="2:3" x14ac:dyDescent="0.3">
      <c r="B416" s="24">
        <f>MODEL!K417</f>
        <v>1</v>
      </c>
      <c r="C416" s="26">
        <f>MODEL!Q417</f>
        <v>534.61721218468995</v>
      </c>
    </row>
    <row r="417" spans="2:3" x14ac:dyDescent="0.3">
      <c r="B417" s="24">
        <f>MODEL!K418</f>
        <v>0</v>
      </c>
      <c r="C417" s="26">
        <f>MODEL!Q418</f>
        <v>611.80321532959294</v>
      </c>
    </row>
    <row r="418" spans="2:3" x14ac:dyDescent="0.3">
      <c r="B418" s="24">
        <f>MODEL!K419</f>
        <v>1</v>
      </c>
      <c r="C418" s="26">
        <f>MODEL!Q419</f>
        <v>566.36519823203594</v>
      </c>
    </row>
    <row r="419" spans="2:3" x14ac:dyDescent="0.3">
      <c r="B419" s="24">
        <f>MODEL!K420</f>
        <v>0</v>
      </c>
      <c r="C419" s="26">
        <f>MODEL!Q420</f>
        <v>550.3990355064916</v>
      </c>
    </row>
    <row r="420" spans="2:3" x14ac:dyDescent="0.3">
      <c r="B420" s="24">
        <f>MODEL!K421</f>
        <v>1</v>
      </c>
      <c r="C420" s="26">
        <f>MODEL!Q421</f>
        <v>59.604795221100289</v>
      </c>
    </row>
    <row r="421" spans="2:3" x14ac:dyDescent="0.3">
      <c r="B421" s="24">
        <f>MODEL!K422</f>
        <v>0</v>
      </c>
      <c r="C421" s="26">
        <f>MODEL!Q422</f>
        <v>509.03661074699818</v>
      </c>
    </row>
    <row r="422" spans="2:3" x14ac:dyDescent="0.3">
      <c r="B422" s="24">
        <f>MODEL!K423</f>
        <v>0</v>
      </c>
      <c r="C422" s="26">
        <f>MODEL!Q423</f>
        <v>454.67120693027522</v>
      </c>
    </row>
    <row r="423" spans="2:3" x14ac:dyDescent="0.3">
      <c r="B423" s="24">
        <f>MODEL!K424</f>
        <v>0</v>
      </c>
      <c r="C423" s="26">
        <f>MODEL!Q424</f>
        <v>540.93047516375782</v>
      </c>
    </row>
    <row r="424" spans="2:3" x14ac:dyDescent="0.3">
      <c r="B424" s="24">
        <f>MODEL!K425</f>
        <v>0</v>
      </c>
      <c r="C424" s="26">
        <f>MODEL!Q425</f>
        <v>498.64618661672142</v>
      </c>
    </row>
    <row r="425" spans="2:3" x14ac:dyDescent="0.3">
      <c r="B425" s="24">
        <f>MODEL!K426</f>
        <v>1</v>
      </c>
      <c r="C425" s="26">
        <f>MODEL!Q426</f>
        <v>524.62447980242723</v>
      </c>
    </row>
    <row r="426" spans="2:3" x14ac:dyDescent="0.3">
      <c r="B426" s="24">
        <f>MODEL!K427</f>
        <v>0</v>
      </c>
      <c r="C426" s="26">
        <f>MODEL!Q427</f>
        <v>527.59066779590853</v>
      </c>
    </row>
    <row r="427" spans="2:3" x14ac:dyDescent="0.3">
      <c r="B427" s="24">
        <f>MODEL!K428</f>
        <v>0</v>
      </c>
      <c r="C427" s="26">
        <f>MODEL!Q428</f>
        <v>533.25538568694014</v>
      </c>
    </row>
    <row r="428" spans="2:3" x14ac:dyDescent="0.3">
      <c r="B428" s="24">
        <f>MODEL!K429</f>
        <v>0</v>
      </c>
      <c r="C428" s="26">
        <f>MODEL!Q429</f>
        <v>501.24681901118646</v>
      </c>
    </row>
    <row r="429" spans="2:3" x14ac:dyDescent="0.3">
      <c r="B429" s="24">
        <f>MODEL!K430</f>
        <v>0</v>
      </c>
      <c r="C429" s="26">
        <f>MODEL!Q430</f>
        <v>504.37919442255895</v>
      </c>
    </row>
    <row r="430" spans="2:3" x14ac:dyDescent="0.3">
      <c r="B430" s="24">
        <f>MODEL!K431</f>
        <v>1</v>
      </c>
      <c r="C430" s="26">
        <f>MODEL!Q431</f>
        <v>516.33355300613323</v>
      </c>
    </row>
    <row r="431" spans="2:3" x14ac:dyDescent="0.3">
      <c r="B431" s="24">
        <f>MODEL!K432</f>
        <v>0</v>
      </c>
      <c r="C431" s="26">
        <f>MODEL!Q432</f>
        <v>517.71146002558714</v>
      </c>
    </row>
    <row r="432" spans="2:3" x14ac:dyDescent="0.3">
      <c r="B432" s="24">
        <f>MODEL!K433</f>
        <v>0</v>
      </c>
      <c r="C432" s="26">
        <f>MODEL!Q433</f>
        <v>634.96910328413696</v>
      </c>
    </row>
    <row r="433" spans="2:3" x14ac:dyDescent="0.3">
      <c r="B433" s="24">
        <f>MODEL!K434</f>
        <v>0</v>
      </c>
      <c r="C433" s="26">
        <f>MODEL!Q434</f>
        <v>501.1416050255188</v>
      </c>
    </row>
    <row r="434" spans="2:3" x14ac:dyDescent="0.3">
      <c r="B434" s="24">
        <f>MODEL!K435</f>
        <v>1</v>
      </c>
      <c r="C434" s="26">
        <f>MODEL!Q435</f>
        <v>572.86122135101311</v>
      </c>
    </row>
    <row r="435" spans="2:3" x14ac:dyDescent="0.3">
      <c r="B435" s="24">
        <f>MODEL!K436</f>
        <v>0</v>
      </c>
      <c r="C435" s="26">
        <f>MODEL!Q436</f>
        <v>474.81617697060113</v>
      </c>
    </row>
    <row r="436" spans="2:3" x14ac:dyDescent="0.3">
      <c r="B436" s="24">
        <f>MODEL!K437</f>
        <v>1</v>
      </c>
      <c r="C436" s="26">
        <f>MODEL!Q437</f>
        <v>496.78656760817188</v>
      </c>
    </row>
    <row r="437" spans="2:3" x14ac:dyDescent="0.3">
      <c r="B437" s="24">
        <f>MODEL!K438</f>
        <v>0</v>
      </c>
      <c r="C437" s="26">
        <f>MODEL!Q438</f>
        <v>494.11720390314719</v>
      </c>
    </row>
    <row r="438" spans="2:3" x14ac:dyDescent="0.3">
      <c r="B438" s="24">
        <f>MODEL!K439</f>
        <v>1</v>
      </c>
      <c r="C438" s="26">
        <f>MODEL!Q439</f>
        <v>478.65585312343512</v>
      </c>
    </row>
    <row r="439" spans="2:3" x14ac:dyDescent="0.3">
      <c r="B439" s="24">
        <f>MODEL!K440</f>
        <v>0</v>
      </c>
      <c r="C439" s="26">
        <f>MODEL!Q440</f>
        <v>523.23657130395236</v>
      </c>
    </row>
    <row r="440" spans="2:3" x14ac:dyDescent="0.3">
      <c r="B440" s="24">
        <f>MODEL!K441</f>
        <v>0</v>
      </c>
      <c r="C440" s="26">
        <f>MODEL!Q441</f>
        <v>544.53339633124199</v>
      </c>
    </row>
    <row r="441" spans="2:3" x14ac:dyDescent="0.3">
      <c r="B441" s="24">
        <f>MODEL!K442</f>
        <v>0</v>
      </c>
      <c r="C441" s="26">
        <f>MODEL!Q442</f>
        <v>539.23916160064584</v>
      </c>
    </row>
    <row r="442" spans="2:3" x14ac:dyDescent="0.3">
      <c r="B442" s="24">
        <f>MODEL!K443</f>
        <v>1</v>
      </c>
      <c r="C442" s="26">
        <f>MODEL!Q443</f>
        <v>485.87551417631875</v>
      </c>
    </row>
    <row r="443" spans="2:3" x14ac:dyDescent="0.3">
      <c r="B443" s="24">
        <f>MODEL!K444</f>
        <v>1</v>
      </c>
      <c r="C443" s="26">
        <f>MODEL!Q444</f>
        <v>447.29421980337651</v>
      </c>
    </row>
    <row r="444" spans="2:3" x14ac:dyDescent="0.3">
      <c r="B444" s="24">
        <f>MODEL!K445</f>
        <v>1</v>
      </c>
      <c r="C444" s="26">
        <f>MODEL!Q445</f>
        <v>507.81029181313761</v>
      </c>
    </row>
    <row r="445" spans="2:3" x14ac:dyDescent="0.3">
      <c r="B445" s="24">
        <f>MODEL!K446</f>
        <v>0</v>
      </c>
      <c r="C445" s="26">
        <f>MODEL!Q446</f>
        <v>527.14931598665453</v>
      </c>
    </row>
    <row r="446" spans="2:3" x14ac:dyDescent="0.3">
      <c r="B446" s="24">
        <f>MODEL!K447</f>
        <v>1</v>
      </c>
      <c r="C446" s="26">
        <f>MODEL!Q447</f>
        <v>428.57063425456579</v>
      </c>
    </row>
    <row r="447" spans="2:3" x14ac:dyDescent="0.3">
      <c r="B447" s="24">
        <f>MODEL!K448</f>
        <v>1</v>
      </c>
      <c r="C447" s="26">
        <f>MODEL!Q448</f>
        <v>502.59545622669054</v>
      </c>
    </row>
    <row r="448" spans="2:3" x14ac:dyDescent="0.3">
      <c r="B448" s="24">
        <f>MODEL!K449</f>
        <v>1</v>
      </c>
      <c r="C448" s="26">
        <f>MODEL!Q449</f>
        <v>337.70547092697598</v>
      </c>
    </row>
    <row r="449" spans="2:3" x14ac:dyDescent="0.3">
      <c r="B449" s="24">
        <f>MODEL!K450</f>
        <v>1</v>
      </c>
      <c r="C449" s="26">
        <f>MODEL!Q450</f>
        <v>476.38631950349981</v>
      </c>
    </row>
    <row r="450" spans="2:3" x14ac:dyDescent="0.3">
      <c r="B450" s="24">
        <f>MODEL!K451</f>
        <v>0</v>
      </c>
      <c r="C450" s="26">
        <f>MODEL!Q451</f>
        <v>468.20986288654581</v>
      </c>
    </row>
    <row r="451" spans="2:3" x14ac:dyDescent="0.3">
      <c r="B451" s="24">
        <f>MODEL!K452</f>
        <v>0</v>
      </c>
      <c r="C451" s="26">
        <f>MODEL!Q452</f>
        <v>527.56732155356656</v>
      </c>
    </row>
    <row r="452" spans="2:3" x14ac:dyDescent="0.3">
      <c r="B452" s="24">
        <f>MODEL!K453</f>
        <v>1</v>
      </c>
      <c r="C452" s="26">
        <f>MODEL!Q453</f>
        <v>453.46814210812744</v>
      </c>
    </row>
    <row r="453" spans="2:3" x14ac:dyDescent="0.3">
      <c r="B453" s="24">
        <f>MODEL!K454</f>
        <v>1</v>
      </c>
      <c r="C453" s="26">
        <f>MODEL!Q454</f>
        <v>464.12639348535504</v>
      </c>
    </row>
    <row r="454" spans="2:3" x14ac:dyDescent="0.3">
      <c r="B454" s="24">
        <f>MODEL!K455</f>
        <v>0</v>
      </c>
      <c r="C454" s="26">
        <f>MODEL!Q455</f>
        <v>476.25627373537918</v>
      </c>
    </row>
    <row r="455" spans="2:3" x14ac:dyDescent="0.3">
      <c r="B455" s="24">
        <f>MODEL!K456</f>
        <v>0</v>
      </c>
      <c r="C455" s="26">
        <f>MODEL!Q456</f>
        <v>520.5871873595745</v>
      </c>
    </row>
    <row r="456" spans="2:3" x14ac:dyDescent="0.3">
      <c r="B456" s="24">
        <f>MODEL!K457</f>
        <v>1</v>
      </c>
      <c r="C456" s="26">
        <f>MODEL!Q457</f>
        <v>359.96897162682978</v>
      </c>
    </row>
    <row r="457" spans="2:3" x14ac:dyDescent="0.3">
      <c r="B457" s="24">
        <f>MODEL!K458</f>
        <v>0</v>
      </c>
      <c r="C457" s="26">
        <f>MODEL!Q458</f>
        <v>552.04748380621436</v>
      </c>
    </row>
    <row r="458" spans="2:3" x14ac:dyDescent="0.3">
      <c r="B458" s="24">
        <f>MODEL!K459</f>
        <v>0</v>
      </c>
      <c r="C458" s="26">
        <f>MODEL!Q459</f>
        <v>544.61499319268012</v>
      </c>
    </row>
    <row r="459" spans="2:3" x14ac:dyDescent="0.3">
      <c r="B459" s="24">
        <f>MODEL!K460</f>
        <v>1</v>
      </c>
      <c r="C459" s="26">
        <f>MODEL!Q460</f>
        <v>529.22752141790022</v>
      </c>
    </row>
    <row r="460" spans="2:3" x14ac:dyDescent="0.3">
      <c r="B460" s="24">
        <f>MODEL!K461</f>
        <v>1</v>
      </c>
      <c r="C460" s="26">
        <f>MODEL!Q461</f>
        <v>432.44642242683568</v>
      </c>
    </row>
    <row r="461" spans="2:3" x14ac:dyDescent="0.3">
      <c r="B461" s="24">
        <f>MODEL!K462</f>
        <v>1</v>
      </c>
      <c r="C461" s="26">
        <f>MODEL!Q462</f>
        <v>418.93984869694924</v>
      </c>
    </row>
    <row r="462" spans="2:3" x14ac:dyDescent="0.3">
      <c r="B462" s="24">
        <f>MODEL!K463</f>
        <v>0</v>
      </c>
      <c r="C462" s="26">
        <f>MODEL!Q463</f>
        <v>464.82290960271126</v>
      </c>
    </row>
    <row r="463" spans="2:3" x14ac:dyDescent="0.3">
      <c r="B463" s="24">
        <f>MODEL!K464</f>
        <v>0</v>
      </c>
      <c r="C463" s="26">
        <f>MODEL!Q464</f>
        <v>674.82286001045509</v>
      </c>
    </row>
    <row r="464" spans="2:3" x14ac:dyDescent="0.3">
      <c r="B464" s="24">
        <f>MODEL!K465</f>
        <v>0</v>
      </c>
      <c r="C464" s="26">
        <f>MODEL!Q465</f>
        <v>668.92758073047014</v>
      </c>
    </row>
    <row r="465" spans="2:3" x14ac:dyDescent="0.3">
      <c r="B465" s="24">
        <f>MODEL!K466</f>
        <v>0</v>
      </c>
      <c r="C465" s="26">
        <f>MODEL!Q466</f>
        <v>498.61280244886098</v>
      </c>
    </row>
    <row r="466" spans="2:3" x14ac:dyDescent="0.3">
      <c r="B466" s="24">
        <f>MODEL!K467</f>
        <v>1</v>
      </c>
      <c r="C466" s="26">
        <f>MODEL!Q467</f>
        <v>465.58152277548459</v>
      </c>
    </row>
    <row r="467" spans="2:3" x14ac:dyDescent="0.3">
      <c r="B467" s="24">
        <f>MODEL!K468</f>
        <v>0</v>
      </c>
      <c r="C467" s="26">
        <f>MODEL!Q468</f>
        <v>525.89986907630657</v>
      </c>
    </row>
    <row r="468" spans="2:3" x14ac:dyDescent="0.3">
      <c r="B468" s="24">
        <f>MODEL!K469</f>
        <v>0</v>
      </c>
      <c r="C468" s="26">
        <f>MODEL!Q469</f>
        <v>542.11857426733104</v>
      </c>
    </row>
    <row r="469" spans="2:3" x14ac:dyDescent="0.3">
      <c r="B469" s="24">
        <f>MODEL!K470</f>
        <v>1</v>
      </c>
      <c r="C469" s="26">
        <f>MODEL!Q470</f>
        <v>516.27360926587528</v>
      </c>
    </row>
    <row r="470" spans="2:3" x14ac:dyDescent="0.3">
      <c r="B470" s="24">
        <f>MODEL!K471</f>
        <v>0</v>
      </c>
      <c r="C470" s="26">
        <f>MODEL!Q471</f>
        <v>611.0190624057617</v>
      </c>
    </row>
    <row r="471" spans="2:3" x14ac:dyDescent="0.3">
      <c r="B471" s="24">
        <f>MODEL!K472</f>
        <v>0</v>
      </c>
      <c r="C471" s="26">
        <f>MODEL!Q472</f>
        <v>623.81948077069285</v>
      </c>
    </row>
    <row r="472" spans="2:3" x14ac:dyDescent="0.3">
      <c r="B472" s="24">
        <f>MODEL!K473</f>
        <v>0</v>
      </c>
      <c r="C472" s="26">
        <f>MODEL!Q473</f>
        <v>561.9823120105749</v>
      </c>
    </row>
    <row r="473" spans="2:3" x14ac:dyDescent="0.3">
      <c r="B473" s="24">
        <f>MODEL!K474</f>
        <v>0</v>
      </c>
      <c r="C473" s="26">
        <f>MODEL!Q474</f>
        <v>539.48364329324295</v>
      </c>
    </row>
    <row r="474" spans="2:3" x14ac:dyDescent="0.3">
      <c r="B474" s="24">
        <f>MODEL!K475</f>
        <v>0</v>
      </c>
      <c r="C474" s="26">
        <f>MODEL!Q475</f>
        <v>519.58815385700234</v>
      </c>
    </row>
    <row r="475" spans="2:3" x14ac:dyDescent="0.3">
      <c r="B475" s="24">
        <f>MODEL!K476</f>
        <v>0</v>
      </c>
      <c r="C475" s="26">
        <f>MODEL!Q476</f>
        <v>529.61097086312384</v>
      </c>
    </row>
    <row r="476" spans="2:3" x14ac:dyDescent="0.3">
      <c r="B476" s="24">
        <f>MODEL!K477</f>
        <v>0</v>
      </c>
      <c r="C476" s="26">
        <f>MODEL!Q477</f>
        <v>493.44869331044345</v>
      </c>
    </row>
    <row r="477" spans="2:3" x14ac:dyDescent="0.3">
      <c r="B477" s="24">
        <f>MODEL!K478</f>
        <v>1</v>
      </c>
      <c r="C477" s="26">
        <f>MODEL!Q478</f>
        <v>415.55274314613951</v>
      </c>
    </row>
    <row r="478" spans="2:3" x14ac:dyDescent="0.3">
      <c r="B478" s="24">
        <f>MODEL!K479</f>
        <v>1</v>
      </c>
      <c r="C478" s="26">
        <f>MODEL!Q479</f>
        <v>528.35998699374215</v>
      </c>
    </row>
    <row r="479" spans="2:3" x14ac:dyDescent="0.3">
      <c r="B479" s="24">
        <f>MODEL!K480</f>
        <v>1</v>
      </c>
      <c r="C479" s="26">
        <f>MODEL!Q480</f>
        <v>483.95540516571987</v>
      </c>
    </row>
    <row r="480" spans="2:3" x14ac:dyDescent="0.3">
      <c r="B480" s="24">
        <f>MODEL!K481</f>
        <v>0</v>
      </c>
      <c r="C480" s="26">
        <f>MODEL!Q481</f>
        <v>503.83534609525253</v>
      </c>
    </row>
    <row r="481" spans="2:3" x14ac:dyDescent="0.3">
      <c r="B481" s="24">
        <f>MODEL!K482</f>
        <v>0</v>
      </c>
      <c r="C481" s="26">
        <f>MODEL!Q482</f>
        <v>480.35617646219782</v>
      </c>
    </row>
    <row r="482" spans="2:3" x14ac:dyDescent="0.3">
      <c r="B482" s="24">
        <f>MODEL!K483</f>
        <v>0</v>
      </c>
      <c r="C482" s="26">
        <f>MODEL!Q483</f>
        <v>595.24288534137145</v>
      </c>
    </row>
    <row r="483" spans="2:3" x14ac:dyDescent="0.3">
      <c r="B483" s="24">
        <f>MODEL!K484</f>
        <v>0</v>
      </c>
      <c r="C483" s="26">
        <f>MODEL!Q484</f>
        <v>500.15898822987833</v>
      </c>
    </row>
    <row r="484" spans="2:3" x14ac:dyDescent="0.3">
      <c r="B484" s="24">
        <f>MODEL!K485</f>
        <v>0</v>
      </c>
      <c r="C484" s="26">
        <f>MODEL!Q485</f>
        <v>505.87082217788867</v>
      </c>
    </row>
    <row r="485" spans="2:3" x14ac:dyDescent="0.3">
      <c r="B485" s="24">
        <f>MODEL!K486</f>
        <v>0</v>
      </c>
      <c r="C485" s="26">
        <f>MODEL!Q486</f>
        <v>418.10394109740912</v>
      </c>
    </row>
    <row r="486" spans="2:3" x14ac:dyDescent="0.3">
      <c r="B486" s="24">
        <f>MODEL!K487</f>
        <v>0</v>
      </c>
      <c r="C486" s="26">
        <f>MODEL!Q487</f>
        <v>511.82122716417246</v>
      </c>
    </row>
    <row r="487" spans="2:3" x14ac:dyDescent="0.3">
      <c r="B487" s="24">
        <f>MODEL!K488</f>
        <v>0</v>
      </c>
      <c r="C487" s="26">
        <f>MODEL!Q488</f>
        <v>587.10720288809421</v>
      </c>
    </row>
    <row r="488" spans="2:3" x14ac:dyDescent="0.3">
      <c r="B488" s="24">
        <f>MODEL!K489</f>
        <v>0</v>
      </c>
      <c r="C488" s="26">
        <f>MODEL!Q489</f>
        <v>483.74030586119562</v>
      </c>
    </row>
    <row r="489" spans="2:3" x14ac:dyDescent="0.3">
      <c r="B489" s="24">
        <f>MODEL!K490</f>
        <v>1</v>
      </c>
      <c r="C489" s="26">
        <f>MODEL!Q490</f>
        <v>341.6715619573672</v>
      </c>
    </row>
    <row r="490" spans="2:3" x14ac:dyDescent="0.3">
      <c r="B490" s="24">
        <f>MODEL!K491</f>
        <v>0</v>
      </c>
      <c r="C490" s="26">
        <f>MODEL!Q491</f>
        <v>567.04692432054401</v>
      </c>
    </row>
    <row r="491" spans="2:3" x14ac:dyDescent="0.3">
      <c r="B491" s="24">
        <f>MODEL!K492</f>
        <v>1</v>
      </c>
      <c r="C491" s="26">
        <f>MODEL!Q492</f>
        <v>469.39013797866886</v>
      </c>
    </row>
    <row r="492" spans="2:3" x14ac:dyDescent="0.3">
      <c r="B492" s="24">
        <f>MODEL!K493</f>
        <v>0</v>
      </c>
      <c r="C492" s="26">
        <f>MODEL!Q493</f>
        <v>710.59194809093788</v>
      </c>
    </row>
    <row r="493" spans="2:3" x14ac:dyDescent="0.3">
      <c r="B493" s="24">
        <f>MODEL!K494</f>
        <v>0</v>
      </c>
      <c r="C493" s="26">
        <f>MODEL!Q494</f>
        <v>583.05507917283205</v>
      </c>
    </row>
    <row r="494" spans="2:3" x14ac:dyDescent="0.3">
      <c r="B494" s="24">
        <f>MODEL!K495</f>
        <v>0</v>
      </c>
      <c r="C494" s="26">
        <f>MODEL!Q495</f>
        <v>488.57839692320499</v>
      </c>
    </row>
    <row r="495" spans="2:3" x14ac:dyDescent="0.3">
      <c r="B495" s="24">
        <f>MODEL!K496</f>
        <v>0</v>
      </c>
      <c r="C495" s="26">
        <f>MODEL!Q496</f>
        <v>542.51695092450996</v>
      </c>
    </row>
    <row r="496" spans="2:3" x14ac:dyDescent="0.3">
      <c r="B496" s="24">
        <f>MODEL!K497</f>
        <v>1</v>
      </c>
      <c r="C496" s="26">
        <f>MODEL!Q497</f>
        <v>471.11952564498989</v>
      </c>
    </row>
    <row r="497" spans="2:3" x14ac:dyDescent="0.3">
      <c r="B497" s="24">
        <f>MODEL!K498</f>
        <v>1</v>
      </c>
      <c r="C497" s="26">
        <f>MODEL!Q498</f>
        <v>528.93537151524367</v>
      </c>
    </row>
    <row r="498" spans="2:3" x14ac:dyDescent="0.3">
      <c r="B498" s="24">
        <f>MODEL!K499</f>
        <v>1</v>
      </c>
      <c r="C498" s="26">
        <f>MODEL!Q499</f>
        <v>428.44266596427417</v>
      </c>
    </row>
    <row r="499" spans="2:3" x14ac:dyDescent="0.3">
      <c r="B499" s="24">
        <f>MODEL!K500</f>
        <v>0</v>
      </c>
      <c r="C499" s="26">
        <f>MODEL!Q500</f>
        <v>485.47089830708853</v>
      </c>
    </row>
    <row r="500" spans="2:3" x14ac:dyDescent="0.3">
      <c r="B500" s="24">
        <f>MODEL!K501</f>
        <v>0</v>
      </c>
      <c r="C500" s="26">
        <f>MODEL!Q501</f>
        <v>538.47366146053207</v>
      </c>
    </row>
    <row r="501" spans="2:3" x14ac:dyDescent="0.3">
      <c r="B501" s="24">
        <f>MODEL!K502</f>
        <v>1</v>
      </c>
      <c r="C501" s="26">
        <f>MODEL!Q502</f>
        <v>505.69072699942376</v>
      </c>
    </row>
    <row r="502" spans="2:3" x14ac:dyDescent="0.3">
      <c r="B502" s="24">
        <f>MODEL!K503</f>
        <v>1</v>
      </c>
      <c r="C502" s="26">
        <f>MODEL!Q503</f>
        <v>463.20165268039591</v>
      </c>
    </row>
    <row r="503" spans="2:3" x14ac:dyDescent="0.3">
      <c r="B503" s="24">
        <f>MODEL!K504</f>
        <v>0</v>
      </c>
      <c r="C503" s="26">
        <f>MODEL!Q504</f>
        <v>539.48106582284618</v>
      </c>
    </row>
    <row r="504" spans="2:3" x14ac:dyDescent="0.3">
      <c r="B504" s="24">
        <f>MODEL!K505</f>
        <v>1</v>
      </c>
      <c r="C504" s="26">
        <f>MODEL!Q505</f>
        <v>407.69010865135789</v>
      </c>
    </row>
    <row r="505" spans="2:3" x14ac:dyDescent="0.3">
      <c r="B505" s="24">
        <f>MODEL!K506</f>
        <v>0</v>
      </c>
      <c r="C505" s="26">
        <f>MODEL!Q506</f>
        <v>545.31230308341173</v>
      </c>
    </row>
    <row r="506" spans="2:3" x14ac:dyDescent="0.3">
      <c r="B506" s="24">
        <f>MODEL!K507</f>
        <v>1</v>
      </c>
      <c r="C506" s="26">
        <f>MODEL!Q507</f>
        <v>424.50058618905427</v>
      </c>
    </row>
    <row r="507" spans="2:3" x14ac:dyDescent="0.3">
      <c r="B507" s="24">
        <f>MODEL!K508</f>
        <v>0</v>
      </c>
      <c r="C507" s="26">
        <f>MODEL!Q508</f>
        <v>476.80759348497713</v>
      </c>
    </row>
    <row r="508" spans="2:3" x14ac:dyDescent="0.3">
      <c r="B508" s="24">
        <f>MODEL!K509</f>
        <v>1</v>
      </c>
      <c r="C508" s="26">
        <f>MODEL!Q509</f>
        <v>356.47961447804693</v>
      </c>
    </row>
    <row r="509" spans="2:3" x14ac:dyDescent="0.3">
      <c r="B509" s="24">
        <f>MODEL!K510</f>
        <v>1</v>
      </c>
      <c r="C509" s="26">
        <f>MODEL!Q510</f>
        <v>498.04307081849663</v>
      </c>
    </row>
    <row r="510" spans="2:3" x14ac:dyDescent="0.3">
      <c r="B510" s="24">
        <f>MODEL!K511</f>
        <v>1</v>
      </c>
      <c r="C510" s="26">
        <f>MODEL!Q511</f>
        <v>489.19918080265177</v>
      </c>
    </row>
    <row r="511" spans="2:3" x14ac:dyDescent="0.3">
      <c r="B511" s="24">
        <f>MODEL!K512</f>
        <v>1</v>
      </c>
      <c r="C511" s="26">
        <f>MODEL!Q512</f>
        <v>449.89090125050006</v>
      </c>
    </row>
    <row r="512" spans="2:3" x14ac:dyDescent="0.3">
      <c r="B512" s="24">
        <f>MODEL!K513</f>
        <v>1</v>
      </c>
      <c r="C512" s="26">
        <f>MODEL!Q513</f>
        <v>537.63105783006381</v>
      </c>
    </row>
    <row r="513" spans="2:3" x14ac:dyDescent="0.3">
      <c r="B513" s="24">
        <f>MODEL!K514</f>
        <v>0</v>
      </c>
      <c r="C513" s="26">
        <f>MODEL!Q514</f>
        <v>621.39242369921692</v>
      </c>
    </row>
    <row r="514" spans="2:3" x14ac:dyDescent="0.3">
      <c r="B514" s="24">
        <f>MODEL!K515</f>
        <v>1</v>
      </c>
      <c r="C514" s="26">
        <f>MODEL!Q515</f>
        <v>471.17672745842549</v>
      </c>
    </row>
    <row r="515" spans="2:3" x14ac:dyDescent="0.3">
      <c r="B515" s="24">
        <f>MODEL!K516</f>
        <v>1</v>
      </c>
      <c r="C515" s="26">
        <f>MODEL!Q516</f>
        <v>476.96423225351441</v>
      </c>
    </row>
    <row r="516" spans="2:3" x14ac:dyDescent="0.3">
      <c r="B516" s="24">
        <f>MODEL!K517</f>
        <v>0</v>
      </c>
      <c r="C516" s="26">
        <f>MODEL!Q517</f>
        <v>482.97827888519856</v>
      </c>
    </row>
    <row r="517" spans="2:3" x14ac:dyDescent="0.3">
      <c r="B517" s="24">
        <f>MODEL!K518</f>
        <v>1</v>
      </c>
      <c r="C517" s="26">
        <f>MODEL!Q518</f>
        <v>512.84379241864542</v>
      </c>
    </row>
    <row r="518" spans="2:3" x14ac:dyDescent="0.3">
      <c r="B518" s="24">
        <f>MODEL!K519</f>
        <v>0</v>
      </c>
      <c r="C518" s="26">
        <f>MODEL!Q519</f>
        <v>630.18813768530936</v>
      </c>
    </row>
    <row r="519" spans="2:3" x14ac:dyDescent="0.3">
      <c r="B519" s="24">
        <f>MODEL!K520</f>
        <v>1</v>
      </c>
      <c r="C519" s="26">
        <f>MODEL!Q520</f>
        <v>457.78795967770338</v>
      </c>
    </row>
    <row r="520" spans="2:3" x14ac:dyDescent="0.3">
      <c r="B520" s="24">
        <f>MODEL!K521</f>
        <v>1</v>
      </c>
      <c r="C520" s="26">
        <f>MODEL!Q521</f>
        <v>488.42581928099094</v>
      </c>
    </row>
    <row r="521" spans="2:3" x14ac:dyDescent="0.3">
      <c r="B521" s="24">
        <f>MODEL!K522</f>
        <v>1</v>
      </c>
      <c r="C521" s="26">
        <f>MODEL!Q522</f>
        <v>481.88009825498943</v>
      </c>
    </row>
    <row r="522" spans="2:3" x14ac:dyDescent="0.3">
      <c r="B522" s="24">
        <f>MODEL!K523</f>
        <v>0</v>
      </c>
      <c r="C522" s="26">
        <f>MODEL!Q523</f>
        <v>539.80731305508209</v>
      </c>
    </row>
    <row r="523" spans="2:3" x14ac:dyDescent="0.3">
      <c r="B523" s="24">
        <f>MODEL!K524</f>
        <v>1</v>
      </c>
      <c r="C523" s="26">
        <f>MODEL!Q524</f>
        <v>464.09982287763637</v>
      </c>
    </row>
    <row r="524" spans="2:3" x14ac:dyDescent="0.3">
      <c r="B524" s="24">
        <f>MODEL!K525</f>
        <v>0</v>
      </c>
      <c r="C524" s="26">
        <f>MODEL!Q525</f>
        <v>634.00636258307134</v>
      </c>
    </row>
    <row r="525" spans="2:3" x14ac:dyDescent="0.3">
      <c r="B525" s="24">
        <f>MODEL!K526</f>
        <v>1</v>
      </c>
      <c r="C525" s="26">
        <f>MODEL!Q526</f>
        <v>340.69121844170246</v>
      </c>
    </row>
    <row r="526" spans="2:3" x14ac:dyDescent="0.3">
      <c r="B526" s="24">
        <f>MODEL!K527</f>
        <v>0</v>
      </c>
      <c r="C526" s="26">
        <f>MODEL!Q527</f>
        <v>521.9780836805835</v>
      </c>
    </row>
    <row r="527" spans="2:3" x14ac:dyDescent="0.3">
      <c r="B527" s="24">
        <f>MODEL!K528</f>
        <v>0</v>
      </c>
      <c r="C527" s="26">
        <f>MODEL!Q528</f>
        <v>578.29929362538974</v>
      </c>
    </row>
    <row r="528" spans="2:3" x14ac:dyDescent="0.3">
      <c r="B528" s="24">
        <f>MODEL!K529</f>
        <v>1</v>
      </c>
      <c r="C528" s="26">
        <f>MODEL!Q529</f>
        <v>448.44701414926647</v>
      </c>
    </row>
    <row r="529" spans="2:3" x14ac:dyDescent="0.3">
      <c r="B529" s="24">
        <f>MODEL!K530</f>
        <v>1</v>
      </c>
      <c r="C529" s="26">
        <f>MODEL!Q530</f>
        <v>396.50794237919439</v>
      </c>
    </row>
    <row r="530" spans="2:3" x14ac:dyDescent="0.3">
      <c r="B530" s="24">
        <f>MODEL!K531</f>
        <v>0</v>
      </c>
      <c r="C530" s="26">
        <f>MODEL!Q531</f>
        <v>525.36506450347679</v>
      </c>
    </row>
    <row r="531" spans="2:3" x14ac:dyDescent="0.3">
      <c r="B531" s="24">
        <f>MODEL!K532</f>
        <v>0</v>
      </c>
      <c r="C531" s="26">
        <f>MODEL!Q532</f>
        <v>519.8552246620477</v>
      </c>
    </row>
    <row r="532" spans="2:3" x14ac:dyDescent="0.3">
      <c r="B532" s="24">
        <f>MODEL!K533</f>
        <v>1</v>
      </c>
      <c r="C532" s="26">
        <f>MODEL!Q533</f>
        <v>494.92532782874929</v>
      </c>
    </row>
    <row r="533" spans="2:3" x14ac:dyDescent="0.3">
      <c r="B533" s="24">
        <f>MODEL!K534</f>
        <v>0</v>
      </c>
      <c r="C533" s="26">
        <f>MODEL!Q534</f>
        <v>567.33358729309998</v>
      </c>
    </row>
    <row r="534" spans="2:3" x14ac:dyDescent="0.3">
      <c r="B534" s="24">
        <f>MODEL!K535</f>
        <v>0</v>
      </c>
      <c r="C534" s="26">
        <f>MODEL!Q535</f>
        <v>513.44855638116269</v>
      </c>
    </row>
    <row r="535" spans="2:3" x14ac:dyDescent="0.3">
      <c r="B535" s="24">
        <f>MODEL!K536</f>
        <v>0</v>
      </c>
      <c r="C535" s="26">
        <f>MODEL!Q536</f>
        <v>453.24451115259467</v>
      </c>
    </row>
    <row r="536" spans="2:3" x14ac:dyDescent="0.3">
      <c r="B536" s="24">
        <f>MODEL!K537</f>
        <v>0</v>
      </c>
      <c r="C536" s="26">
        <f>MODEL!Q537</f>
        <v>520.17892889532447</v>
      </c>
    </row>
    <row r="537" spans="2:3" x14ac:dyDescent="0.3">
      <c r="B537" s="24">
        <f>MODEL!K538</f>
        <v>1</v>
      </c>
      <c r="C537" s="26">
        <f>MODEL!Q538</f>
        <v>462.96946633086554</v>
      </c>
    </row>
    <row r="538" spans="2:3" x14ac:dyDescent="0.3">
      <c r="B538" s="24">
        <f>MODEL!K539</f>
        <v>0</v>
      </c>
      <c r="C538" s="26">
        <f>MODEL!Q539</f>
        <v>546.3058877060439</v>
      </c>
    </row>
    <row r="539" spans="2:3" x14ac:dyDescent="0.3">
      <c r="B539" s="24">
        <f>MODEL!K540</f>
        <v>1</v>
      </c>
      <c r="C539" s="26">
        <f>MODEL!Q540</f>
        <v>473.14255351815422</v>
      </c>
    </row>
    <row r="540" spans="2:3" x14ac:dyDescent="0.3">
      <c r="B540" s="24">
        <f>MODEL!K541</f>
        <v>1</v>
      </c>
      <c r="C540" s="26">
        <f>MODEL!Q541</f>
        <v>506.7974307507663</v>
      </c>
    </row>
    <row r="541" spans="2:3" x14ac:dyDescent="0.3">
      <c r="B541" s="24">
        <f>MODEL!K542</f>
        <v>0</v>
      </c>
      <c r="C541" s="26">
        <f>MODEL!Q542</f>
        <v>540.62868720942197</v>
      </c>
    </row>
    <row r="542" spans="2:3" x14ac:dyDescent="0.3">
      <c r="B542" s="24">
        <f>MODEL!K543</f>
        <v>1</v>
      </c>
      <c r="C542" s="26">
        <f>MODEL!Q543</f>
        <v>453.14351148145056</v>
      </c>
    </row>
    <row r="543" spans="2:3" x14ac:dyDescent="0.3">
      <c r="B543" s="24">
        <f>MODEL!K544</f>
        <v>0</v>
      </c>
      <c r="C543" s="26">
        <f>MODEL!Q544</f>
        <v>528.8341473123063</v>
      </c>
    </row>
    <row r="544" spans="2:3" x14ac:dyDescent="0.3">
      <c r="B544" s="24">
        <f>MODEL!K545</f>
        <v>0</v>
      </c>
      <c r="C544" s="26">
        <f>MODEL!Q545</f>
        <v>636.57231007990958</v>
      </c>
    </row>
    <row r="545" spans="2:3" x14ac:dyDescent="0.3">
      <c r="B545" s="24">
        <f>MODEL!K546</f>
        <v>1</v>
      </c>
      <c r="C545" s="26">
        <f>MODEL!Q546</f>
        <v>380.69123570809472</v>
      </c>
    </row>
    <row r="546" spans="2:3" x14ac:dyDescent="0.3">
      <c r="B546" s="24">
        <f>MODEL!K547</f>
        <v>1</v>
      </c>
      <c r="C546" s="26">
        <f>MODEL!Q547</f>
        <v>349.74450606651402</v>
      </c>
    </row>
    <row r="547" spans="2:3" x14ac:dyDescent="0.3">
      <c r="B547" s="24">
        <f>MODEL!K548</f>
        <v>0</v>
      </c>
      <c r="C547" s="26">
        <f>MODEL!Q548</f>
        <v>524.89327342066531</v>
      </c>
    </row>
    <row r="548" spans="2:3" x14ac:dyDescent="0.3">
      <c r="B548" s="24">
        <f>MODEL!K549</f>
        <v>0</v>
      </c>
      <c r="C548" s="26">
        <f>MODEL!Q549</f>
        <v>545.40703481120477</v>
      </c>
    </row>
    <row r="549" spans="2:3" x14ac:dyDescent="0.3">
      <c r="B549" s="24">
        <f>MODEL!K550</f>
        <v>0</v>
      </c>
      <c r="C549" s="26">
        <f>MODEL!Q550</f>
        <v>566.57649864207053</v>
      </c>
    </row>
    <row r="550" spans="2:3" x14ac:dyDescent="0.3">
      <c r="B550" s="24">
        <f>MODEL!K551</f>
        <v>1</v>
      </c>
      <c r="C550" s="26">
        <f>MODEL!Q551</f>
        <v>481.02675901866621</v>
      </c>
    </row>
    <row r="551" spans="2:3" x14ac:dyDescent="0.3">
      <c r="B551" s="24">
        <f>MODEL!K552</f>
        <v>0</v>
      </c>
      <c r="C551" s="26">
        <f>MODEL!Q552</f>
        <v>445.79709156398417</v>
      </c>
    </row>
    <row r="552" spans="2:3" x14ac:dyDescent="0.3">
      <c r="B552" s="24">
        <f>MODEL!K553</f>
        <v>1</v>
      </c>
      <c r="C552" s="26">
        <f>MODEL!Q553</f>
        <v>516.09528700004284</v>
      </c>
    </row>
    <row r="553" spans="2:3" x14ac:dyDescent="0.3">
      <c r="B553" s="24">
        <f>MODEL!K554</f>
        <v>1</v>
      </c>
      <c r="C553" s="26">
        <f>MODEL!Q554</f>
        <v>498.15288254115262</v>
      </c>
    </row>
    <row r="554" spans="2:3" x14ac:dyDescent="0.3">
      <c r="B554" s="24">
        <f>MODEL!K555</f>
        <v>0</v>
      </c>
      <c r="C554" s="26">
        <f>MODEL!Q555</f>
        <v>480.42517699852777</v>
      </c>
    </row>
    <row r="555" spans="2:3" x14ac:dyDescent="0.3">
      <c r="B555" s="24">
        <f>MODEL!K556</f>
        <v>0</v>
      </c>
      <c r="C555" s="26">
        <f>MODEL!Q556</f>
        <v>596.63518358290776</v>
      </c>
    </row>
    <row r="556" spans="2:3" x14ac:dyDescent="0.3">
      <c r="B556" s="24">
        <f>MODEL!K557</f>
        <v>1</v>
      </c>
      <c r="C556" s="26">
        <f>MODEL!Q557</f>
        <v>468.2462781939829</v>
      </c>
    </row>
    <row r="557" spans="2:3" x14ac:dyDescent="0.3">
      <c r="B557" s="24">
        <f>MODEL!K558</f>
        <v>0</v>
      </c>
      <c r="C557" s="26">
        <f>MODEL!Q558</f>
        <v>635.63358509034163</v>
      </c>
    </row>
    <row r="558" spans="2:3" x14ac:dyDescent="0.3">
      <c r="B558" s="24">
        <f>MODEL!K559</f>
        <v>0</v>
      </c>
      <c r="C558" s="26">
        <f>MODEL!Q559</f>
        <v>553.06915799663</v>
      </c>
    </row>
    <row r="559" spans="2:3" x14ac:dyDescent="0.3">
      <c r="B559" s="24">
        <f>MODEL!K560</f>
        <v>1</v>
      </c>
      <c r="C559" s="26">
        <f>MODEL!Q560</f>
        <v>505.34866948371325</v>
      </c>
    </row>
    <row r="560" spans="2:3" x14ac:dyDescent="0.3">
      <c r="B560" s="24">
        <f>MODEL!K561</f>
        <v>0</v>
      </c>
      <c r="C560" s="26">
        <f>MODEL!Q561</f>
        <v>486.35000669634701</v>
      </c>
    </row>
    <row r="561" spans="2:3" x14ac:dyDescent="0.3">
      <c r="B561" s="24">
        <f>MODEL!K562</f>
        <v>0</v>
      </c>
      <c r="C561" s="26">
        <f>MODEL!Q562</f>
        <v>486.74620646715903</v>
      </c>
    </row>
    <row r="562" spans="2:3" x14ac:dyDescent="0.3">
      <c r="B562" s="24">
        <f>MODEL!K563</f>
        <v>1</v>
      </c>
      <c r="C562" s="26">
        <f>MODEL!Q563</f>
        <v>511.84743014694715</v>
      </c>
    </row>
    <row r="563" spans="2:3" x14ac:dyDescent="0.3">
      <c r="B563" s="24">
        <f>MODEL!K564</f>
        <v>0</v>
      </c>
      <c r="C563" s="26">
        <f>MODEL!Q564</f>
        <v>519.32561004504873</v>
      </c>
    </row>
    <row r="564" spans="2:3" x14ac:dyDescent="0.3">
      <c r="B564" s="24">
        <f>MODEL!K565</f>
        <v>0</v>
      </c>
      <c r="C564" s="26">
        <f>MODEL!Q565</f>
        <v>559.96170149587317</v>
      </c>
    </row>
    <row r="565" spans="2:3" x14ac:dyDescent="0.3">
      <c r="B565" s="24">
        <f>MODEL!K566</f>
        <v>0</v>
      </c>
      <c r="C565" s="26">
        <f>MODEL!Q566</f>
        <v>500.29822402248169</v>
      </c>
    </row>
    <row r="566" spans="2:3" x14ac:dyDescent="0.3">
      <c r="B566" s="24">
        <f>MODEL!K567</f>
        <v>1</v>
      </c>
      <c r="C566" s="26">
        <f>MODEL!Q567</f>
        <v>537.51098392500205</v>
      </c>
    </row>
    <row r="567" spans="2:3" x14ac:dyDescent="0.3">
      <c r="B567" s="24">
        <f>MODEL!K568</f>
        <v>1</v>
      </c>
      <c r="C567" s="26">
        <f>MODEL!Q568</f>
        <v>417.65048577600135</v>
      </c>
    </row>
    <row r="568" spans="2:3" x14ac:dyDescent="0.3">
      <c r="B568" s="24">
        <f>MODEL!K569</f>
        <v>1</v>
      </c>
      <c r="C568" s="26">
        <f>MODEL!Q569</f>
        <v>511.97845862064895</v>
      </c>
    </row>
    <row r="569" spans="2:3" x14ac:dyDescent="0.3">
      <c r="B569" s="24">
        <f>MODEL!K570</f>
        <v>0</v>
      </c>
      <c r="C569" s="26">
        <f>MODEL!Q570</f>
        <v>505.5439164938802</v>
      </c>
    </row>
    <row r="570" spans="2:3" x14ac:dyDescent="0.3">
      <c r="B570" s="24">
        <f>MODEL!K571</f>
        <v>0</v>
      </c>
      <c r="C570" s="26">
        <f>MODEL!Q571</f>
        <v>517.96000540820205</v>
      </c>
    </row>
    <row r="571" spans="2:3" x14ac:dyDescent="0.3">
      <c r="B571" s="24">
        <f>MODEL!K572</f>
        <v>1</v>
      </c>
      <c r="C571" s="26">
        <f>MODEL!Q572</f>
        <v>487.2227544097687</v>
      </c>
    </row>
    <row r="572" spans="2:3" x14ac:dyDescent="0.3">
      <c r="B572" s="24">
        <f>MODEL!K573</f>
        <v>0</v>
      </c>
      <c r="C572" s="26">
        <f>MODEL!Q573</f>
        <v>490.42822952032259</v>
      </c>
    </row>
    <row r="573" spans="2:3" x14ac:dyDescent="0.3">
      <c r="B573" s="24">
        <f>MODEL!K574</f>
        <v>0</v>
      </c>
      <c r="C573" s="26">
        <f>MODEL!Q574</f>
        <v>452.10041877200098</v>
      </c>
    </row>
    <row r="574" spans="2:3" x14ac:dyDescent="0.3">
      <c r="B574" s="24">
        <f>MODEL!K575</f>
        <v>0</v>
      </c>
      <c r="C574" s="26">
        <f>MODEL!Q575</f>
        <v>662.80975921636298</v>
      </c>
    </row>
    <row r="575" spans="2:3" x14ac:dyDescent="0.3">
      <c r="B575" s="24">
        <f>MODEL!K576</f>
        <v>0</v>
      </c>
      <c r="C575" s="26">
        <f>MODEL!Q576</f>
        <v>576.6631161880814</v>
      </c>
    </row>
    <row r="576" spans="2:3" x14ac:dyDescent="0.3">
      <c r="B576" s="24">
        <f>MODEL!K577</f>
        <v>0</v>
      </c>
      <c r="C576" s="26">
        <f>MODEL!Q577</f>
        <v>511.37172162204422</v>
      </c>
    </row>
    <row r="577" spans="2:3" x14ac:dyDescent="0.3">
      <c r="B577" s="24">
        <f>MODEL!K578</f>
        <v>0</v>
      </c>
      <c r="C577" s="26">
        <f>MODEL!Q578</f>
        <v>546.7113808636791</v>
      </c>
    </row>
    <row r="578" spans="2:3" x14ac:dyDescent="0.3">
      <c r="B578" s="24">
        <f>MODEL!K579</f>
        <v>1</v>
      </c>
      <c r="C578" s="26">
        <f>MODEL!Q579</f>
        <v>487.63609657924536</v>
      </c>
    </row>
    <row r="579" spans="2:3" x14ac:dyDescent="0.3">
      <c r="B579" s="24">
        <f>MODEL!K580</f>
        <v>1</v>
      </c>
      <c r="C579" s="26">
        <f>MODEL!Q580</f>
        <v>448.38931333088573</v>
      </c>
    </row>
    <row r="580" spans="2:3" x14ac:dyDescent="0.3">
      <c r="B580" s="24">
        <f>MODEL!K581</f>
        <v>0</v>
      </c>
      <c r="C580" s="26">
        <f>MODEL!Q581</f>
        <v>521.67763286039178</v>
      </c>
    </row>
    <row r="581" spans="2:3" x14ac:dyDescent="0.3">
      <c r="B581" s="24">
        <f>MODEL!K582</f>
        <v>0</v>
      </c>
      <c r="C581" s="26">
        <f>MODEL!Q582</f>
        <v>576.08547726445863</v>
      </c>
    </row>
    <row r="582" spans="2:3" x14ac:dyDescent="0.3">
      <c r="B582" s="24">
        <f>MODEL!K583</f>
        <v>0</v>
      </c>
      <c r="C582" s="26">
        <f>MODEL!Q583</f>
        <v>525.62129530530319</v>
      </c>
    </row>
    <row r="583" spans="2:3" x14ac:dyDescent="0.3">
      <c r="B583" s="24">
        <f>MODEL!K584</f>
        <v>0</v>
      </c>
      <c r="C583" s="26">
        <f>MODEL!Q584</f>
        <v>517.69577132748032</v>
      </c>
    </row>
    <row r="584" spans="2:3" x14ac:dyDescent="0.3">
      <c r="B584" s="24">
        <f>MODEL!K585</f>
        <v>1</v>
      </c>
      <c r="C584" s="26">
        <f>MODEL!Q585</f>
        <v>553.80720122735624</v>
      </c>
    </row>
    <row r="585" spans="2:3" x14ac:dyDescent="0.3">
      <c r="B585" s="24">
        <f>MODEL!K586</f>
        <v>1</v>
      </c>
      <c r="C585" s="26">
        <f>MODEL!Q586</f>
        <v>497.22097523514776</v>
      </c>
    </row>
    <row r="586" spans="2:3" x14ac:dyDescent="0.3">
      <c r="B586" s="24">
        <f>MODEL!K587</f>
        <v>1</v>
      </c>
      <c r="C586" s="26">
        <f>MODEL!Q587</f>
        <v>373.09766588493994</v>
      </c>
    </row>
    <row r="587" spans="2:3" x14ac:dyDescent="0.3">
      <c r="B587" s="24">
        <f>MODEL!K588</f>
        <v>0</v>
      </c>
      <c r="C587" s="26">
        <f>MODEL!Q588</f>
        <v>566.09805512249955</v>
      </c>
    </row>
    <row r="588" spans="2:3" x14ac:dyDescent="0.3">
      <c r="B588" s="24">
        <f>MODEL!K589</f>
        <v>0</v>
      </c>
      <c r="C588" s="26">
        <f>MODEL!Q589</f>
        <v>516.88267065209516</v>
      </c>
    </row>
    <row r="589" spans="2:3" x14ac:dyDescent="0.3">
      <c r="B589" s="24">
        <f>MODEL!K590</f>
        <v>0</v>
      </c>
      <c r="C589" s="26">
        <f>MODEL!Q590</f>
        <v>663.10719769029572</v>
      </c>
    </row>
    <row r="590" spans="2:3" x14ac:dyDescent="0.3">
      <c r="B590" s="24">
        <f>MODEL!K591</f>
        <v>0</v>
      </c>
      <c r="C590" s="26">
        <f>MODEL!Q591</f>
        <v>533.04720430302393</v>
      </c>
    </row>
    <row r="591" spans="2:3" x14ac:dyDescent="0.3">
      <c r="B591" s="24">
        <f>MODEL!K592</f>
        <v>0</v>
      </c>
      <c r="C591" s="26">
        <f>MODEL!Q592</f>
        <v>689.57808232913658</v>
      </c>
    </row>
    <row r="592" spans="2:3" x14ac:dyDescent="0.3">
      <c r="B592" s="24">
        <f>MODEL!K593</f>
        <v>0</v>
      </c>
      <c r="C592" s="26">
        <f>MODEL!Q593</f>
        <v>457.95556021960772</v>
      </c>
    </row>
    <row r="593" spans="2:3" x14ac:dyDescent="0.3">
      <c r="B593" s="24">
        <f>MODEL!K594</f>
        <v>0</v>
      </c>
      <c r="C593" s="26">
        <f>MODEL!Q594</f>
        <v>470.29989056195024</v>
      </c>
    </row>
    <row r="594" spans="2:3" x14ac:dyDescent="0.3">
      <c r="B594" s="24">
        <f>MODEL!K595</f>
        <v>0</v>
      </c>
      <c r="C594" s="26">
        <f>MODEL!Q595</f>
        <v>499.1988140288766</v>
      </c>
    </row>
    <row r="595" spans="2:3" x14ac:dyDescent="0.3">
      <c r="B595" s="24">
        <f>MODEL!K596</f>
        <v>0</v>
      </c>
      <c r="C595" s="26">
        <f>MODEL!Q596</f>
        <v>495.81216826759407</v>
      </c>
    </row>
    <row r="596" spans="2:3" x14ac:dyDescent="0.3">
      <c r="B596" s="24">
        <f>MODEL!K597</f>
        <v>0</v>
      </c>
      <c r="C596" s="26">
        <f>MODEL!Q597</f>
        <v>527.45582290912921</v>
      </c>
    </row>
    <row r="597" spans="2:3" x14ac:dyDescent="0.3">
      <c r="B597" s="24">
        <f>MODEL!K598</f>
        <v>0</v>
      </c>
      <c r="C597" s="26">
        <f>MODEL!Q598</f>
        <v>606.25440161168297</v>
      </c>
    </row>
    <row r="598" spans="2:3" x14ac:dyDescent="0.3">
      <c r="B598" s="24">
        <f>MODEL!K599</f>
        <v>0</v>
      </c>
      <c r="C598" s="26">
        <f>MODEL!Q599</f>
        <v>533.53314809371238</v>
      </c>
    </row>
    <row r="599" spans="2:3" x14ac:dyDescent="0.3">
      <c r="B599" s="24">
        <f>MODEL!K600</f>
        <v>0</v>
      </c>
      <c r="C599" s="26">
        <f>MODEL!Q600</f>
        <v>587.2446856986902</v>
      </c>
    </row>
    <row r="600" spans="2:3" x14ac:dyDescent="0.3">
      <c r="B600" s="24">
        <f>MODEL!K601</f>
        <v>0</v>
      </c>
      <c r="C600" s="26">
        <f>MODEL!Q601</f>
        <v>495.35353328392631</v>
      </c>
    </row>
    <row r="601" spans="2:3" x14ac:dyDescent="0.3">
      <c r="B601" s="24">
        <f>MODEL!K602</f>
        <v>0</v>
      </c>
      <c r="C601" s="26">
        <f>MODEL!Q602</f>
        <v>502.55364424744465</v>
      </c>
    </row>
    <row r="602" spans="2:3" x14ac:dyDescent="0.3">
      <c r="B602" s="24">
        <f>MODEL!K603</f>
        <v>1</v>
      </c>
      <c r="C602" s="26">
        <f>MODEL!Q603</f>
        <v>506.04512919034244</v>
      </c>
    </row>
    <row r="603" spans="2:3" x14ac:dyDescent="0.3">
      <c r="B603" s="24">
        <f>MODEL!K604</f>
        <v>0</v>
      </c>
      <c r="C603" s="26">
        <f>MODEL!Q604</f>
        <v>510.40654481920677</v>
      </c>
    </row>
    <row r="604" spans="2:3" x14ac:dyDescent="0.3">
      <c r="B604" s="24">
        <f>MODEL!K605</f>
        <v>0</v>
      </c>
      <c r="C604" s="26">
        <f>MODEL!Q605</f>
        <v>460.66028232331979</v>
      </c>
    </row>
    <row r="605" spans="2:3" x14ac:dyDescent="0.3">
      <c r="B605" s="24">
        <f>MODEL!K606</f>
        <v>1</v>
      </c>
      <c r="C605" s="26">
        <f>MODEL!Q606</f>
        <v>532.86790981609954</v>
      </c>
    </row>
    <row r="606" spans="2:3" x14ac:dyDescent="0.3">
      <c r="B606" s="24">
        <f>MODEL!K607</f>
        <v>1</v>
      </c>
      <c r="C606" s="26">
        <f>MODEL!Q607</f>
        <v>484.81890046768626</v>
      </c>
    </row>
    <row r="607" spans="2:3" x14ac:dyDescent="0.3">
      <c r="B607" s="24">
        <f>MODEL!K608</f>
        <v>1</v>
      </c>
      <c r="C607" s="26">
        <f>MODEL!Q608</f>
        <v>451.65715451416258</v>
      </c>
    </row>
    <row r="608" spans="2:3" x14ac:dyDescent="0.3">
      <c r="B608" s="24">
        <f>MODEL!K609</f>
        <v>0</v>
      </c>
      <c r="C608" s="26">
        <f>MODEL!Q609</f>
        <v>487.66442124619471</v>
      </c>
    </row>
    <row r="609" spans="2:3" x14ac:dyDescent="0.3">
      <c r="B609" s="24">
        <f>MODEL!K610</f>
        <v>0</v>
      </c>
      <c r="C609" s="26">
        <f>MODEL!Q610</f>
        <v>530.18073209653414</v>
      </c>
    </row>
    <row r="610" spans="2:3" x14ac:dyDescent="0.3">
      <c r="B610" s="24">
        <f>MODEL!K611</f>
        <v>0</v>
      </c>
      <c r="C610" s="26">
        <f>MODEL!Q611</f>
        <v>515.54543517609045</v>
      </c>
    </row>
    <row r="611" spans="2:3" x14ac:dyDescent="0.3">
      <c r="B611" s="24">
        <f>MODEL!K612</f>
        <v>0</v>
      </c>
      <c r="C611" s="26">
        <f>MODEL!Q612</f>
        <v>779.83978620523942</v>
      </c>
    </row>
    <row r="612" spans="2:3" x14ac:dyDescent="0.3">
      <c r="B612" s="24">
        <f>MODEL!K613</f>
        <v>0</v>
      </c>
      <c r="C612" s="26">
        <f>MODEL!Q613</f>
        <v>527.49903306911585</v>
      </c>
    </row>
    <row r="613" spans="2:3" x14ac:dyDescent="0.3">
      <c r="B613" s="24">
        <f>MODEL!K614</f>
        <v>1</v>
      </c>
      <c r="C613" s="26">
        <f>MODEL!Q614</f>
        <v>486.39809646309533</v>
      </c>
    </row>
    <row r="614" spans="2:3" x14ac:dyDescent="0.3">
      <c r="B614" s="24">
        <f>MODEL!K615</f>
        <v>0</v>
      </c>
      <c r="C614" s="26">
        <f>MODEL!Q615</f>
        <v>482.9171300454239</v>
      </c>
    </row>
    <row r="615" spans="2:3" x14ac:dyDescent="0.3">
      <c r="B615" s="24">
        <f>MODEL!K616</f>
        <v>0</v>
      </c>
      <c r="C615" s="26">
        <f>MODEL!Q616</f>
        <v>514.12073024675885</v>
      </c>
    </row>
    <row r="616" spans="2:3" x14ac:dyDescent="0.3">
      <c r="B616" s="24">
        <f>MODEL!K617</f>
        <v>1</v>
      </c>
      <c r="C616" s="26">
        <f>MODEL!Q617</f>
        <v>479.67251559578375</v>
      </c>
    </row>
    <row r="617" spans="2:3" x14ac:dyDescent="0.3">
      <c r="B617" s="24">
        <f>MODEL!K618</f>
        <v>1</v>
      </c>
      <c r="C617" s="26">
        <f>MODEL!Q618</f>
        <v>445.81625688968546</v>
      </c>
    </row>
    <row r="618" spans="2:3" x14ac:dyDescent="0.3">
      <c r="B618" s="24">
        <f>MODEL!K619</f>
        <v>0</v>
      </c>
      <c r="C618" s="26">
        <f>MODEL!Q619</f>
        <v>526.20138008829804</v>
      </c>
    </row>
    <row r="619" spans="2:3" x14ac:dyDescent="0.3">
      <c r="B619" s="24">
        <f>MODEL!K620</f>
        <v>0</v>
      </c>
      <c r="C619" s="26">
        <f>MODEL!Q620</f>
        <v>671.16341094103063</v>
      </c>
    </row>
    <row r="620" spans="2:3" x14ac:dyDescent="0.3">
      <c r="B620" s="24">
        <f>MODEL!K621</f>
        <v>1</v>
      </c>
      <c r="C620" s="26">
        <f>MODEL!Q621</f>
        <v>338.94306424856677</v>
      </c>
    </row>
    <row r="621" spans="2:3" x14ac:dyDescent="0.3">
      <c r="B621" s="24">
        <f>MODEL!K622</f>
        <v>1</v>
      </c>
      <c r="C621" s="26">
        <f>MODEL!Q622</f>
        <v>504.12592267618714</v>
      </c>
    </row>
    <row r="622" spans="2:3" x14ac:dyDescent="0.3">
      <c r="B622" s="24">
        <f>MODEL!K623</f>
        <v>1</v>
      </c>
      <c r="C622" s="26">
        <f>MODEL!Q623</f>
        <v>526.67446293719013</v>
      </c>
    </row>
    <row r="623" spans="2:3" x14ac:dyDescent="0.3">
      <c r="B623" s="24">
        <f>MODEL!K624</f>
        <v>0</v>
      </c>
      <c r="C623" s="26">
        <f>MODEL!Q624</f>
        <v>753.02659119141219</v>
      </c>
    </row>
    <row r="624" spans="2:3" x14ac:dyDescent="0.3">
      <c r="B624" s="24">
        <f>MODEL!K625</f>
        <v>0</v>
      </c>
      <c r="C624" s="26">
        <f>MODEL!Q625</f>
        <v>557.67538174798563</v>
      </c>
    </row>
    <row r="625" spans="2:3" x14ac:dyDescent="0.3">
      <c r="B625" s="24">
        <f>MODEL!K626</f>
        <v>0</v>
      </c>
      <c r="C625" s="26">
        <f>MODEL!Q626</f>
        <v>570.43651172779266</v>
      </c>
    </row>
    <row r="626" spans="2:3" x14ac:dyDescent="0.3">
      <c r="B626" s="24">
        <f>MODEL!K627</f>
        <v>0</v>
      </c>
      <c r="C626" s="26">
        <f>MODEL!Q627</f>
        <v>588.4856868649058</v>
      </c>
    </row>
    <row r="627" spans="2:3" x14ac:dyDescent="0.3">
      <c r="B627" s="24">
        <f>MODEL!K628</f>
        <v>1</v>
      </c>
      <c r="C627" s="26">
        <f>MODEL!Q628</f>
        <v>483.91804870596877</v>
      </c>
    </row>
    <row r="628" spans="2:3" x14ac:dyDescent="0.3">
      <c r="B628" s="24">
        <f>MODEL!K629</f>
        <v>0</v>
      </c>
      <c r="C628" s="26">
        <f>MODEL!Q629</f>
        <v>459.15939200164576</v>
      </c>
    </row>
    <row r="629" spans="2:3" x14ac:dyDescent="0.3">
      <c r="B629" s="24">
        <f>MODEL!K630</f>
        <v>1</v>
      </c>
      <c r="C629" s="26">
        <f>MODEL!Q630</f>
        <v>438.11539331446397</v>
      </c>
    </row>
    <row r="630" spans="2:3" x14ac:dyDescent="0.3">
      <c r="B630" s="24">
        <f>MODEL!K631</f>
        <v>1</v>
      </c>
      <c r="C630" s="26">
        <f>MODEL!Q631</f>
        <v>504.23856636330549</v>
      </c>
    </row>
    <row r="631" spans="2:3" x14ac:dyDescent="0.3">
      <c r="B631" s="24">
        <f>MODEL!K632</f>
        <v>0</v>
      </c>
      <c r="C631" s="26">
        <f>MODEL!Q632</f>
        <v>574.60994774719984</v>
      </c>
    </row>
    <row r="632" spans="2:3" x14ac:dyDescent="0.3">
      <c r="B632" s="24">
        <f>MODEL!K633</f>
        <v>1</v>
      </c>
      <c r="C632" s="26">
        <f>MODEL!Q633</f>
        <v>422.06524962559325</v>
      </c>
    </row>
    <row r="633" spans="2:3" x14ac:dyDescent="0.3">
      <c r="B633" s="24">
        <f>MODEL!K634</f>
        <v>0</v>
      </c>
      <c r="C633" s="26">
        <f>MODEL!Q634</f>
        <v>513.28742036507299</v>
      </c>
    </row>
    <row r="634" spans="2:3" x14ac:dyDescent="0.3">
      <c r="B634" s="24">
        <f>MODEL!K635</f>
        <v>0</v>
      </c>
      <c r="C634" s="26">
        <f>MODEL!Q635</f>
        <v>514.49913259692744</v>
      </c>
    </row>
    <row r="635" spans="2:3" x14ac:dyDescent="0.3">
      <c r="B635" s="24">
        <f>MODEL!K636</f>
        <v>0</v>
      </c>
      <c r="C635" s="26">
        <f>MODEL!Q636</f>
        <v>502.62608911499143</v>
      </c>
    </row>
    <row r="636" spans="2:3" x14ac:dyDescent="0.3">
      <c r="B636" s="24">
        <f>MODEL!K637</f>
        <v>0</v>
      </c>
      <c r="C636" s="26">
        <f>MODEL!Q637</f>
        <v>550.29954044375359</v>
      </c>
    </row>
    <row r="637" spans="2:3" x14ac:dyDescent="0.3">
      <c r="B637" s="24">
        <f>MODEL!K638</f>
        <v>0</v>
      </c>
      <c r="C637" s="26">
        <f>MODEL!Q638</f>
        <v>516.04352631403094</v>
      </c>
    </row>
    <row r="638" spans="2:3" x14ac:dyDescent="0.3">
      <c r="B638" s="24">
        <f>MODEL!K639</f>
        <v>0</v>
      </c>
      <c r="C638" s="26">
        <f>MODEL!Q639</f>
        <v>592.79885565664722</v>
      </c>
    </row>
    <row r="639" spans="2:3" x14ac:dyDescent="0.3">
      <c r="B639" s="24">
        <f>MODEL!K640</f>
        <v>0</v>
      </c>
      <c r="C639" s="26">
        <f>MODEL!Q640</f>
        <v>512.35954296114608</v>
      </c>
    </row>
    <row r="640" spans="2:3" x14ac:dyDescent="0.3">
      <c r="B640" s="24">
        <f>MODEL!K641</f>
        <v>0</v>
      </c>
      <c r="C640" s="26">
        <f>MODEL!Q641</f>
        <v>564.22070400226573</v>
      </c>
    </row>
    <row r="641" spans="2:3" x14ac:dyDescent="0.3">
      <c r="B641" s="24">
        <f>MODEL!K642</f>
        <v>0</v>
      </c>
      <c r="C641" s="26">
        <f>MODEL!Q642</f>
        <v>535.67401219006001</v>
      </c>
    </row>
    <row r="642" spans="2:3" x14ac:dyDescent="0.3">
      <c r="B642" s="24">
        <f>MODEL!K643</f>
        <v>1</v>
      </c>
      <c r="C642" s="26">
        <f>MODEL!Q643</f>
        <v>401.98776276836026</v>
      </c>
    </row>
    <row r="643" spans="2:3" x14ac:dyDescent="0.3">
      <c r="B643" s="24">
        <f>MODEL!K644</f>
        <v>0</v>
      </c>
      <c r="C643" s="26">
        <f>MODEL!Q644</f>
        <v>631.22472774791549</v>
      </c>
    </row>
    <row r="644" spans="2:3" x14ac:dyDescent="0.3">
      <c r="B644" s="24">
        <f>MODEL!K645</f>
        <v>0</v>
      </c>
      <c r="C644" s="26">
        <f>MODEL!Q645</f>
        <v>492.37496713242666</v>
      </c>
    </row>
    <row r="645" spans="2:3" x14ac:dyDescent="0.3">
      <c r="B645" s="24">
        <f>MODEL!K646</f>
        <v>1</v>
      </c>
      <c r="C645" s="26">
        <f>MODEL!Q646</f>
        <v>454.2389758850112</v>
      </c>
    </row>
    <row r="646" spans="2:3" x14ac:dyDescent="0.3">
      <c r="B646" s="24">
        <f>MODEL!K647</f>
        <v>1</v>
      </c>
      <c r="C646" s="26">
        <f>MODEL!Q647</f>
        <v>506.24601457711458</v>
      </c>
    </row>
    <row r="647" spans="2:3" x14ac:dyDescent="0.3">
      <c r="B647" s="24">
        <f>MODEL!K648</f>
        <v>1</v>
      </c>
      <c r="C647" s="26">
        <f>MODEL!Q648</f>
        <v>498.40214278297856</v>
      </c>
    </row>
    <row r="648" spans="2:3" x14ac:dyDescent="0.3">
      <c r="B648" s="24">
        <f>MODEL!K649</f>
        <v>1</v>
      </c>
      <c r="C648" s="26">
        <f>MODEL!Q649</f>
        <v>519.27593325594694</v>
      </c>
    </row>
    <row r="649" spans="2:3" x14ac:dyDescent="0.3">
      <c r="B649" s="24">
        <f>MODEL!K650</f>
        <v>0</v>
      </c>
      <c r="C649" s="26">
        <f>MODEL!Q650</f>
        <v>478.70476038265167</v>
      </c>
    </row>
    <row r="650" spans="2:3" x14ac:dyDescent="0.3">
      <c r="B650" s="24">
        <f>MODEL!K651</f>
        <v>1</v>
      </c>
      <c r="C650" s="26">
        <f>MODEL!Q651</f>
        <v>461.97540793926544</v>
      </c>
    </row>
    <row r="651" spans="2:3" x14ac:dyDescent="0.3">
      <c r="B651" s="24">
        <f>MODEL!K652</f>
        <v>0</v>
      </c>
      <c r="C651" s="26">
        <f>MODEL!Q652</f>
        <v>546.13744774358133</v>
      </c>
    </row>
    <row r="652" spans="2:3" x14ac:dyDescent="0.3">
      <c r="B652" s="24">
        <f>MODEL!K653</f>
        <v>0</v>
      </c>
      <c r="C652" s="26">
        <f>MODEL!Q653</f>
        <v>463.37605239754066</v>
      </c>
    </row>
    <row r="653" spans="2:3" x14ac:dyDescent="0.3">
      <c r="B653" s="24">
        <f>MODEL!K654</f>
        <v>0</v>
      </c>
      <c r="C653" s="26">
        <f>MODEL!Q654</f>
        <v>653.30205176383004</v>
      </c>
    </row>
    <row r="654" spans="2:3" x14ac:dyDescent="0.3">
      <c r="B654" s="24">
        <f>MODEL!K655</f>
        <v>1</v>
      </c>
      <c r="C654" s="26">
        <f>MODEL!Q655</f>
        <v>492.00093484500081</v>
      </c>
    </row>
    <row r="655" spans="2:3" x14ac:dyDescent="0.3">
      <c r="B655" s="24">
        <f>MODEL!K656</f>
        <v>0</v>
      </c>
      <c r="C655" s="26">
        <f>MODEL!Q656</f>
        <v>521.42381372424916</v>
      </c>
    </row>
    <row r="656" spans="2:3" x14ac:dyDescent="0.3">
      <c r="B656" s="24">
        <f>MODEL!K657</f>
        <v>0</v>
      </c>
      <c r="C656" s="26">
        <f>MODEL!Q657</f>
        <v>522.358989478745</v>
      </c>
    </row>
    <row r="657" spans="2:3" x14ac:dyDescent="0.3">
      <c r="B657" s="24">
        <f>MODEL!K658</f>
        <v>1</v>
      </c>
      <c r="C657" s="26">
        <f>MODEL!Q658</f>
        <v>504.536441455584</v>
      </c>
    </row>
    <row r="658" spans="2:3" x14ac:dyDescent="0.3">
      <c r="B658" s="24">
        <f>MODEL!K659</f>
        <v>1</v>
      </c>
      <c r="C658" s="26">
        <f>MODEL!Q659</f>
        <v>480.446961093239</v>
      </c>
    </row>
    <row r="659" spans="2:3" x14ac:dyDescent="0.3">
      <c r="B659" s="24">
        <f>MODEL!K660</f>
        <v>0</v>
      </c>
      <c r="C659" s="26">
        <f>MODEL!Q660</f>
        <v>506.88974495495859</v>
      </c>
    </row>
    <row r="660" spans="2:3" x14ac:dyDescent="0.3">
      <c r="B660" s="24">
        <f>MODEL!K661</f>
        <v>0</v>
      </c>
      <c r="C660" s="26">
        <f>MODEL!Q661</f>
        <v>531.25254050552257</v>
      </c>
    </row>
    <row r="661" spans="2:3" x14ac:dyDescent="0.3">
      <c r="B661" s="24">
        <f>MODEL!K662</f>
        <v>0</v>
      </c>
      <c r="C661" s="26">
        <f>MODEL!Q662</f>
        <v>585.67021131080048</v>
      </c>
    </row>
    <row r="662" spans="2:3" x14ac:dyDescent="0.3">
      <c r="B662" s="24">
        <f>MODEL!K663</f>
        <v>0</v>
      </c>
      <c r="C662" s="26">
        <f>MODEL!Q663</f>
        <v>556.6881648962526</v>
      </c>
    </row>
    <row r="663" spans="2:3" x14ac:dyDescent="0.3">
      <c r="B663" s="24">
        <f>MODEL!K664</f>
        <v>0</v>
      </c>
      <c r="C663" s="26">
        <f>MODEL!Q664</f>
        <v>578.365596124734</v>
      </c>
    </row>
    <row r="664" spans="2:3" x14ac:dyDescent="0.3">
      <c r="B664" s="24">
        <f>MODEL!K665</f>
        <v>1</v>
      </c>
      <c r="C664" s="26">
        <f>MODEL!Q665</f>
        <v>490.97639692045954</v>
      </c>
    </row>
    <row r="665" spans="2:3" x14ac:dyDescent="0.3">
      <c r="B665" s="24">
        <f>MODEL!K666</f>
        <v>1</v>
      </c>
      <c r="C665" s="26">
        <f>MODEL!Q666</f>
        <v>539.85265036226588</v>
      </c>
    </row>
    <row r="666" spans="2:3" x14ac:dyDescent="0.3">
      <c r="B666" s="24">
        <f>MODEL!K667</f>
        <v>1</v>
      </c>
      <c r="C666" s="26">
        <f>MODEL!Q667</f>
        <v>432.51424859998298</v>
      </c>
    </row>
    <row r="667" spans="2:3" x14ac:dyDescent="0.3">
      <c r="B667" s="24">
        <f>MODEL!K668</f>
        <v>0</v>
      </c>
      <c r="C667" s="26">
        <f>MODEL!Q668</f>
        <v>491.75703609224576</v>
      </c>
    </row>
    <row r="668" spans="2:3" x14ac:dyDescent="0.3">
      <c r="B668" s="24">
        <f>MODEL!K669</f>
        <v>0</v>
      </c>
      <c r="C668" s="26">
        <f>MODEL!Q669</f>
        <v>650.30179207769925</v>
      </c>
    </row>
    <row r="669" spans="2:3" x14ac:dyDescent="0.3">
      <c r="B669" s="24">
        <f>MODEL!K670</f>
        <v>1</v>
      </c>
      <c r="C669" s="26">
        <f>MODEL!Q670</f>
        <v>507.16340028434064</v>
      </c>
    </row>
    <row r="670" spans="2:3" x14ac:dyDescent="0.3">
      <c r="B670" s="24">
        <f>MODEL!K671</f>
        <v>1</v>
      </c>
      <c r="C670" s="26">
        <f>MODEL!Q671</f>
        <v>301.70401796307704</v>
      </c>
    </row>
    <row r="671" spans="2:3" x14ac:dyDescent="0.3">
      <c r="B671" s="24">
        <f>MODEL!K672</f>
        <v>0</v>
      </c>
      <c r="C671" s="26">
        <f>MODEL!Q672</f>
        <v>479.43248800543029</v>
      </c>
    </row>
    <row r="672" spans="2:3" x14ac:dyDescent="0.3">
      <c r="B672" s="24">
        <f>MODEL!K673</f>
        <v>1</v>
      </c>
      <c r="C672" s="26">
        <f>MODEL!Q673</f>
        <v>466.38322760433357</v>
      </c>
    </row>
    <row r="673" spans="2:3" x14ac:dyDescent="0.3">
      <c r="B673" s="24">
        <f>MODEL!K674</f>
        <v>1</v>
      </c>
      <c r="C673" s="26">
        <f>MODEL!Q674</f>
        <v>477.40824901423673</v>
      </c>
    </row>
    <row r="674" spans="2:3" x14ac:dyDescent="0.3">
      <c r="B674" s="24">
        <f>MODEL!K675</f>
        <v>0</v>
      </c>
      <c r="C674" s="26">
        <f>MODEL!Q675</f>
        <v>503.52213214717443</v>
      </c>
    </row>
    <row r="675" spans="2:3" x14ac:dyDescent="0.3">
      <c r="B675" s="24">
        <f>MODEL!K676</f>
        <v>0</v>
      </c>
      <c r="C675" s="26">
        <f>MODEL!Q676</f>
        <v>454.73605407331564</v>
      </c>
    </row>
    <row r="676" spans="2:3" x14ac:dyDescent="0.3">
      <c r="B676" s="24">
        <f>MODEL!K677</f>
        <v>0</v>
      </c>
      <c r="C676" s="26">
        <f>MODEL!Q677</f>
        <v>575.94935311270535</v>
      </c>
    </row>
    <row r="677" spans="2:3" x14ac:dyDescent="0.3">
      <c r="B677" s="24">
        <f>MODEL!K678</f>
        <v>1</v>
      </c>
      <c r="C677" s="26">
        <f>MODEL!Q678</f>
        <v>509.07272217873094</v>
      </c>
    </row>
    <row r="678" spans="2:3" x14ac:dyDescent="0.3">
      <c r="B678" s="24">
        <f>MODEL!K679</f>
        <v>0</v>
      </c>
      <c r="C678" s="26">
        <f>MODEL!Q679</f>
        <v>555.02866621974795</v>
      </c>
    </row>
    <row r="679" spans="2:3" x14ac:dyDescent="0.3">
      <c r="B679" s="24">
        <f>MODEL!K680</f>
        <v>0</v>
      </c>
      <c r="C679" s="26">
        <f>MODEL!Q680</f>
        <v>569.95821505260631</v>
      </c>
    </row>
    <row r="680" spans="2:3" x14ac:dyDescent="0.3">
      <c r="B680" s="24">
        <f>MODEL!K681</f>
        <v>1</v>
      </c>
      <c r="C680" s="26">
        <f>MODEL!Q681</f>
        <v>431.1755650697317</v>
      </c>
    </row>
    <row r="681" spans="2:3" x14ac:dyDescent="0.3">
      <c r="B681" s="24">
        <f>MODEL!K682</f>
        <v>0</v>
      </c>
      <c r="C681" s="26">
        <f>MODEL!Q682</f>
        <v>743.92688028088173</v>
      </c>
    </row>
    <row r="682" spans="2:3" x14ac:dyDescent="0.3">
      <c r="B682" s="24">
        <f>MODEL!K683</f>
        <v>1</v>
      </c>
      <c r="C682" s="26">
        <f>MODEL!Q683</f>
        <v>452.84375558173957</v>
      </c>
    </row>
    <row r="683" spans="2:3" x14ac:dyDescent="0.3">
      <c r="B683" s="24">
        <f>MODEL!K684</f>
        <v>1</v>
      </c>
      <c r="C683" s="26">
        <f>MODEL!Q684</f>
        <v>505.38784525172844</v>
      </c>
    </row>
    <row r="684" spans="2:3" x14ac:dyDescent="0.3">
      <c r="B684" s="24">
        <f>MODEL!K685</f>
        <v>0</v>
      </c>
      <c r="C684" s="26">
        <f>MODEL!Q685</f>
        <v>509.99421330346092</v>
      </c>
    </row>
    <row r="685" spans="2:3" x14ac:dyDescent="0.3">
      <c r="B685" s="24">
        <f>MODEL!K686</f>
        <v>1</v>
      </c>
      <c r="C685" s="26">
        <f>MODEL!Q686</f>
        <v>428.8129233257738</v>
      </c>
    </row>
    <row r="686" spans="2:3" x14ac:dyDescent="0.3">
      <c r="B686" s="24">
        <f>MODEL!K687</f>
        <v>1</v>
      </c>
      <c r="C686" s="26">
        <f>MODEL!Q687</f>
        <v>435.73239033419947</v>
      </c>
    </row>
    <row r="687" spans="2:3" x14ac:dyDescent="0.3">
      <c r="B687" s="24">
        <f>MODEL!K688</f>
        <v>1</v>
      </c>
      <c r="C687" s="26">
        <f>MODEL!Q688</f>
        <v>421.82000515950551</v>
      </c>
    </row>
    <row r="688" spans="2:3" x14ac:dyDescent="0.3">
      <c r="B688" s="24">
        <f>MODEL!K689</f>
        <v>0</v>
      </c>
      <c r="C688" s="26">
        <f>MODEL!Q689</f>
        <v>515.93620061943636</v>
      </c>
    </row>
    <row r="689" spans="2:3" x14ac:dyDescent="0.3">
      <c r="B689" s="24">
        <f>MODEL!K690</f>
        <v>1</v>
      </c>
      <c r="C689" s="26">
        <f>MODEL!Q690</f>
        <v>338.76610199427699</v>
      </c>
    </row>
    <row r="690" spans="2:3" x14ac:dyDescent="0.3">
      <c r="B690" s="24">
        <f>MODEL!K691</f>
        <v>0</v>
      </c>
      <c r="C690" s="26">
        <f>MODEL!Q691</f>
        <v>520.22830031174465</v>
      </c>
    </row>
    <row r="691" spans="2:3" x14ac:dyDescent="0.3">
      <c r="B691" s="24">
        <f>MODEL!K692</f>
        <v>0</v>
      </c>
      <c r="C691" s="26">
        <f>MODEL!Q692</f>
        <v>509.7195490983292</v>
      </c>
    </row>
    <row r="692" spans="2:3" x14ac:dyDescent="0.3">
      <c r="B692" s="24">
        <f>MODEL!K693</f>
        <v>0</v>
      </c>
      <c r="C692" s="26">
        <f>MODEL!Q693</f>
        <v>545.55729174590033</v>
      </c>
    </row>
    <row r="693" spans="2:3" x14ac:dyDescent="0.3">
      <c r="B693" s="24">
        <f>MODEL!K694</f>
        <v>0</v>
      </c>
      <c r="C693" s="26">
        <f>MODEL!Q694</f>
        <v>490.84617893364828</v>
      </c>
    </row>
    <row r="694" spans="2:3" x14ac:dyDescent="0.3">
      <c r="B694" s="24">
        <f>MODEL!K695</f>
        <v>0</v>
      </c>
      <c r="C694" s="26">
        <f>MODEL!Q695</f>
        <v>534.53595511572757</v>
      </c>
    </row>
    <row r="695" spans="2:3" x14ac:dyDescent="0.3">
      <c r="B695" s="24">
        <f>MODEL!K696</f>
        <v>0</v>
      </c>
      <c r="C695" s="26">
        <f>MODEL!Q696</f>
        <v>618.63311379520587</v>
      </c>
    </row>
    <row r="696" spans="2:3" x14ac:dyDescent="0.3">
      <c r="B696" s="24">
        <f>MODEL!K697</f>
        <v>0</v>
      </c>
      <c r="C696" s="26">
        <f>MODEL!Q697</f>
        <v>498.65179410318126</v>
      </c>
    </row>
    <row r="697" spans="2:3" x14ac:dyDescent="0.3">
      <c r="B697" s="24">
        <f>MODEL!K698</f>
        <v>0</v>
      </c>
      <c r="C697" s="26">
        <f>MODEL!Q698</f>
        <v>570.84967046755332</v>
      </c>
    </row>
    <row r="698" spans="2:3" x14ac:dyDescent="0.3">
      <c r="B698" s="24">
        <f>MODEL!K699</f>
        <v>1</v>
      </c>
      <c r="C698" s="26">
        <f>MODEL!Q699</f>
        <v>521.26821817936661</v>
      </c>
    </row>
    <row r="699" spans="2:3" x14ac:dyDescent="0.3">
      <c r="B699" s="24">
        <f>MODEL!K700</f>
        <v>0</v>
      </c>
      <c r="C699" s="26">
        <f>MODEL!Q700</f>
        <v>613.22765289627421</v>
      </c>
    </row>
    <row r="700" spans="2:3" x14ac:dyDescent="0.3">
      <c r="B700" s="24">
        <f>MODEL!K701</f>
        <v>0</v>
      </c>
      <c r="C700" s="26">
        <f>MODEL!Q701</f>
        <v>496.47567488271972</v>
      </c>
    </row>
    <row r="701" spans="2:3" x14ac:dyDescent="0.3">
      <c r="B701" s="24">
        <f>MODEL!K702</f>
        <v>0</v>
      </c>
      <c r="C701" s="26">
        <f>MODEL!Q702</f>
        <v>479.65020403784058</v>
      </c>
    </row>
    <row r="702" spans="2:3" x14ac:dyDescent="0.3">
      <c r="B702" s="24">
        <f>MODEL!K703</f>
        <v>0</v>
      </c>
      <c r="C702" s="26">
        <f>MODEL!Q703</f>
        <v>521.36240033502406</v>
      </c>
    </row>
    <row r="703" spans="2:3" x14ac:dyDescent="0.3">
      <c r="B703" s="24">
        <f>MODEL!K704</f>
        <v>0</v>
      </c>
      <c r="C703" s="26">
        <f>MODEL!Q704</f>
        <v>533.32327436953699</v>
      </c>
    </row>
    <row r="704" spans="2:3" x14ac:dyDescent="0.3">
      <c r="B704" s="24">
        <f>MODEL!K705</f>
        <v>0</v>
      </c>
      <c r="C704" s="26">
        <f>MODEL!Q705</f>
        <v>490.64350460835522</v>
      </c>
    </row>
    <row r="705" spans="2:3" x14ac:dyDescent="0.3">
      <c r="B705" s="24">
        <f>MODEL!K706</f>
        <v>0</v>
      </c>
      <c r="C705" s="26">
        <f>MODEL!Q706</f>
        <v>644.52294888719075</v>
      </c>
    </row>
    <row r="706" spans="2:3" x14ac:dyDescent="0.3">
      <c r="B706" s="24">
        <f>MODEL!K707</f>
        <v>0</v>
      </c>
      <c r="C706" s="26">
        <f>MODEL!Q707</f>
        <v>519.6967600516748</v>
      </c>
    </row>
    <row r="707" spans="2:3" x14ac:dyDescent="0.3">
      <c r="B707" s="24">
        <f>MODEL!K708</f>
        <v>1</v>
      </c>
      <c r="C707" s="26">
        <f>MODEL!Q708</f>
        <v>504.14257672013701</v>
      </c>
    </row>
    <row r="708" spans="2:3" x14ac:dyDescent="0.3">
      <c r="B708" s="24">
        <f>MODEL!K709</f>
        <v>0</v>
      </c>
      <c r="C708" s="26">
        <f>MODEL!Q709</f>
        <v>495.56956226093939</v>
      </c>
    </row>
    <row r="709" spans="2:3" x14ac:dyDescent="0.3">
      <c r="B709" s="24">
        <f>MODEL!K710</f>
        <v>0</v>
      </c>
      <c r="C709" s="26">
        <f>MODEL!Q710</f>
        <v>479.80668369351133</v>
      </c>
    </row>
    <row r="710" spans="2:3" x14ac:dyDescent="0.3">
      <c r="B710" s="24">
        <f>MODEL!K711</f>
        <v>1</v>
      </c>
      <c r="C710" s="26">
        <f>MODEL!Q711</f>
        <v>461.46952163330212</v>
      </c>
    </row>
    <row r="711" spans="2:3" x14ac:dyDescent="0.3">
      <c r="B711" s="24">
        <f>MODEL!K712</f>
        <v>0</v>
      </c>
      <c r="C711" s="26">
        <f>MODEL!Q712</f>
        <v>586.54655541399916</v>
      </c>
    </row>
    <row r="712" spans="2:3" x14ac:dyDescent="0.3">
      <c r="B712" s="24">
        <f>MODEL!K713</f>
        <v>1</v>
      </c>
      <c r="C712" s="26">
        <f>MODEL!Q713</f>
        <v>467.84931303537905</v>
      </c>
    </row>
    <row r="713" spans="2:3" x14ac:dyDescent="0.3">
      <c r="B713" s="24">
        <f>MODEL!K714</f>
        <v>0</v>
      </c>
      <c r="C713" s="26">
        <f>MODEL!Q714</f>
        <v>519.12470010436766</v>
      </c>
    </row>
    <row r="714" spans="2:3" x14ac:dyDescent="0.3">
      <c r="B714" s="24">
        <f>MODEL!K715</f>
        <v>0</v>
      </c>
      <c r="C714" s="26">
        <f>MODEL!Q715</f>
        <v>549.60607349533791</v>
      </c>
    </row>
    <row r="715" spans="2:3" x14ac:dyDescent="0.3">
      <c r="B715" s="24">
        <f>MODEL!K716</f>
        <v>1</v>
      </c>
      <c r="C715" s="26">
        <f>MODEL!Q716</f>
        <v>450.02193957576253</v>
      </c>
    </row>
    <row r="716" spans="2:3" x14ac:dyDescent="0.3">
      <c r="B716" s="24">
        <f>MODEL!K717</f>
        <v>0</v>
      </c>
      <c r="C716" s="26">
        <f>MODEL!Q717</f>
        <v>503.85817610689816</v>
      </c>
    </row>
    <row r="717" spans="2:3" x14ac:dyDescent="0.3">
      <c r="B717" s="24">
        <f>MODEL!K718</f>
        <v>0</v>
      </c>
      <c r="C717" s="26">
        <f>MODEL!Q718</f>
        <v>463.19573048965231</v>
      </c>
    </row>
    <row r="718" spans="2:3" x14ac:dyDescent="0.3">
      <c r="B718" s="24">
        <f>MODEL!K719</f>
        <v>1</v>
      </c>
      <c r="C718" s="26">
        <f>MODEL!Q719</f>
        <v>523.38227117904137</v>
      </c>
    </row>
    <row r="719" spans="2:3" x14ac:dyDescent="0.3">
      <c r="B719" s="24">
        <f>MODEL!K720</f>
        <v>0</v>
      </c>
      <c r="C719" s="26">
        <f>MODEL!Q720</f>
        <v>527.38747786524038</v>
      </c>
    </row>
    <row r="720" spans="2:3" x14ac:dyDescent="0.3">
      <c r="B720" s="24">
        <f>MODEL!K721</f>
        <v>0</v>
      </c>
      <c r="C720" s="26">
        <f>MODEL!Q721</f>
        <v>570.50148350008544</v>
      </c>
    </row>
    <row r="721" spans="2:3" x14ac:dyDescent="0.3">
      <c r="B721" s="24">
        <f>MODEL!K722</f>
        <v>1</v>
      </c>
      <c r="C721" s="26">
        <f>MODEL!Q722</f>
        <v>416.31215197731404</v>
      </c>
    </row>
    <row r="722" spans="2:3" x14ac:dyDescent="0.3">
      <c r="B722" s="24">
        <f>MODEL!K723</f>
        <v>0</v>
      </c>
      <c r="C722" s="26">
        <f>MODEL!Q723</f>
        <v>511.35760627148466</v>
      </c>
    </row>
    <row r="723" spans="2:3" x14ac:dyDescent="0.3">
      <c r="B723" s="24">
        <f>MODEL!K724</f>
        <v>0</v>
      </c>
      <c r="C723" s="26">
        <f>MODEL!Q724</f>
        <v>608.87047915343226</v>
      </c>
    </row>
    <row r="724" spans="2:3" x14ac:dyDescent="0.3">
      <c r="B724" s="24">
        <f>MODEL!K725</f>
        <v>0</v>
      </c>
      <c r="C724" s="26">
        <f>MODEL!Q725</f>
        <v>552.38267190368799</v>
      </c>
    </row>
    <row r="725" spans="2:3" x14ac:dyDescent="0.3">
      <c r="B725" s="24">
        <f>MODEL!K726</f>
        <v>0</v>
      </c>
      <c r="C725" s="26">
        <f>MODEL!Q726</f>
        <v>666.39800146989126</v>
      </c>
    </row>
    <row r="726" spans="2:3" x14ac:dyDescent="0.3">
      <c r="B726" s="24">
        <f>MODEL!K727</f>
        <v>1</v>
      </c>
      <c r="C726" s="26">
        <f>MODEL!Q727</f>
        <v>474.78006139856024</v>
      </c>
    </row>
    <row r="727" spans="2:3" x14ac:dyDescent="0.3">
      <c r="B727" s="24">
        <f>MODEL!K728</f>
        <v>1</v>
      </c>
      <c r="C727" s="26">
        <f>MODEL!Q728</f>
        <v>500.77602201166485</v>
      </c>
    </row>
    <row r="728" spans="2:3" x14ac:dyDescent="0.3">
      <c r="B728" s="24">
        <f>MODEL!K729</f>
        <v>1</v>
      </c>
      <c r="C728" s="26">
        <f>MODEL!Q729</f>
        <v>504.31658918261837</v>
      </c>
    </row>
    <row r="729" spans="2:3" x14ac:dyDescent="0.3">
      <c r="B729" s="24">
        <f>MODEL!K730</f>
        <v>0</v>
      </c>
      <c r="C729" s="26">
        <f>MODEL!Q730</f>
        <v>471.72475253815907</v>
      </c>
    </row>
    <row r="730" spans="2:3" x14ac:dyDescent="0.3">
      <c r="B730" s="24">
        <f>MODEL!K731</f>
        <v>1</v>
      </c>
      <c r="C730" s="26">
        <f>MODEL!Q731</f>
        <v>500.87271180704204</v>
      </c>
    </row>
    <row r="731" spans="2:3" x14ac:dyDescent="0.3">
      <c r="B731" s="24">
        <f>MODEL!K732</f>
        <v>1</v>
      </c>
      <c r="C731" s="26">
        <f>MODEL!Q732</f>
        <v>500.7151908501084</v>
      </c>
    </row>
    <row r="732" spans="2:3" x14ac:dyDescent="0.3">
      <c r="B732" s="24">
        <f>MODEL!K733</f>
        <v>1</v>
      </c>
      <c r="C732" s="26">
        <f>MODEL!Q733</f>
        <v>387.6797509372704</v>
      </c>
    </row>
    <row r="733" spans="2:3" x14ac:dyDescent="0.3">
      <c r="B733" s="24">
        <f>MODEL!K734</f>
        <v>1</v>
      </c>
      <c r="C733" s="26">
        <f>MODEL!Q734</f>
        <v>515.29088184906982</v>
      </c>
    </row>
    <row r="734" spans="2:3" x14ac:dyDescent="0.3">
      <c r="B734" s="24">
        <f>MODEL!K735</f>
        <v>0</v>
      </c>
      <c r="C734" s="26">
        <f>MODEL!Q735</f>
        <v>509.55036168233624</v>
      </c>
    </row>
    <row r="735" spans="2:3" x14ac:dyDescent="0.3">
      <c r="B735" s="24">
        <f>MODEL!K736</f>
        <v>0</v>
      </c>
      <c r="C735" s="26">
        <f>MODEL!Q736</f>
        <v>655.30782586952614</v>
      </c>
    </row>
    <row r="736" spans="2:3" x14ac:dyDescent="0.3">
      <c r="B736" s="24">
        <f>MODEL!K737</f>
        <v>0</v>
      </c>
      <c r="C736" s="26">
        <f>MODEL!Q737</f>
        <v>689.68008996751723</v>
      </c>
    </row>
    <row r="737" spans="2:3" x14ac:dyDescent="0.3">
      <c r="B737" s="24">
        <f>MODEL!K738</f>
        <v>1</v>
      </c>
      <c r="C737" s="26">
        <f>MODEL!Q738</f>
        <v>477.19109786416152</v>
      </c>
    </row>
    <row r="738" spans="2:3" x14ac:dyDescent="0.3">
      <c r="B738" s="24">
        <f>MODEL!K739</f>
        <v>1</v>
      </c>
      <c r="C738" s="26">
        <f>MODEL!Q739</f>
        <v>456.87208577465219</v>
      </c>
    </row>
    <row r="739" spans="2:3" x14ac:dyDescent="0.3">
      <c r="B739" s="24">
        <f>MODEL!K740</f>
        <v>0</v>
      </c>
      <c r="C739" s="26">
        <f>MODEL!Q740</f>
        <v>458.31281825548467</v>
      </c>
    </row>
    <row r="740" spans="2:3" x14ac:dyDescent="0.3">
      <c r="B740" s="24">
        <f>MODEL!K741</f>
        <v>1</v>
      </c>
      <c r="C740" s="26">
        <f>MODEL!Q741</f>
        <v>408.91322032922716</v>
      </c>
    </row>
    <row r="741" spans="2:3" x14ac:dyDescent="0.3">
      <c r="B741" s="24">
        <f>MODEL!K742</f>
        <v>0</v>
      </c>
      <c r="C741" s="26">
        <f>MODEL!Q742</f>
        <v>654.25904787151853</v>
      </c>
    </row>
    <row r="742" spans="2:3" x14ac:dyDescent="0.3">
      <c r="B742" s="24">
        <f>MODEL!K743</f>
        <v>0</v>
      </c>
      <c r="C742" s="26">
        <f>MODEL!Q743</f>
        <v>498.17988231242907</v>
      </c>
    </row>
    <row r="743" spans="2:3" x14ac:dyDescent="0.3">
      <c r="B743" s="24">
        <f>MODEL!K744</f>
        <v>0</v>
      </c>
      <c r="C743" s="26">
        <f>MODEL!Q744</f>
        <v>473.24266397645908</v>
      </c>
    </row>
    <row r="744" spans="2:3" x14ac:dyDescent="0.3">
      <c r="B744" s="24">
        <f>MODEL!K745</f>
        <v>1</v>
      </c>
      <c r="C744" s="26">
        <f>MODEL!Q745</f>
        <v>405.32193441373829</v>
      </c>
    </row>
    <row r="745" spans="2:3" x14ac:dyDescent="0.3">
      <c r="B745" s="24">
        <f>MODEL!K746</f>
        <v>0</v>
      </c>
      <c r="C745" s="26">
        <f>MODEL!Q746</f>
        <v>545.76617836813728</v>
      </c>
    </row>
    <row r="746" spans="2:3" x14ac:dyDescent="0.3">
      <c r="B746" s="24">
        <f>MODEL!K747</f>
        <v>0</v>
      </c>
      <c r="C746" s="26">
        <f>MODEL!Q747</f>
        <v>508.37519290857767</v>
      </c>
    </row>
    <row r="747" spans="2:3" x14ac:dyDescent="0.3">
      <c r="B747" s="24">
        <f>MODEL!K748</f>
        <v>0</v>
      </c>
      <c r="C747" s="26">
        <f>MODEL!Q748</f>
        <v>523.536877661056</v>
      </c>
    </row>
    <row r="748" spans="2:3" x14ac:dyDescent="0.3">
      <c r="B748" s="24">
        <f>MODEL!K749</f>
        <v>0</v>
      </c>
      <c r="C748" s="26">
        <f>MODEL!Q749</f>
        <v>507.08592654690926</v>
      </c>
    </row>
    <row r="749" spans="2:3" x14ac:dyDescent="0.3">
      <c r="B749" s="24">
        <f>MODEL!K750</f>
        <v>0</v>
      </c>
      <c r="C749" s="26">
        <f>MODEL!Q750</f>
        <v>503.73253337383443</v>
      </c>
    </row>
    <row r="750" spans="2:3" x14ac:dyDescent="0.3">
      <c r="B750" s="24">
        <f>MODEL!K751</f>
        <v>1</v>
      </c>
      <c r="C750" s="26">
        <f>MODEL!Q751</f>
        <v>461.61513425910346</v>
      </c>
    </row>
    <row r="751" spans="2:3" x14ac:dyDescent="0.3">
      <c r="B751" s="24">
        <f>MODEL!K752</f>
        <v>0</v>
      </c>
      <c r="C751" s="26">
        <f>MODEL!Q752</f>
        <v>669.92714826753866</v>
      </c>
    </row>
    <row r="752" spans="2:3" x14ac:dyDescent="0.3">
      <c r="B752" s="24">
        <f>MODEL!K753</f>
        <v>0</v>
      </c>
      <c r="C752" s="26">
        <f>MODEL!Q753</f>
        <v>539.91572651692161</v>
      </c>
    </row>
    <row r="753" spans="2:3" x14ac:dyDescent="0.3">
      <c r="B753" s="24">
        <f>MODEL!K754</f>
        <v>0</v>
      </c>
      <c r="C753" s="26">
        <f>MODEL!Q754</f>
        <v>507.75109887630987</v>
      </c>
    </row>
    <row r="754" spans="2:3" x14ac:dyDescent="0.3">
      <c r="B754" s="24">
        <f>MODEL!K755</f>
        <v>0</v>
      </c>
      <c r="C754" s="26">
        <f>MODEL!Q755</f>
        <v>556.89757885514246</v>
      </c>
    </row>
    <row r="755" spans="2:3" x14ac:dyDescent="0.3">
      <c r="B755" s="24">
        <f>MODEL!K756</f>
        <v>1</v>
      </c>
      <c r="C755" s="26">
        <f>MODEL!Q756</f>
        <v>441.80793751131057</v>
      </c>
    </row>
    <row r="756" spans="2:3" x14ac:dyDescent="0.3">
      <c r="B756" s="24">
        <f>MODEL!K757</f>
        <v>0</v>
      </c>
      <c r="C756" s="26">
        <f>MODEL!Q757</f>
        <v>541.71873282940385</v>
      </c>
    </row>
    <row r="757" spans="2:3" x14ac:dyDescent="0.3">
      <c r="B757" s="24">
        <f>MODEL!K758</f>
        <v>0</v>
      </c>
      <c r="C757" s="26">
        <f>MODEL!Q758</f>
        <v>501.65854760370394</v>
      </c>
    </row>
    <row r="758" spans="2:3" x14ac:dyDescent="0.3">
      <c r="B758" s="24">
        <f>MODEL!K759</f>
        <v>0</v>
      </c>
      <c r="C758" s="26">
        <f>MODEL!Q759</f>
        <v>741.56406676512938</v>
      </c>
    </row>
    <row r="759" spans="2:3" x14ac:dyDescent="0.3">
      <c r="B759" s="24">
        <f>MODEL!K760</f>
        <v>1</v>
      </c>
      <c r="C759" s="26">
        <f>MODEL!Q760</f>
        <v>471.20907293216032</v>
      </c>
    </row>
    <row r="760" spans="2:3" x14ac:dyDescent="0.3">
      <c r="B760" s="24">
        <f>MODEL!K761</f>
        <v>1</v>
      </c>
      <c r="C760" s="26">
        <f>MODEL!Q761</f>
        <v>459.59237465938241</v>
      </c>
    </row>
    <row r="761" spans="2:3" x14ac:dyDescent="0.3">
      <c r="B761" s="24">
        <f>MODEL!K762</f>
        <v>0</v>
      </c>
      <c r="C761" s="26">
        <f>MODEL!Q762</f>
        <v>742.04663978410417</v>
      </c>
    </row>
    <row r="762" spans="2:3" x14ac:dyDescent="0.3">
      <c r="B762" s="24">
        <f>MODEL!K763</f>
        <v>1</v>
      </c>
      <c r="C762" s="26">
        <f>MODEL!Q763</f>
        <v>474.94968673428281</v>
      </c>
    </row>
    <row r="763" spans="2:3" x14ac:dyDescent="0.3">
      <c r="B763" s="24">
        <f>MODEL!K764</f>
        <v>0</v>
      </c>
      <c r="C763" s="26">
        <f>MODEL!Q764</f>
        <v>509.37436496271465</v>
      </c>
    </row>
    <row r="764" spans="2:3" x14ac:dyDescent="0.3">
      <c r="B764" s="24">
        <f>MODEL!K765</f>
        <v>0</v>
      </c>
      <c r="C764" s="26">
        <f>MODEL!Q765</f>
        <v>460.09531148891818</v>
      </c>
    </row>
    <row r="765" spans="2:3" x14ac:dyDescent="0.3">
      <c r="B765" s="24">
        <f>MODEL!K766</f>
        <v>1</v>
      </c>
      <c r="C765" s="26">
        <f>MODEL!Q766</f>
        <v>501.39112978272874</v>
      </c>
    </row>
    <row r="766" spans="2:3" x14ac:dyDescent="0.3">
      <c r="B766" s="24">
        <f>MODEL!K767</f>
        <v>1</v>
      </c>
      <c r="C766" s="26">
        <f>MODEL!Q767</f>
        <v>502.52884142881965</v>
      </c>
    </row>
    <row r="767" spans="2:3" x14ac:dyDescent="0.3">
      <c r="B767" s="24">
        <f>MODEL!K768</f>
        <v>1</v>
      </c>
      <c r="C767" s="26">
        <f>MODEL!Q768</f>
        <v>430.01243494636481</v>
      </c>
    </row>
    <row r="768" spans="2:3" x14ac:dyDescent="0.3">
      <c r="B768" s="24">
        <f>MODEL!K769</f>
        <v>0</v>
      </c>
      <c r="C768" s="26">
        <f>MODEL!Q769</f>
        <v>576.65465913106527</v>
      </c>
    </row>
    <row r="769" spans="2:3" x14ac:dyDescent="0.3">
      <c r="B769" s="24">
        <f>MODEL!K770</f>
        <v>0</v>
      </c>
      <c r="C769" s="26">
        <f>MODEL!Q770</f>
        <v>496.91862893825208</v>
      </c>
    </row>
    <row r="770" spans="2:3" x14ac:dyDescent="0.3">
      <c r="B770" s="24">
        <f>MODEL!K771</f>
        <v>0</v>
      </c>
      <c r="C770" s="26">
        <f>MODEL!Q771</f>
        <v>595.30083884028443</v>
      </c>
    </row>
    <row r="771" spans="2:3" x14ac:dyDescent="0.3">
      <c r="B771" s="24">
        <f>MODEL!K772</f>
        <v>0</v>
      </c>
      <c r="C771" s="26">
        <f>MODEL!Q772</f>
        <v>549.33059586767183</v>
      </c>
    </row>
    <row r="772" spans="2:3" x14ac:dyDescent="0.3">
      <c r="B772" s="24">
        <f>MODEL!K773</f>
        <v>0</v>
      </c>
      <c r="C772" s="26">
        <f>MODEL!Q773</f>
        <v>523.00869922471236</v>
      </c>
    </row>
    <row r="773" spans="2:3" x14ac:dyDescent="0.3">
      <c r="B773" s="24">
        <f>MODEL!K774</f>
        <v>0</v>
      </c>
      <c r="C773" s="26">
        <f>MODEL!Q774</f>
        <v>644.47498286803852</v>
      </c>
    </row>
    <row r="774" spans="2:3" x14ac:dyDescent="0.3">
      <c r="B774" s="24">
        <f>MODEL!K775</f>
        <v>0</v>
      </c>
      <c r="C774" s="26">
        <f>MODEL!Q775</f>
        <v>576.27198645538783</v>
      </c>
    </row>
    <row r="775" spans="2:3" x14ac:dyDescent="0.3">
      <c r="B775" s="24">
        <f>MODEL!K776</f>
        <v>0</v>
      </c>
      <c r="C775" s="26">
        <f>MODEL!Q776</f>
        <v>499.48183515244375</v>
      </c>
    </row>
    <row r="776" spans="2:3" x14ac:dyDescent="0.3">
      <c r="B776" s="24">
        <f>MODEL!K777</f>
        <v>1</v>
      </c>
      <c r="C776" s="26">
        <f>MODEL!Q777</f>
        <v>500.31072396853619</v>
      </c>
    </row>
    <row r="777" spans="2:3" x14ac:dyDescent="0.3">
      <c r="B777" s="24">
        <f>MODEL!K778</f>
        <v>0</v>
      </c>
      <c r="C777" s="26">
        <f>MODEL!Q778</f>
        <v>516.66950432559224</v>
      </c>
    </row>
    <row r="778" spans="2:3" x14ac:dyDescent="0.3">
      <c r="B778" s="24">
        <f>MODEL!K779</f>
        <v>1</v>
      </c>
      <c r="C778" s="26">
        <f>MODEL!Q779</f>
        <v>429.1444281883613</v>
      </c>
    </row>
    <row r="779" spans="2:3" x14ac:dyDescent="0.3">
      <c r="B779" s="24">
        <f>MODEL!K780</f>
        <v>0</v>
      </c>
      <c r="C779" s="26">
        <f>MODEL!Q780</f>
        <v>549.76913519858226</v>
      </c>
    </row>
    <row r="780" spans="2:3" x14ac:dyDescent="0.3">
      <c r="B780" s="24">
        <f>MODEL!K781</f>
        <v>1</v>
      </c>
      <c r="C780" s="26">
        <f>MODEL!Q781</f>
        <v>337.68133342199917</v>
      </c>
    </row>
    <row r="781" spans="2:3" x14ac:dyDescent="0.3">
      <c r="B781" s="24">
        <f>MODEL!K782</f>
        <v>0</v>
      </c>
      <c r="C781" s="26">
        <f>MODEL!Q782</f>
        <v>577.79976586616772</v>
      </c>
    </row>
    <row r="782" spans="2:3" x14ac:dyDescent="0.3">
      <c r="B782" s="24">
        <f>MODEL!K783</f>
        <v>1</v>
      </c>
      <c r="C782" s="26">
        <f>MODEL!Q783</f>
        <v>467.8179779718896</v>
      </c>
    </row>
    <row r="783" spans="2:3" x14ac:dyDescent="0.3">
      <c r="B783" s="24">
        <f>MODEL!K784</f>
        <v>1</v>
      </c>
      <c r="C783" s="26">
        <f>MODEL!Q784</f>
        <v>494.87699418701891</v>
      </c>
    </row>
    <row r="784" spans="2:3" x14ac:dyDescent="0.3">
      <c r="B784" s="24">
        <f>MODEL!K785</f>
        <v>0</v>
      </c>
      <c r="C784" s="26">
        <f>MODEL!Q785</f>
        <v>575.19355317489703</v>
      </c>
    </row>
    <row r="785" spans="2:3" x14ac:dyDescent="0.3">
      <c r="B785" s="24">
        <f>MODEL!K786</f>
        <v>1</v>
      </c>
      <c r="C785" s="26">
        <f>MODEL!Q786</f>
        <v>502.24814327754331</v>
      </c>
    </row>
    <row r="786" spans="2:3" x14ac:dyDescent="0.3">
      <c r="B786" s="24">
        <f>MODEL!K787</f>
        <v>0</v>
      </c>
      <c r="C786" s="26">
        <f>MODEL!Q787</f>
        <v>532.66894582747159</v>
      </c>
    </row>
    <row r="787" spans="2:3" x14ac:dyDescent="0.3">
      <c r="B787" s="24">
        <f>MODEL!K788</f>
        <v>1</v>
      </c>
      <c r="C787" s="26">
        <f>MODEL!Q788</f>
        <v>534.86275986225257</v>
      </c>
    </row>
    <row r="788" spans="2:3" x14ac:dyDescent="0.3">
      <c r="B788" s="24">
        <f>MODEL!K789</f>
        <v>1</v>
      </c>
      <c r="C788" s="26">
        <f>MODEL!Q789</f>
        <v>462.12062645209653</v>
      </c>
    </row>
    <row r="789" spans="2:3" x14ac:dyDescent="0.3">
      <c r="B789" s="24">
        <f>MODEL!K790</f>
        <v>0</v>
      </c>
      <c r="C789" s="26">
        <f>MODEL!Q790</f>
        <v>553.99862040492508</v>
      </c>
    </row>
    <row r="790" spans="2:3" x14ac:dyDescent="0.3">
      <c r="B790" s="24">
        <f>MODEL!K791</f>
        <v>0</v>
      </c>
      <c r="C790" s="26">
        <f>MODEL!Q791</f>
        <v>459.36179830726218</v>
      </c>
    </row>
    <row r="791" spans="2:3" x14ac:dyDescent="0.3">
      <c r="B791" s="24">
        <f>MODEL!K792</f>
        <v>1</v>
      </c>
      <c r="C791" s="26">
        <f>MODEL!Q792</f>
        <v>328.87835204551527</v>
      </c>
    </row>
    <row r="792" spans="2:3" x14ac:dyDescent="0.3">
      <c r="B792" s="24">
        <f>MODEL!K793</f>
        <v>1</v>
      </c>
      <c r="C792" s="26">
        <f>MODEL!Q793</f>
        <v>417.44756520210149</v>
      </c>
    </row>
    <row r="793" spans="2:3" x14ac:dyDescent="0.3">
      <c r="B793" s="24">
        <f>MODEL!K794</f>
        <v>1</v>
      </c>
      <c r="C793" s="26">
        <f>MODEL!Q794</f>
        <v>441.74237972553516</v>
      </c>
    </row>
    <row r="794" spans="2:3" x14ac:dyDescent="0.3">
      <c r="B794" s="24">
        <f>MODEL!K795</f>
        <v>0</v>
      </c>
      <c r="C794" s="26">
        <f>MODEL!Q795</f>
        <v>574.61529454226275</v>
      </c>
    </row>
    <row r="795" spans="2:3" x14ac:dyDescent="0.3">
      <c r="B795" s="24">
        <f>MODEL!K796</f>
        <v>1</v>
      </c>
      <c r="C795" s="26">
        <f>MODEL!Q796</f>
        <v>494.02029246730166</v>
      </c>
    </row>
    <row r="796" spans="2:3" x14ac:dyDescent="0.3">
      <c r="B796" s="24">
        <f>MODEL!K797</f>
        <v>0</v>
      </c>
      <c r="C796" s="26">
        <f>MODEL!Q797</f>
        <v>489.95776677932042</v>
      </c>
    </row>
    <row r="797" spans="2:3" x14ac:dyDescent="0.3">
      <c r="B797" s="24">
        <f>MODEL!K798</f>
        <v>0</v>
      </c>
      <c r="C797" s="26">
        <f>MODEL!Q798</f>
        <v>592.71957679585785</v>
      </c>
    </row>
    <row r="798" spans="2:3" x14ac:dyDescent="0.3">
      <c r="B798" s="24">
        <f>MODEL!K799</f>
        <v>1</v>
      </c>
      <c r="C798" s="26">
        <f>MODEL!Q799</f>
        <v>491.85673873826795</v>
      </c>
    </row>
    <row r="799" spans="2:3" x14ac:dyDescent="0.3">
      <c r="B799" s="24">
        <f>MODEL!K800</f>
        <v>0</v>
      </c>
      <c r="C799" s="26">
        <f>MODEL!Q800</f>
        <v>530.46617705077358</v>
      </c>
    </row>
    <row r="800" spans="2:3" x14ac:dyDescent="0.3">
      <c r="B800" s="24">
        <f>MODEL!K801</f>
        <v>1</v>
      </c>
      <c r="C800" s="26">
        <f>MODEL!Q801</f>
        <v>487.91442045507523</v>
      </c>
    </row>
    <row r="801" spans="2:3" x14ac:dyDescent="0.3">
      <c r="B801" s="24">
        <f>MODEL!K802</f>
        <v>1</v>
      </c>
      <c r="C801" s="26">
        <f>MODEL!Q802</f>
        <v>514.43890300046291</v>
      </c>
    </row>
    <row r="802" spans="2:3" x14ac:dyDescent="0.3">
      <c r="B802" s="24">
        <f>MODEL!K803</f>
        <v>0</v>
      </c>
      <c r="C802" s="26">
        <f>MODEL!Q803</f>
        <v>557.34325480263533</v>
      </c>
    </row>
    <row r="803" spans="2:3" x14ac:dyDescent="0.3">
      <c r="B803" s="24">
        <f>MODEL!K804</f>
        <v>1</v>
      </c>
      <c r="C803" s="26">
        <f>MODEL!Q804</f>
        <v>505.04794727649016</v>
      </c>
    </row>
    <row r="804" spans="2:3" x14ac:dyDescent="0.3">
      <c r="B804" s="24">
        <f>MODEL!K805</f>
        <v>0</v>
      </c>
      <c r="C804" s="26">
        <f>MODEL!Q805</f>
        <v>707.76150228772212</v>
      </c>
    </row>
    <row r="805" spans="2:3" x14ac:dyDescent="0.3">
      <c r="B805" s="24">
        <f>MODEL!K806</f>
        <v>0</v>
      </c>
      <c r="C805" s="26">
        <f>MODEL!Q806</f>
        <v>665.697043736159</v>
      </c>
    </row>
    <row r="806" spans="2:3" x14ac:dyDescent="0.3">
      <c r="B806" s="24">
        <f>MODEL!K807</f>
        <v>0</v>
      </c>
      <c r="C806" s="26">
        <f>MODEL!Q807</f>
        <v>604.19715604665623</v>
      </c>
    </row>
    <row r="807" spans="2:3" x14ac:dyDescent="0.3">
      <c r="B807" s="24">
        <f>MODEL!K808</f>
        <v>1</v>
      </c>
      <c r="C807" s="26">
        <f>MODEL!Q808</f>
        <v>437.74371547111321</v>
      </c>
    </row>
    <row r="808" spans="2:3" x14ac:dyDescent="0.3">
      <c r="B808" s="24">
        <f>MODEL!K809</f>
        <v>1</v>
      </c>
      <c r="C808" s="26">
        <f>MODEL!Q809</f>
        <v>501.60266501951099</v>
      </c>
    </row>
    <row r="809" spans="2:3" x14ac:dyDescent="0.3">
      <c r="B809" s="24">
        <f>MODEL!K810</f>
        <v>0</v>
      </c>
      <c r="C809" s="26">
        <f>MODEL!Q810</f>
        <v>502.37324479738874</v>
      </c>
    </row>
    <row r="810" spans="2:3" x14ac:dyDescent="0.3">
      <c r="B810" s="24">
        <f>MODEL!K811</f>
        <v>0</v>
      </c>
      <c r="C810" s="26">
        <f>MODEL!Q811</f>
        <v>483.67332495495185</v>
      </c>
    </row>
    <row r="811" spans="2:3" x14ac:dyDescent="0.3">
      <c r="B811" s="24">
        <f>MODEL!K812</f>
        <v>0</v>
      </c>
      <c r="C811" s="26">
        <f>MODEL!Q812</f>
        <v>565.26450867410358</v>
      </c>
    </row>
    <row r="812" spans="2:3" x14ac:dyDescent="0.3">
      <c r="B812" s="24">
        <f>MODEL!K813</f>
        <v>1</v>
      </c>
      <c r="C812" s="26">
        <f>MODEL!Q813</f>
        <v>468.14043794016789</v>
      </c>
    </row>
    <row r="813" spans="2:3" x14ac:dyDescent="0.3">
      <c r="B813" s="24">
        <f>MODEL!K814</f>
        <v>0</v>
      </c>
      <c r="C813" s="26">
        <f>MODEL!Q814</f>
        <v>482.59501762206793</v>
      </c>
    </row>
    <row r="814" spans="2:3" x14ac:dyDescent="0.3">
      <c r="B814" s="24">
        <f>MODEL!K815</f>
        <v>1</v>
      </c>
      <c r="C814" s="26">
        <f>MODEL!Q815</f>
        <v>484.25915202901427</v>
      </c>
    </row>
    <row r="815" spans="2:3" x14ac:dyDescent="0.3">
      <c r="B815" s="24">
        <f>MODEL!K816</f>
        <v>0</v>
      </c>
      <c r="C815" s="26">
        <f>MODEL!Q816</f>
        <v>505.82154742363201</v>
      </c>
    </row>
    <row r="816" spans="2:3" x14ac:dyDescent="0.3">
      <c r="B816" s="24">
        <f>MODEL!K817</f>
        <v>1</v>
      </c>
      <c r="C816" s="26">
        <f>MODEL!Q817</f>
        <v>484.21639629852518</v>
      </c>
    </row>
    <row r="817" spans="2:3" x14ac:dyDescent="0.3">
      <c r="B817" s="24">
        <f>MODEL!K818</f>
        <v>1</v>
      </c>
      <c r="C817" s="26">
        <f>MODEL!Q818</f>
        <v>362.64201872710169</v>
      </c>
    </row>
    <row r="818" spans="2:3" x14ac:dyDescent="0.3">
      <c r="B818" s="24">
        <f>MODEL!K819</f>
        <v>1</v>
      </c>
      <c r="C818" s="26">
        <f>MODEL!Q819</f>
        <v>499.25187532577621</v>
      </c>
    </row>
    <row r="819" spans="2:3" x14ac:dyDescent="0.3">
      <c r="B819" s="24">
        <f>MODEL!K820</f>
        <v>0</v>
      </c>
      <c r="C819" s="26">
        <f>MODEL!Q820</f>
        <v>522.0045517251059</v>
      </c>
    </row>
    <row r="820" spans="2:3" x14ac:dyDescent="0.3">
      <c r="B820" s="24">
        <f>MODEL!K821</f>
        <v>1</v>
      </c>
      <c r="C820" s="26">
        <f>MODEL!Q821</f>
        <v>508.42413666925364</v>
      </c>
    </row>
    <row r="821" spans="2:3" x14ac:dyDescent="0.3">
      <c r="B821" s="24">
        <f>MODEL!K822</f>
        <v>0</v>
      </c>
      <c r="C821" s="26">
        <f>MODEL!Q822</f>
        <v>544.12096146580575</v>
      </c>
    </row>
    <row r="822" spans="2:3" x14ac:dyDescent="0.3">
      <c r="B822" s="24">
        <f>MODEL!K823</f>
        <v>0</v>
      </c>
      <c r="C822" s="26">
        <f>MODEL!Q823</f>
        <v>583.7805317886947</v>
      </c>
    </row>
    <row r="823" spans="2:3" x14ac:dyDescent="0.3">
      <c r="B823" s="24">
        <f>MODEL!K824</f>
        <v>0</v>
      </c>
      <c r="C823" s="26">
        <f>MODEL!Q824</f>
        <v>547.69347458892298</v>
      </c>
    </row>
    <row r="824" spans="2:3" x14ac:dyDescent="0.3">
      <c r="B824" s="24">
        <f>MODEL!K825</f>
        <v>1</v>
      </c>
      <c r="C824" s="26">
        <f>MODEL!Q825</f>
        <v>489.30892773166988</v>
      </c>
    </row>
    <row r="825" spans="2:3" x14ac:dyDescent="0.3">
      <c r="B825" s="24">
        <f>MODEL!K826</f>
        <v>0</v>
      </c>
      <c r="C825" s="26">
        <f>MODEL!Q826</f>
        <v>623.67849025265082</v>
      </c>
    </row>
    <row r="826" spans="2:3" x14ac:dyDescent="0.3">
      <c r="B826" s="24">
        <f>MODEL!K827</f>
        <v>1</v>
      </c>
      <c r="C826" s="26">
        <f>MODEL!Q827</f>
        <v>475.01795940346165</v>
      </c>
    </row>
    <row r="827" spans="2:3" x14ac:dyDescent="0.3">
      <c r="B827" s="24">
        <f>MODEL!K828</f>
        <v>0</v>
      </c>
      <c r="C827" s="26">
        <f>MODEL!Q828</f>
        <v>669.67478967194336</v>
      </c>
    </row>
    <row r="828" spans="2:3" x14ac:dyDescent="0.3">
      <c r="B828" s="24">
        <f>MODEL!K829</f>
        <v>0</v>
      </c>
      <c r="C828" s="26">
        <f>MODEL!Q829</f>
        <v>505.71208786670167</v>
      </c>
    </row>
    <row r="829" spans="2:3" x14ac:dyDescent="0.3">
      <c r="B829" s="24">
        <f>MODEL!K830</f>
        <v>1</v>
      </c>
      <c r="C829" s="26">
        <f>MODEL!Q830</f>
        <v>459.43363942200222</v>
      </c>
    </row>
    <row r="830" spans="2:3" x14ac:dyDescent="0.3">
      <c r="B830" s="24">
        <f>MODEL!K831</f>
        <v>0</v>
      </c>
      <c r="C830" s="26">
        <f>MODEL!Q831</f>
        <v>473.25872837522263</v>
      </c>
    </row>
    <row r="831" spans="2:3" x14ac:dyDescent="0.3">
      <c r="B831" s="24">
        <f>MODEL!K832</f>
        <v>0</v>
      </c>
      <c r="C831" s="26">
        <f>MODEL!Q832</f>
        <v>646.49468271030253</v>
      </c>
    </row>
    <row r="832" spans="2:3" x14ac:dyDescent="0.3">
      <c r="B832" s="24">
        <f>MODEL!K833</f>
        <v>0</v>
      </c>
      <c r="C832" s="26">
        <f>MODEL!Q833</f>
        <v>497.03465333257537</v>
      </c>
    </row>
    <row r="833" spans="2:3" x14ac:dyDescent="0.3">
      <c r="B833" s="24">
        <f>MODEL!K834</f>
        <v>0</v>
      </c>
      <c r="C833" s="26">
        <f>MODEL!Q834</f>
        <v>543.12852145921329</v>
      </c>
    </row>
    <row r="834" spans="2:3" x14ac:dyDescent="0.3">
      <c r="B834" s="24">
        <f>MODEL!K835</f>
        <v>0</v>
      </c>
      <c r="C834" s="26">
        <f>MODEL!Q835</f>
        <v>514.84836806357828</v>
      </c>
    </row>
    <row r="835" spans="2:3" x14ac:dyDescent="0.3">
      <c r="B835" s="24">
        <f>MODEL!K836</f>
        <v>1</v>
      </c>
      <c r="C835" s="26">
        <f>MODEL!Q836</f>
        <v>370.77241371297231</v>
      </c>
    </row>
    <row r="836" spans="2:3" x14ac:dyDescent="0.3">
      <c r="B836" s="24">
        <f>MODEL!K837</f>
        <v>1</v>
      </c>
      <c r="C836" s="26">
        <f>MODEL!Q837</f>
        <v>469.34468663110124</v>
      </c>
    </row>
    <row r="837" spans="2:3" x14ac:dyDescent="0.3">
      <c r="B837" s="24">
        <f>MODEL!K838</f>
        <v>0</v>
      </c>
      <c r="C837" s="26">
        <f>MODEL!Q838</f>
        <v>486.19638586693844</v>
      </c>
    </row>
    <row r="838" spans="2:3" x14ac:dyDescent="0.3">
      <c r="B838" s="24">
        <f>MODEL!K839</f>
        <v>0</v>
      </c>
      <c r="C838" s="26">
        <f>MODEL!Q839</f>
        <v>567.37309255083551</v>
      </c>
    </row>
    <row r="839" spans="2:3" x14ac:dyDescent="0.3">
      <c r="B839" s="24">
        <f>MODEL!K840</f>
        <v>0</v>
      </c>
      <c r="C839" s="26">
        <f>MODEL!Q840</f>
        <v>488.06788979700787</v>
      </c>
    </row>
    <row r="840" spans="2:3" x14ac:dyDescent="0.3">
      <c r="B840" s="24">
        <f>MODEL!K841</f>
        <v>0</v>
      </c>
      <c r="C840" s="26">
        <f>MODEL!Q841</f>
        <v>628.12874380023766</v>
      </c>
    </row>
    <row r="841" spans="2:3" x14ac:dyDescent="0.3">
      <c r="B841" s="24">
        <f>MODEL!K842</f>
        <v>0</v>
      </c>
      <c r="C841" s="26">
        <f>MODEL!Q842</f>
        <v>579.56958611830203</v>
      </c>
    </row>
    <row r="842" spans="2:3" x14ac:dyDescent="0.3">
      <c r="B842" s="24">
        <f>MODEL!K843</f>
        <v>0</v>
      </c>
      <c r="C842" s="26">
        <f>MODEL!Q843</f>
        <v>518.35651125020138</v>
      </c>
    </row>
    <row r="843" spans="2:3" x14ac:dyDescent="0.3">
      <c r="B843" s="24">
        <f>MODEL!K844</f>
        <v>0</v>
      </c>
      <c r="C843" s="26">
        <f>MODEL!Q844</f>
        <v>508.63226528273077</v>
      </c>
    </row>
    <row r="844" spans="2:3" x14ac:dyDescent="0.3">
      <c r="B844" s="24">
        <f>MODEL!K845</f>
        <v>0</v>
      </c>
      <c r="C844" s="26">
        <f>MODEL!Q845</f>
        <v>546.90189797166215</v>
      </c>
    </row>
    <row r="845" spans="2:3" x14ac:dyDescent="0.3">
      <c r="B845" s="24">
        <f>MODEL!K846</f>
        <v>1</v>
      </c>
      <c r="C845" s="26">
        <f>MODEL!Q846</f>
        <v>450.32903686585462</v>
      </c>
    </row>
    <row r="846" spans="2:3" x14ac:dyDescent="0.3">
      <c r="B846" s="24">
        <f>MODEL!K847</f>
        <v>0</v>
      </c>
      <c r="C846" s="26">
        <f>MODEL!Q847</f>
        <v>586.16738865822811</v>
      </c>
    </row>
    <row r="847" spans="2:3" x14ac:dyDescent="0.3">
      <c r="B847" s="24">
        <f>MODEL!K848</f>
        <v>0</v>
      </c>
      <c r="C847" s="26">
        <f>MODEL!Q848</f>
        <v>476.30617972744864</v>
      </c>
    </row>
    <row r="848" spans="2:3" x14ac:dyDescent="0.3">
      <c r="B848" s="24">
        <f>MODEL!K849</f>
        <v>1</v>
      </c>
      <c r="C848" s="26">
        <f>MODEL!Q849</f>
        <v>466.92027896055214</v>
      </c>
    </row>
    <row r="849" spans="2:3" x14ac:dyDescent="0.3">
      <c r="B849" s="24">
        <f>MODEL!K850</f>
        <v>1</v>
      </c>
      <c r="C849" s="26">
        <f>MODEL!Q850</f>
        <v>380.1661842138883</v>
      </c>
    </row>
    <row r="850" spans="2:3" x14ac:dyDescent="0.3">
      <c r="B850" s="24">
        <f>MODEL!K851</f>
        <v>0</v>
      </c>
      <c r="C850" s="26">
        <f>MODEL!Q851</f>
        <v>535.31569704935407</v>
      </c>
    </row>
    <row r="851" spans="2:3" x14ac:dyDescent="0.3">
      <c r="B851" s="24">
        <f>MODEL!K852</f>
        <v>1</v>
      </c>
      <c r="C851" s="26">
        <f>MODEL!Q852</f>
        <v>401.42089435414175</v>
      </c>
    </row>
    <row r="852" spans="2:3" x14ac:dyDescent="0.3">
      <c r="B852" s="24">
        <f>MODEL!K853</f>
        <v>0</v>
      </c>
      <c r="C852" s="26">
        <f>MODEL!Q853</f>
        <v>603.96959389336928</v>
      </c>
    </row>
    <row r="853" spans="2:3" x14ac:dyDescent="0.3">
      <c r="B853" s="24">
        <f>MODEL!K854</f>
        <v>1</v>
      </c>
      <c r="C853" s="26">
        <f>MODEL!Q854</f>
        <v>553.23993356231779</v>
      </c>
    </row>
    <row r="854" spans="2:3" x14ac:dyDescent="0.3">
      <c r="B854" s="24">
        <f>MODEL!K855</f>
        <v>0</v>
      </c>
      <c r="C854" s="26">
        <f>MODEL!Q855</f>
        <v>595.47172150263918</v>
      </c>
    </row>
    <row r="855" spans="2:3" x14ac:dyDescent="0.3">
      <c r="B855" s="24">
        <f>MODEL!K856</f>
        <v>1</v>
      </c>
      <c r="C855" s="26">
        <f>MODEL!Q856</f>
        <v>462.4676086241135</v>
      </c>
    </row>
    <row r="856" spans="2:3" x14ac:dyDescent="0.3">
      <c r="B856" s="24">
        <f>MODEL!K857</f>
        <v>1</v>
      </c>
      <c r="C856" s="26">
        <f>MODEL!Q857</f>
        <v>475.22177810870579</v>
      </c>
    </row>
    <row r="857" spans="2:3" x14ac:dyDescent="0.3">
      <c r="B857" s="24">
        <f>MODEL!K858</f>
        <v>0</v>
      </c>
      <c r="C857" s="26">
        <f>MODEL!Q858</f>
        <v>498.77912984834001</v>
      </c>
    </row>
    <row r="858" spans="2:3" x14ac:dyDescent="0.3">
      <c r="B858" s="24">
        <f>MODEL!K859</f>
        <v>1</v>
      </c>
      <c r="C858" s="26">
        <f>MODEL!Q859</f>
        <v>504.28780523699521</v>
      </c>
    </row>
    <row r="859" spans="2:3" x14ac:dyDescent="0.3">
      <c r="B859" s="24">
        <f>MODEL!K860</f>
        <v>1</v>
      </c>
      <c r="C859" s="26">
        <f>MODEL!Q860</f>
        <v>448.4895204921612</v>
      </c>
    </row>
    <row r="860" spans="2:3" x14ac:dyDescent="0.3">
      <c r="B860" s="24">
        <f>MODEL!K861</f>
        <v>0</v>
      </c>
      <c r="C860" s="26">
        <f>MODEL!Q861</f>
        <v>503.7771562821253</v>
      </c>
    </row>
    <row r="861" spans="2:3" x14ac:dyDescent="0.3">
      <c r="B861" s="24">
        <f>MODEL!K862</f>
        <v>1</v>
      </c>
      <c r="C861" s="26">
        <f>MODEL!Q862</f>
        <v>486.64376826042036</v>
      </c>
    </row>
    <row r="862" spans="2:3" x14ac:dyDescent="0.3">
      <c r="B862" s="24">
        <f>MODEL!K863</f>
        <v>1</v>
      </c>
      <c r="C862" s="26">
        <f>MODEL!Q863</f>
        <v>478.44285326177987</v>
      </c>
    </row>
    <row r="863" spans="2:3" x14ac:dyDescent="0.3">
      <c r="B863" s="24">
        <f>MODEL!K864</f>
        <v>1</v>
      </c>
      <c r="C863" s="26">
        <f>MODEL!Q864</f>
        <v>445.22065094172643</v>
      </c>
    </row>
    <row r="864" spans="2:3" x14ac:dyDescent="0.3">
      <c r="B864" s="24">
        <f>MODEL!K865</f>
        <v>1</v>
      </c>
      <c r="C864" s="26">
        <f>MODEL!Q865</f>
        <v>480.01111810908185</v>
      </c>
    </row>
    <row r="865" spans="2:3" x14ac:dyDescent="0.3">
      <c r="B865" s="24">
        <f>MODEL!K866</f>
        <v>1</v>
      </c>
      <c r="C865" s="26">
        <f>MODEL!Q866</f>
        <v>390.79660218890803</v>
      </c>
    </row>
    <row r="866" spans="2:3" x14ac:dyDescent="0.3">
      <c r="B866" s="24">
        <f>MODEL!K867</f>
        <v>0</v>
      </c>
      <c r="C866" s="26">
        <f>MODEL!Q867</f>
        <v>576.31462267602456</v>
      </c>
    </row>
    <row r="867" spans="2:3" x14ac:dyDescent="0.3">
      <c r="B867" s="24">
        <f>MODEL!K868</f>
        <v>0</v>
      </c>
      <c r="C867" s="26">
        <f>MODEL!Q868</f>
        <v>506.87596593478384</v>
      </c>
    </row>
    <row r="868" spans="2:3" x14ac:dyDescent="0.3">
      <c r="B868" s="24">
        <f>MODEL!K869</f>
        <v>0</v>
      </c>
      <c r="C868" s="26">
        <f>MODEL!Q869</f>
        <v>482.8899371574455</v>
      </c>
    </row>
    <row r="869" spans="2:3" x14ac:dyDescent="0.3">
      <c r="B869" s="24">
        <f>MODEL!K870</f>
        <v>1</v>
      </c>
      <c r="C869" s="26">
        <f>MODEL!Q870</f>
        <v>466.94032686884185</v>
      </c>
    </row>
    <row r="870" spans="2:3" x14ac:dyDescent="0.3">
      <c r="B870" s="24">
        <f>MODEL!K871</f>
        <v>1</v>
      </c>
      <c r="C870" s="26">
        <f>MODEL!Q871</f>
        <v>507.23757880890957</v>
      </c>
    </row>
    <row r="871" spans="2:3" x14ac:dyDescent="0.3">
      <c r="B871" s="24">
        <f>MODEL!K872</f>
        <v>0</v>
      </c>
      <c r="C871" s="26">
        <f>MODEL!Q872</f>
        <v>507.93705602165949</v>
      </c>
    </row>
    <row r="872" spans="2:3" x14ac:dyDescent="0.3">
      <c r="B872" s="24">
        <f>MODEL!K873</f>
        <v>0</v>
      </c>
      <c r="C872" s="26">
        <f>MODEL!Q873</f>
        <v>481.9355099261569</v>
      </c>
    </row>
    <row r="873" spans="2:3" x14ac:dyDescent="0.3">
      <c r="B873" s="24">
        <f>MODEL!K874</f>
        <v>0</v>
      </c>
      <c r="C873" s="26">
        <f>MODEL!Q874</f>
        <v>627.47839067551445</v>
      </c>
    </row>
    <row r="874" spans="2:3" x14ac:dyDescent="0.3">
      <c r="B874" s="24">
        <f>MODEL!K875</f>
        <v>0</v>
      </c>
      <c r="C874" s="26">
        <f>MODEL!Q875</f>
        <v>523.29938684580588</v>
      </c>
    </row>
    <row r="875" spans="2:3" x14ac:dyDescent="0.3">
      <c r="B875" s="24">
        <f>MODEL!K876</f>
        <v>1</v>
      </c>
      <c r="C875" s="26">
        <f>MODEL!Q876</f>
        <v>433.75781420918599</v>
      </c>
    </row>
    <row r="876" spans="2:3" x14ac:dyDescent="0.3">
      <c r="B876" s="24">
        <f>MODEL!K877</f>
        <v>1</v>
      </c>
      <c r="C876" s="26">
        <f>MODEL!Q877</f>
        <v>447.39574948943061</v>
      </c>
    </row>
    <row r="877" spans="2:3" x14ac:dyDescent="0.3">
      <c r="B877" s="24">
        <f>MODEL!K878</f>
        <v>0</v>
      </c>
      <c r="C877" s="26">
        <f>MODEL!Q878</f>
        <v>499.02139685776012</v>
      </c>
    </row>
    <row r="878" spans="2:3" x14ac:dyDescent="0.3">
      <c r="B878" s="24">
        <f>MODEL!K879</f>
        <v>1</v>
      </c>
      <c r="C878" s="26">
        <f>MODEL!Q879</f>
        <v>469.80173499008578</v>
      </c>
    </row>
    <row r="879" spans="2:3" x14ac:dyDescent="0.3">
      <c r="B879" s="24">
        <f>MODEL!K880</f>
        <v>1</v>
      </c>
      <c r="C879" s="26">
        <f>MODEL!Q880</f>
        <v>470.82401887903552</v>
      </c>
    </row>
    <row r="880" spans="2:3" x14ac:dyDescent="0.3">
      <c r="B880" s="24">
        <f>MODEL!K881</f>
        <v>0</v>
      </c>
      <c r="C880" s="26">
        <f>MODEL!Q881</f>
        <v>689.06335952762265</v>
      </c>
    </row>
    <row r="881" spans="2:3" x14ac:dyDescent="0.3">
      <c r="B881" s="24">
        <f>MODEL!K882</f>
        <v>1</v>
      </c>
      <c r="C881" s="26">
        <f>MODEL!Q882</f>
        <v>485.88776543520993</v>
      </c>
    </row>
    <row r="882" spans="2:3" x14ac:dyDescent="0.3">
      <c r="B882" s="24">
        <f>MODEL!K883</f>
        <v>1</v>
      </c>
      <c r="C882" s="26">
        <f>MODEL!Q883</f>
        <v>459.75287471186527</v>
      </c>
    </row>
    <row r="883" spans="2:3" x14ac:dyDescent="0.3">
      <c r="B883" s="24">
        <f>MODEL!K884</f>
        <v>0</v>
      </c>
      <c r="C883" s="26">
        <f>MODEL!Q884</f>
        <v>470.12127276799492</v>
      </c>
    </row>
    <row r="884" spans="2:3" x14ac:dyDescent="0.3">
      <c r="B884" s="24">
        <f>MODEL!K885</f>
        <v>0</v>
      </c>
      <c r="C884" s="26">
        <f>MODEL!Q885</f>
        <v>514.06207506341934</v>
      </c>
    </row>
    <row r="885" spans="2:3" x14ac:dyDescent="0.3">
      <c r="B885" s="24">
        <f>MODEL!K886</f>
        <v>1</v>
      </c>
      <c r="C885" s="26">
        <f>MODEL!Q886</f>
        <v>510.00240203487289</v>
      </c>
    </row>
    <row r="886" spans="2:3" x14ac:dyDescent="0.3">
      <c r="B886" s="24">
        <f>MODEL!K887</f>
        <v>0</v>
      </c>
      <c r="C886" s="26">
        <f>MODEL!Q887</f>
        <v>527.3997629262085</v>
      </c>
    </row>
    <row r="887" spans="2:3" x14ac:dyDescent="0.3">
      <c r="B887" s="24">
        <f>MODEL!K888</f>
        <v>0</v>
      </c>
      <c r="C887" s="26">
        <f>MODEL!Q888</f>
        <v>496.27347116911898</v>
      </c>
    </row>
    <row r="888" spans="2:3" x14ac:dyDescent="0.3">
      <c r="B888" s="24">
        <f>MODEL!K889</f>
        <v>1</v>
      </c>
      <c r="C888" s="26">
        <f>MODEL!Q889</f>
        <v>429.3985518207981</v>
      </c>
    </row>
    <row r="889" spans="2:3" x14ac:dyDescent="0.3">
      <c r="B889" s="24">
        <f>MODEL!K890</f>
        <v>0</v>
      </c>
      <c r="C889" s="26">
        <f>MODEL!Q890</f>
        <v>535.61730973961767</v>
      </c>
    </row>
    <row r="890" spans="2:3" x14ac:dyDescent="0.3">
      <c r="B890" s="24">
        <f>MODEL!K891</f>
        <v>0</v>
      </c>
      <c r="C890" s="26">
        <f>MODEL!Q891</f>
        <v>608.47906727998338</v>
      </c>
    </row>
    <row r="891" spans="2:3" x14ac:dyDescent="0.3">
      <c r="B891" s="24">
        <f>MODEL!K892</f>
        <v>1</v>
      </c>
      <c r="C891" s="26">
        <f>MODEL!Q892</f>
        <v>426.47878797338814</v>
      </c>
    </row>
    <row r="892" spans="2:3" x14ac:dyDescent="0.3">
      <c r="B892" s="24">
        <f>MODEL!K893</f>
        <v>0</v>
      </c>
      <c r="C892" s="26">
        <f>MODEL!Q893</f>
        <v>520.26353321027932</v>
      </c>
    </row>
    <row r="893" spans="2:3" x14ac:dyDescent="0.3">
      <c r="B893" s="24">
        <f>MODEL!K894</f>
        <v>0</v>
      </c>
      <c r="C893" s="26">
        <f>MODEL!Q894</f>
        <v>528.44062899117762</v>
      </c>
    </row>
    <row r="894" spans="2:3" x14ac:dyDescent="0.3">
      <c r="B894" s="24">
        <f>MODEL!K895</f>
        <v>0</v>
      </c>
      <c r="C894" s="26">
        <f>MODEL!Q895</f>
        <v>510.48939269542126</v>
      </c>
    </row>
    <row r="895" spans="2:3" x14ac:dyDescent="0.3">
      <c r="B895" s="24">
        <f>MODEL!K896</f>
        <v>0</v>
      </c>
      <c r="C895" s="26">
        <f>MODEL!Q896</f>
        <v>517.8690052687241</v>
      </c>
    </row>
    <row r="896" spans="2:3" x14ac:dyDescent="0.3">
      <c r="B896" s="24">
        <f>MODEL!K897</f>
        <v>0</v>
      </c>
      <c r="C896" s="26">
        <f>MODEL!Q897</f>
        <v>558.49892425175983</v>
      </c>
    </row>
    <row r="897" spans="2:3" x14ac:dyDescent="0.3">
      <c r="B897" s="24">
        <f>MODEL!K898</f>
        <v>0</v>
      </c>
      <c r="C897" s="26">
        <f>MODEL!Q898</f>
        <v>468.71531667223593</v>
      </c>
    </row>
    <row r="898" spans="2:3" x14ac:dyDescent="0.3">
      <c r="B898" s="24">
        <f>MODEL!K899</f>
        <v>1</v>
      </c>
      <c r="C898" s="26">
        <f>MODEL!Q899</f>
        <v>487.8623365511022</v>
      </c>
    </row>
    <row r="899" spans="2:3" x14ac:dyDescent="0.3">
      <c r="B899" s="24">
        <f>MODEL!K900</f>
        <v>1</v>
      </c>
      <c r="C899" s="26">
        <f>MODEL!Q900</f>
        <v>470.5591782528881</v>
      </c>
    </row>
    <row r="900" spans="2:3" x14ac:dyDescent="0.3">
      <c r="B900" s="24">
        <f>MODEL!K901</f>
        <v>1</v>
      </c>
      <c r="C900" s="26">
        <f>MODEL!Q901</f>
        <v>511.25417160990276</v>
      </c>
    </row>
    <row r="901" spans="2:3" x14ac:dyDescent="0.3">
      <c r="B901" s="24">
        <f>MODEL!K902</f>
        <v>0</v>
      </c>
      <c r="C901" s="26">
        <f>MODEL!Q902</f>
        <v>538.07545363499128</v>
      </c>
    </row>
    <row r="902" spans="2:3" x14ac:dyDescent="0.3">
      <c r="B902" s="24">
        <f>MODEL!K903</f>
        <v>1</v>
      </c>
      <c r="C902" s="26">
        <f>MODEL!Q903</f>
        <v>486.19092417515731</v>
      </c>
    </row>
    <row r="903" spans="2:3" x14ac:dyDescent="0.3">
      <c r="B903" s="24">
        <f>MODEL!K904</f>
        <v>1</v>
      </c>
      <c r="C903" s="26">
        <f>MODEL!Q904</f>
        <v>469.83627029930329</v>
      </c>
    </row>
    <row r="904" spans="2:3" x14ac:dyDescent="0.3">
      <c r="B904" s="24">
        <f>MODEL!K905</f>
        <v>0</v>
      </c>
      <c r="C904" s="26">
        <f>MODEL!Q905</f>
        <v>479.52613405928901</v>
      </c>
    </row>
    <row r="905" spans="2:3" x14ac:dyDescent="0.3">
      <c r="B905" s="24">
        <f>MODEL!K906</f>
        <v>1</v>
      </c>
      <c r="C905" s="26">
        <f>MODEL!Q906</f>
        <v>509.40414311631912</v>
      </c>
    </row>
    <row r="906" spans="2:3" x14ac:dyDescent="0.3">
      <c r="B906" s="24">
        <f>MODEL!K907</f>
        <v>1</v>
      </c>
      <c r="C906" s="26">
        <f>MODEL!Q907</f>
        <v>446.21476052125661</v>
      </c>
    </row>
    <row r="907" spans="2:3" x14ac:dyDescent="0.3">
      <c r="B907" s="24">
        <f>MODEL!K908</f>
        <v>1</v>
      </c>
      <c r="C907" s="26">
        <f>MODEL!Q908</f>
        <v>469.63255916240178</v>
      </c>
    </row>
    <row r="908" spans="2:3" x14ac:dyDescent="0.3">
      <c r="B908" s="24">
        <f>MODEL!K909</f>
        <v>1</v>
      </c>
      <c r="C908" s="26">
        <f>MODEL!Q909</f>
        <v>498.51596527458963</v>
      </c>
    </row>
    <row r="909" spans="2:3" x14ac:dyDescent="0.3">
      <c r="B909" s="24">
        <f>MODEL!K910</f>
        <v>0</v>
      </c>
      <c r="C909" s="26">
        <f>MODEL!Q910</f>
        <v>494.33912400193344</v>
      </c>
    </row>
    <row r="910" spans="2:3" x14ac:dyDescent="0.3">
      <c r="B910" s="24">
        <f>MODEL!K911</f>
        <v>0</v>
      </c>
      <c r="C910" s="26">
        <f>MODEL!Q911</f>
        <v>554.0887443936748</v>
      </c>
    </row>
    <row r="911" spans="2:3" x14ac:dyDescent="0.3">
      <c r="B911" s="24">
        <f>MODEL!K912</f>
        <v>1</v>
      </c>
      <c r="C911" s="26">
        <f>MODEL!Q912</f>
        <v>484.25716042821944</v>
      </c>
    </row>
    <row r="912" spans="2:3" x14ac:dyDescent="0.3">
      <c r="B912" s="24">
        <f>MODEL!K913</f>
        <v>0</v>
      </c>
      <c r="C912" s="26">
        <f>MODEL!Q913</f>
        <v>574.26232023107434</v>
      </c>
    </row>
    <row r="913" spans="2:3" x14ac:dyDescent="0.3">
      <c r="B913" s="24">
        <f>MODEL!K914</f>
        <v>0</v>
      </c>
      <c r="C913" s="26">
        <f>MODEL!Q914</f>
        <v>592.44403124892665</v>
      </c>
    </row>
    <row r="914" spans="2:3" x14ac:dyDescent="0.3">
      <c r="B914" s="24">
        <f>MODEL!K915</f>
        <v>1</v>
      </c>
      <c r="C914" s="26">
        <f>MODEL!Q915</f>
        <v>401.37886934828634</v>
      </c>
    </row>
    <row r="915" spans="2:3" x14ac:dyDescent="0.3">
      <c r="B915" s="24">
        <f>MODEL!K916</f>
        <v>0</v>
      </c>
      <c r="C915" s="26">
        <f>MODEL!Q916</f>
        <v>480.4249207691127</v>
      </c>
    </row>
    <row r="916" spans="2:3" x14ac:dyDescent="0.3">
      <c r="B916" s="24">
        <f>MODEL!K917</f>
        <v>0</v>
      </c>
      <c r="C916" s="26">
        <f>MODEL!Q917</f>
        <v>490.68777779036645</v>
      </c>
    </row>
    <row r="917" spans="2:3" x14ac:dyDescent="0.3">
      <c r="B917" s="24">
        <f>MODEL!K918</f>
        <v>1</v>
      </c>
      <c r="C917" s="26">
        <f>MODEL!Q918</f>
        <v>473.49864648997328</v>
      </c>
    </row>
    <row r="918" spans="2:3" x14ac:dyDescent="0.3">
      <c r="B918" s="24">
        <f>MODEL!K919</f>
        <v>0</v>
      </c>
      <c r="C918" s="26">
        <f>MODEL!Q919</f>
        <v>479.50885088067986</v>
      </c>
    </row>
    <row r="919" spans="2:3" x14ac:dyDescent="0.3">
      <c r="B919" s="24">
        <f>MODEL!K920</f>
        <v>1</v>
      </c>
      <c r="C919" s="26">
        <f>MODEL!Q920</f>
        <v>495.98572730093053</v>
      </c>
    </row>
    <row r="920" spans="2:3" x14ac:dyDescent="0.3">
      <c r="B920" s="24">
        <f>MODEL!K921</f>
        <v>0</v>
      </c>
      <c r="C920" s="26">
        <f>MODEL!Q921</f>
        <v>509.89524201896518</v>
      </c>
    </row>
    <row r="921" spans="2:3" x14ac:dyDescent="0.3">
      <c r="B921" s="24">
        <f>MODEL!K922</f>
        <v>1</v>
      </c>
      <c r="C921" s="26">
        <f>MODEL!Q922</f>
        <v>387.89799582278368</v>
      </c>
    </row>
    <row r="922" spans="2:3" x14ac:dyDescent="0.3">
      <c r="B922" s="24">
        <f>MODEL!K923</f>
        <v>0</v>
      </c>
      <c r="C922" s="26">
        <f>MODEL!Q923</f>
        <v>599.58312916930083</v>
      </c>
    </row>
    <row r="923" spans="2:3" x14ac:dyDescent="0.3">
      <c r="B923" s="24">
        <f>MODEL!K924</f>
        <v>0</v>
      </c>
      <c r="C923" s="26">
        <f>MODEL!Q924</f>
        <v>515.99770580721906</v>
      </c>
    </row>
    <row r="924" spans="2:3" x14ac:dyDescent="0.3">
      <c r="B924" s="24">
        <f>MODEL!K925</f>
        <v>1</v>
      </c>
      <c r="C924" s="26">
        <f>MODEL!Q925</f>
        <v>440.37584441545812</v>
      </c>
    </row>
    <row r="925" spans="2:3" x14ac:dyDescent="0.3">
      <c r="B925" s="24">
        <f>MODEL!K926</f>
        <v>1</v>
      </c>
      <c r="C925" s="26">
        <f>MODEL!Q926</f>
        <v>480.46437615960753</v>
      </c>
    </row>
    <row r="926" spans="2:3" x14ac:dyDescent="0.3">
      <c r="B926" s="24">
        <f>MODEL!K927</f>
        <v>1</v>
      </c>
      <c r="C926" s="26">
        <f>MODEL!Q927</f>
        <v>367.43359097115291</v>
      </c>
    </row>
    <row r="927" spans="2:3" x14ac:dyDescent="0.3">
      <c r="B927" s="24">
        <f>MODEL!K928</f>
        <v>1</v>
      </c>
      <c r="C927" s="26">
        <f>MODEL!Q928</f>
        <v>437.71127672260354</v>
      </c>
    </row>
    <row r="928" spans="2:3" x14ac:dyDescent="0.3">
      <c r="B928" s="24">
        <f>MODEL!K929</f>
        <v>0</v>
      </c>
      <c r="C928" s="26">
        <f>MODEL!Q929</f>
        <v>615.27760909719586</v>
      </c>
    </row>
    <row r="929" spans="2:3" x14ac:dyDescent="0.3">
      <c r="B929" s="24">
        <f>MODEL!K930</f>
        <v>1</v>
      </c>
      <c r="C929" s="26">
        <f>MODEL!Q930</f>
        <v>494.58882027874319</v>
      </c>
    </row>
    <row r="930" spans="2:3" x14ac:dyDescent="0.3">
      <c r="B930" s="24">
        <f>MODEL!K931</f>
        <v>0</v>
      </c>
      <c r="C930" s="26">
        <f>MODEL!Q931</f>
        <v>644.4336925609158</v>
      </c>
    </row>
    <row r="931" spans="2:3" x14ac:dyDescent="0.3">
      <c r="B931" s="24">
        <f>MODEL!K932</f>
        <v>0</v>
      </c>
      <c r="C931" s="26">
        <f>MODEL!Q932</f>
        <v>500.01870768662485</v>
      </c>
    </row>
    <row r="932" spans="2:3" x14ac:dyDescent="0.3">
      <c r="B932" s="24">
        <f>MODEL!K933</f>
        <v>1</v>
      </c>
      <c r="C932" s="26">
        <f>MODEL!Q933</f>
        <v>429.05998455486201</v>
      </c>
    </row>
    <row r="933" spans="2:3" x14ac:dyDescent="0.3">
      <c r="B933" s="24">
        <f>MODEL!K934</f>
        <v>1</v>
      </c>
      <c r="C933" s="26">
        <f>MODEL!Q934</f>
        <v>540.70905796586317</v>
      </c>
    </row>
    <row r="934" spans="2:3" x14ac:dyDescent="0.3">
      <c r="B934" s="24">
        <f>MODEL!K935</f>
        <v>1</v>
      </c>
      <c r="C934" s="26">
        <f>MODEL!Q935</f>
        <v>477.03211184798005</v>
      </c>
    </row>
    <row r="935" spans="2:3" x14ac:dyDescent="0.3">
      <c r="B935" s="24">
        <f>MODEL!K936</f>
        <v>0</v>
      </c>
      <c r="C935" s="26">
        <f>MODEL!Q936</f>
        <v>571.67843608204078</v>
      </c>
    </row>
    <row r="936" spans="2:3" x14ac:dyDescent="0.3">
      <c r="B936" s="24">
        <f>MODEL!K937</f>
        <v>1</v>
      </c>
      <c r="C936" s="26">
        <f>MODEL!Q937</f>
        <v>481.56389690940068</v>
      </c>
    </row>
    <row r="937" spans="2:3" x14ac:dyDescent="0.3">
      <c r="B937" s="24">
        <f>MODEL!K938</f>
        <v>0</v>
      </c>
      <c r="C937" s="26">
        <f>MODEL!Q938</f>
        <v>519.45173773507224</v>
      </c>
    </row>
    <row r="938" spans="2:3" x14ac:dyDescent="0.3">
      <c r="B938" s="24">
        <f>MODEL!K939</f>
        <v>0</v>
      </c>
      <c r="C938" s="26">
        <f>MODEL!Q939</f>
        <v>474.1422220191256</v>
      </c>
    </row>
    <row r="939" spans="2:3" x14ac:dyDescent="0.3">
      <c r="B939" s="24">
        <f>MODEL!K940</f>
        <v>1</v>
      </c>
      <c r="C939" s="26">
        <f>MODEL!Q940</f>
        <v>485.87196447161728</v>
      </c>
    </row>
    <row r="940" spans="2:3" x14ac:dyDescent="0.3">
      <c r="B940" s="24">
        <f>MODEL!K941</f>
        <v>0</v>
      </c>
      <c r="C940" s="26">
        <f>MODEL!Q941</f>
        <v>551.68084485670272</v>
      </c>
    </row>
    <row r="941" spans="2:3" x14ac:dyDescent="0.3">
      <c r="B941" s="24">
        <f>MODEL!K942</f>
        <v>0</v>
      </c>
      <c r="C941" s="26">
        <f>MODEL!Q942</f>
        <v>507.64554101483742</v>
      </c>
    </row>
    <row r="942" spans="2:3" x14ac:dyDescent="0.3">
      <c r="B942" s="24">
        <f>MODEL!K943</f>
        <v>1</v>
      </c>
      <c r="C942" s="26">
        <f>MODEL!Q943</f>
        <v>424.78807635848852</v>
      </c>
    </row>
    <row r="943" spans="2:3" x14ac:dyDescent="0.3">
      <c r="B943" s="24">
        <f>MODEL!K944</f>
        <v>1</v>
      </c>
      <c r="C943" s="26">
        <f>MODEL!Q944</f>
        <v>503.21244307802243</v>
      </c>
    </row>
    <row r="944" spans="2:3" x14ac:dyDescent="0.3">
      <c r="B944" s="24">
        <f>MODEL!K945</f>
        <v>0</v>
      </c>
      <c r="C944" s="26">
        <f>MODEL!Q945</f>
        <v>494.73024520457329</v>
      </c>
    </row>
    <row r="945" spans="2:3" x14ac:dyDescent="0.3">
      <c r="B945" s="24">
        <f>MODEL!K946</f>
        <v>0</v>
      </c>
      <c r="C945" s="26">
        <f>MODEL!Q946</f>
        <v>494.4089538741498</v>
      </c>
    </row>
    <row r="946" spans="2:3" x14ac:dyDescent="0.3">
      <c r="B946" s="24">
        <f>MODEL!K947</f>
        <v>0</v>
      </c>
      <c r="C946" s="26">
        <f>MODEL!Q947</f>
        <v>449.95591815836423</v>
      </c>
    </row>
    <row r="947" spans="2:3" x14ac:dyDescent="0.3">
      <c r="B947" s="24">
        <f>MODEL!K948</f>
        <v>0</v>
      </c>
      <c r="C947" s="26">
        <f>MODEL!Q948</f>
        <v>490.49063656270584</v>
      </c>
    </row>
    <row r="948" spans="2:3" x14ac:dyDescent="0.3">
      <c r="B948" s="24">
        <f>MODEL!K949</f>
        <v>1</v>
      </c>
      <c r="C948" s="26">
        <f>MODEL!Q949</f>
        <v>402.08003423419655</v>
      </c>
    </row>
    <row r="949" spans="2:3" x14ac:dyDescent="0.3">
      <c r="B949" s="24">
        <f>MODEL!K950</f>
        <v>1</v>
      </c>
      <c r="C949" s="26">
        <f>MODEL!Q950</f>
        <v>479.19536907311249</v>
      </c>
    </row>
    <row r="950" spans="2:3" x14ac:dyDescent="0.3">
      <c r="B950" s="24">
        <f>MODEL!K951</f>
        <v>0</v>
      </c>
      <c r="C950" s="26">
        <f>MODEL!Q951</f>
        <v>616.74214868723311</v>
      </c>
    </row>
    <row r="951" spans="2:3" x14ac:dyDescent="0.3">
      <c r="B951" s="24">
        <f>MODEL!K952</f>
        <v>1</v>
      </c>
      <c r="C951" s="26">
        <f>MODEL!Q952</f>
        <v>495.5217205773672</v>
      </c>
    </row>
    <row r="952" spans="2:3" x14ac:dyDescent="0.3">
      <c r="B952" s="24">
        <f>MODEL!K953</f>
        <v>1</v>
      </c>
      <c r="C952" s="26">
        <f>MODEL!Q953</f>
        <v>427.98887974665001</v>
      </c>
    </row>
    <row r="953" spans="2:3" x14ac:dyDescent="0.3">
      <c r="B953" s="24">
        <f>MODEL!K954</f>
        <v>0</v>
      </c>
      <c r="C953" s="26">
        <f>MODEL!Q954</f>
        <v>504.47884083548087</v>
      </c>
    </row>
    <row r="954" spans="2:3" x14ac:dyDescent="0.3">
      <c r="B954" s="24">
        <f>MODEL!K955</f>
        <v>0</v>
      </c>
      <c r="C954" s="26">
        <f>MODEL!Q955</f>
        <v>490.39157059542163</v>
      </c>
    </row>
    <row r="955" spans="2:3" x14ac:dyDescent="0.3">
      <c r="B955" s="24">
        <f>MODEL!K956</f>
        <v>0</v>
      </c>
      <c r="C955" s="26">
        <f>MODEL!Q956</f>
        <v>506.02386298065528</v>
      </c>
    </row>
    <row r="956" spans="2:3" x14ac:dyDescent="0.3">
      <c r="B956" s="24">
        <f>MODEL!K957</f>
        <v>0</v>
      </c>
      <c r="C956" s="26">
        <f>MODEL!Q957</f>
        <v>482.14062422343193</v>
      </c>
    </row>
    <row r="957" spans="2:3" x14ac:dyDescent="0.3">
      <c r="B957" s="24">
        <f>MODEL!K958</f>
        <v>0</v>
      </c>
      <c r="C957" s="26">
        <f>MODEL!Q958</f>
        <v>525.8589285007306</v>
      </c>
    </row>
    <row r="958" spans="2:3" x14ac:dyDescent="0.3">
      <c r="B958" s="24">
        <f>MODEL!K959</f>
        <v>1</v>
      </c>
      <c r="C958" s="26">
        <f>MODEL!Q959</f>
        <v>444.83816112126794</v>
      </c>
    </row>
    <row r="959" spans="2:3" x14ac:dyDescent="0.3">
      <c r="B959" s="24">
        <f>MODEL!K960</f>
        <v>0</v>
      </c>
      <c r="C959" s="26">
        <f>MODEL!Q960</f>
        <v>526.90141922893588</v>
      </c>
    </row>
    <row r="960" spans="2:3" x14ac:dyDescent="0.3">
      <c r="B960" s="24">
        <f>MODEL!K961</f>
        <v>0</v>
      </c>
      <c r="C960" s="26">
        <f>MODEL!Q961</f>
        <v>485.40869854918003</v>
      </c>
    </row>
    <row r="961" spans="2:3" x14ac:dyDescent="0.3">
      <c r="B961" s="24">
        <f>MODEL!K962</f>
        <v>1</v>
      </c>
      <c r="C961" s="26">
        <f>MODEL!Q962</f>
        <v>461.93338458807091</v>
      </c>
    </row>
    <row r="962" spans="2:3" x14ac:dyDescent="0.3">
      <c r="B962" s="24">
        <f>MODEL!K963</f>
        <v>1</v>
      </c>
      <c r="C962" s="26">
        <f>MODEL!Q963</f>
        <v>475.33224826504789</v>
      </c>
    </row>
    <row r="963" spans="2:3" x14ac:dyDescent="0.3">
      <c r="B963" s="24">
        <f>MODEL!K964</f>
        <v>0</v>
      </c>
      <c r="C963" s="26">
        <f>MODEL!Q964</f>
        <v>584.80697587883151</v>
      </c>
    </row>
    <row r="964" spans="2:3" x14ac:dyDescent="0.3">
      <c r="B964" s="24">
        <f>MODEL!K965</f>
        <v>0</v>
      </c>
      <c r="C964" s="26">
        <f>MODEL!Q965</f>
        <v>563.83894970994163</v>
      </c>
    </row>
    <row r="965" spans="2:3" x14ac:dyDescent="0.3">
      <c r="B965" s="24">
        <f>MODEL!K966</f>
        <v>1</v>
      </c>
      <c r="C965" s="26">
        <f>MODEL!Q966</f>
        <v>486.51752618823775</v>
      </c>
    </row>
    <row r="966" spans="2:3" x14ac:dyDescent="0.3">
      <c r="B966" s="24">
        <f>MODEL!K967</f>
        <v>1</v>
      </c>
      <c r="C966" s="26">
        <f>MODEL!Q967</f>
        <v>527.75000662576758</v>
      </c>
    </row>
    <row r="967" spans="2:3" x14ac:dyDescent="0.3">
      <c r="B967" s="24">
        <f>MODEL!K968</f>
        <v>0</v>
      </c>
      <c r="C967" s="26">
        <f>MODEL!Q968</f>
        <v>638.90194377411046</v>
      </c>
    </row>
    <row r="968" spans="2:3" x14ac:dyDescent="0.3">
      <c r="B968" s="24">
        <f>MODEL!K969</f>
        <v>1</v>
      </c>
      <c r="C968" s="26">
        <f>MODEL!Q969</f>
        <v>477.41185174799858</v>
      </c>
    </row>
    <row r="969" spans="2:3" x14ac:dyDescent="0.3">
      <c r="B969" s="24">
        <f>MODEL!K970</f>
        <v>0</v>
      </c>
      <c r="C969" s="26">
        <f>MODEL!Q970</f>
        <v>480.2608139857021</v>
      </c>
    </row>
    <row r="970" spans="2:3" x14ac:dyDescent="0.3">
      <c r="B970" s="24">
        <f>MODEL!K971</f>
        <v>0</v>
      </c>
      <c r="C970" s="26">
        <f>MODEL!Q971</f>
        <v>690.35785541142798</v>
      </c>
    </row>
    <row r="971" spans="2:3" x14ac:dyDescent="0.3">
      <c r="B971" s="24">
        <f>MODEL!K972</f>
        <v>0</v>
      </c>
      <c r="C971" s="26">
        <f>MODEL!Q972</f>
        <v>488.46884331459637</v>
      </c>
    </row>
    <row r="972" spans="2:3" x14ac:dyDescent="0.3">
      <c r="B972" s="24">
        <f>MODEL!K973</f>
        <v>1</v>
      </c>
      <c r="C972" s="26">
        <f>MODEL!Q973</f>
        <v>523.48026698525109</v>
      </c>
    </row>
    <row r="973" spans="2:3" x14ac:dyDescent="0.3">
      <c r="B973" s="24">
        <f>MODEL!K974</f>
        <v>1</v>
      </c>
      <c r="C973" s="26">
        <f>MODEL!Q974</f>
        <v>486.57264003095719</v>
      </c>
    </row>
    <row r="974" spans="2:3" x14ac:dyDescent="0.3">
      <c r="B974" s="24">
        <f>MODEL!K975</f>
        <v>1</v>
      </c>
      <c r="C974" s="26">
        <f>MODEL!Q975</f>
        <v>451.26203209660429</v>
      </c>
    </row>
    <row r="975" spans="2:3" x14ac:dyDescent="0.3">
      <c r="B975" s="24">
        <f>MODEL!K976</f>
        <v>1</v>
      </c>
      <c r="C975" s="26">
        <f>MODEL!Q976</f>
        <v>439.85027990056597</v>
      </c>
    </row>
    <row r="976" spans="2:3" x14ac:dyDescent="0.3">
      <c r="B976" s="24">
        <f>MODEL!K977</f>
        <v>0</v>
      </c>
      <c r="C976" s="26">
        <f>MODEL!Q977</f>
        <v>549.99373947788104</v>
      </c>
    </row>
    <row r="977" spans="2:3" x14ac:dyDescent="0.3">
      <c r="B977" s="24">
        <f>MODEL!K978</f>
        <v>0</v>
      </c>
      <c r="C977" s="26">
        <f>MODEL!Q978</f>
        <v>542.13265842299052</v>
      </c>
    </row>
    <row r="978" spans="2:3" x14ac:dyDescent="0.3">
      <c r="B978" s="24">
        <f>MODEL!K979</f>
        <v>0</v>
      </c>
      <c r="C978" s="26">
        <f>MODEL!Q979</f>
        <v>507.39456556433731</v>
      </c>
    </row>
    <row r="979" spans="2:3" x14ac:dyDescent="0.3">
      <c r="B979" s="24">
        <f>MODEL!K980</f>
        <v>1</v>
      </c>
      <c r="C979" s="26">
        <f>MODEL!Q980</f>
        <v>498.82082672624097</v>
      </c>
    </row>
    <row r="980" spans="2:3" x14ac:dyDescent="0.3">
      <c r="B980" s="24">
        <f>MODEL!K981</f>
        <v>0</v>
      </c>
      <c r="C980" s="26">
        <f>MODEL!Q981</f>
        <v>516.84005967267149</v>
      </c>
    </row>
    <row r="981" spans="2:3" x14ac:dyDescent="0.3">
      <c r="B981" s="24">
        <f>MODEL!K982</f>
        <v>1</v>
      </c>
      <c r="C981" s="26">
        <f>MODEL!Q982</f>
        <v>526.35017962714358</v>
      </c>
    </row>
    <row r="982" spans="2:3" x14ac:dyDescent="0.3">
      <c r="B982" s="24">
        <f>MODEL!K983</f>
        <v>0</v>
      </c>
      <c r="C982" s="26">
        <f>MODEL!Q983</f>
        <v>610.18038291877247</v>
      </c>
    </row>
    <row r="983" spans="2:3" x14ac:dyDescent="0.3">
      <c r="B983" s="24">
        <f>MODEL!K984</f>
        <v>0</v>
      </c>
      <c r="C983" s="26">
        <f>MODEL!Q984</f>
        <v>542.11678541748756</v>
      </c>
    </row>
    <row r="984" spans="2:3" x14ac:dyDescent="0.3">
      <c r="B984" s="24">
        <f>MODEL!K985</f>
        <v>1</v>
      </c>
      <c r="C984" s="26">
        <f>MODEL!Q985</f>
        <v>537.29196995392556</v>
      </c>
    </row>
    <row r="985" spans="2:3" x14ac:dyDescent="0.3">
      <c r="B985" s="24">
        <f>MODEL!K986</f>
        <v>0</v>
      </c>
      <c r="C985" s="26">
        <f>MODEL!Q986</f>
        <v>510.83982043063935</v>
      </c>
    </row>
    <row r="986" spans="2:3" x14ac:dyDescent="0.3">
      <c r="B986" s="24">
        <f>MODEL!K987</f>
        <v>0</v>
      </c>
      <c r="C986" s="26">
        <f>MODEL!Q987</f>
        <v>495.75570443748137</v>
      </c>
    </row>
    <row r="987" spans="2:3" x14ac:dyDescent="0.3">
      <c r="B987" s="24">
        <f>MODEL!K988</f>
        <v>0</v>
      </c>
      <c r="C987" s="26">
        <f>MODEL!Q988</f>
        <v>564.46422991608415</v>
      </c>
    </row>
    <row r="988" spans="2:3" x14ac:dyDescent="0.3">
      <c r="B988" s="24">
        <f>MODEL!K989</f>
        <v>1</v>
      </c>
      <c r="C988" s="26">
        <f>MODEL!Q989</f>
        <v>559.47987848138314</v>
      </c>
    </row>
    <row r="989" spans="2:3" x14ac:dyDescent="0.3">
      <c r="B989" s="24">
        <f>MODEL!K990</f>
        <v>1</v>
      </c>
      <c r="C989" s="26">
        <f>MODEL!Q990</f>
        <v>380.15995328544426</v>
      </c>
    </row>
    <row r="990" spans="2:3" x14ac:dyDescent="0.3">
      <c r="B990" s="24">
        <f>MODEL!K991</f>
        <v>1</v>
      </c>
      <c r="C990" s="26">
        <f>MODEL!Q991</f>
        <v>456.01668998231241</v>
      </c>
    </row>
    <row r="991" spans="2:3" x14ac:dyDescent="0.3">
      <c r="B991" s="24">
        <f>MODEL!K992</f>
        <v>0</v>
      </c>
      <c r="C991" s="26">
        <f>MODEL!Q992</f>
        <v>641.01652356169927</v>
      </c>
    </row>
    <row r="992" spans="2:3" x14ac:dyDescent="0.3">
      <c r="B992" s="24">
        <f>MODEL!K993</f>
        <v>0</v>
      </c>
      <c r="C992" s="26">
        <f>MODEL!Q993</f>
        <v>500.24923536424689</v>
      </c>
    </row>
    <row r="993" spans="2:3" x14ac:dyDescent="0.3">
      <c r="B993" s="24">
        <f>MODEL!K994</f>
        <v>0</v>
      </c>
      <c r="C993" s="26">
        <f>MODEL!Q994</f>
        <v>527.60959668464557</v>
      </c>
    </row>
    <row r="994" spans="2:3" x14ac:dyDescent="0.3">
      <c r="B994" s="24">
        <f>MODEL!K995</f>
        <v>0</v>
      </c>
      <c r="C994" s="26">
        <f>MODEL!Q995</f>
        <v>689.61641464793308</v>
      </c>
    </row>
    <row r="995" spans="2:3" x14ac:dyDescent="0.3">
      <c r="B995" s="24">
        <f>MODEL!K996</f>
        <v>1</v>
      </c>
      <c r="C995" s="26">
        <f>MODEL!Q996</f>
        <v>348.96769971934503</v>
      </c>
    </row>
    <row r="996" spans="2:3" x14ac:dyDescent="0.3">
      <c r="B996" s="24">
        <f>MODEL!K997</f>
        <v>0</v>
      </c>
      <c r="C996" s="26">
        <f>MODEL!Q997</f>
        <v>519.83313447925923</v>
      </c>
    </row>
    <row r="997" spans="2:3" x14ac:dyDescent="0.3">
      <c r="B997" s="24">
        <f>MODEL!K998</f>
        <v>0</v>
      </c>
      <c r="C997" s="26">
        <f>MODEL!Q998</f>
        <v>580.07438963890058</v>
      </c>
    </row>
    <row r="998" spans="2:3" x14ac:dyDescent="0.3">
      <c r="B998" s="24">
        <f>MODEL!K999</f>
        <v>0</v>
      </c>
      <c r="C998" s="26">
        <f>MODEL!Q999</f>
        <v>525.64426893222037</v>
      </c>
    </row>
    <row r="999" spans="2:3" x14ac:dyDescent="0.3">
      <c r="B999" s="24">
        <f>MODEL!K1000</f>
        <v>1</v>
      </c>
      <c r="C999" s="26">
        <f>MODEL!Q1000</f>
        <v>476.25461962006449</v>
      </c>
    </row>
    <row r="1000" spans="2:3" x14ac:dyDescent="0.3">
      <c r="B1000" s="24">
        <f>MODEL!K1001</f>
        <v>1</v>
      </c>
      <c r="C1000" s="26">
        <f>MODEL!Q1001</f>
        <v>467.76834811004574</v>
      </c>
    </row>
    <row r="1001" spans="2:3" x14ac:dyDescent="0.3">
      <c r="B1001" s="24">
        <f>MODEL!K1002</f>
        <v>1</v>
      </c>
      <c r="C1001" s="26">
        <f>MODEL!Q1002</f>
        <v>439.84663647809833</v>
      </c>
    </row>
    <row r="1002" spans="2:3" x14ac:dyDescent="0.3">
      <c r="B1002" s="24">
        <f>MODEL!K1003</f>
        <v>1</v>
      </c>
      <c r="C1002" s="26">
        <f>MODEL!Q1003</f>
        <v>492.45698206843667</v>
      </c>
    </row>
    <row r="1003" spans="2:3" x14ac:dyDescent="0.3">
      <c r="B1003" s="24">
        <f>MODEL!K1004</f>
        <v>0</v>
      </c>
      <c r="C1003" s="26">
        <f>MODEL!Q1004</f>
        <v>529.43932239509752</v>
      </c>
    </row>
    <row r="1004" spans="2:3" x14ac:dyDescent="0.3">
      <c r="B1004" s="24">
        <f>MODEL!K1005</f>
        <v>0</v>
      </c>
      <c r="C1004" s="26">
        <f>MODEL!Q1005</f>
        <v>515.5200046482762</v>
      </c>
    </row>
    <row r="1005" spans="2:3" x14ac:dyDescent="0.3">
      <c r="B1005" s="24">
        <f>MODEL!K1006</f>
        <v>0</v>
      </c>
      <c r="C1005" s="26">
        <f>MODEL!Q1006</f>
        <v>508.55466024598337</v>
      </c>
    </row>
    <row r="1006" spans="2:3" x14ac:dyDescent="0.3">
      <c r="B1006" s="24">
        <f>MODEL!K1007</f>
        <v>0</v>
      </c>
      <c r="C1006" s="26">
        <f>MODEL!Q1007</f>
        <v>581.51081616251452</v>
      </c>
    </row>
    <row r="1007" spans="2:3" x14ac:dyDescent="0.3">
      <c r="B1007" s="24">
        <f>MODEL!K1008</f>
        <v>0</v>
      </c>
      <c r="C1007" s="26">
        <f>MODEL!Q1008</f>
        <v>484.68109333139375</v>
      </c>
    </row>
    <row r="1008" spans="2:3" x14ac:dyDescent="0.3">
      <c r="B1008" s="24">
        <f>MODEL!K1009</f>
        <v>0</v>
      </c>
      <c r="C1008" s="26">
        <f>MODEL!Q1009</f>
        <v>536.33452050773019</v>
      </c>
    </row>
    <row r="1009" spans="2:3" x14ac:dyDescent="0.3">
      <c r="B1009" s="24">
        <f>MODEL!K1010</f>
        <v>1</v>
      </c>
      <c r="C1009" s="26">
        <f>MODEL!Q1010</f>
        <v>433.10829587246633</v>
      </c>
    </row>
    <row r="1010" spans="2:3" x14ac:dyDescent="0.3">
      <c r="B1010" s="24">
        <f>MODEL!K1011</f>
        <v>0</v>
      </c>
      <c r="C1010" s="26">
        <f>MODEL!Q1011</f>
        <v>554.21818007165257</v>
      </c>
    </row>
    <row r="1011" spans="2:3" x14ac:dyDescent="0.3">
      <c r="B1011" s="24">
        <f>MODEL!K1012</f>
        <v>0</v>
      </c>
      <c r="C1011" s="26">
        <f>MODEL!Q1012</f>
        <v>562.99379401853889</v>
      </c>
    </row>
    <row r="1012" spans="2:3" x14ac:dyDescent="0.3">
      <c r="B1012" s="24">
        <f>MODEL!K1013</f>
        <v>0</v>
      </c>
      <c r="C1012" s="26">
        <f>MODEL!Q1013</f>
        <v>661.19260257488304</v>
      </c>
    </row>
    <row r="1013" spans="2:3" x14ac:dyDescent="0.3">
      <c r="B1013" s="24">
        <f>MODEL!K1014</f>
        <v>1</v>
      </c>
      <c r="C1013" s="26">
        <f>MODEL!Q1014</f>
        <v>459.02740494927252</v>
      </c>
    </row>
    <row r="1014" spans="2:3" x14ac:dyDescent="0.3">
      <c r="B1014" s="24">
        <f>MODEL!K1015</f>
        <v>0</v>
      </c>
      <c r="C1014" s="26">
        <f>MODEL!Q1015</f>
        <v>658.20363543751</v>
      </c>
    </row>
    <row r="1015" spans="2:3" x14ac:dyDescent="0.3">
      <c r="B1015" s="24">
        <f>MODEL!K1016</f>
        <v>0</v>
      </c>
      <c r="C1015" s="26">
        <f>MODEL!Q1016</f>
        <v>465.43232766794642</v>
      </c>
    </row>
    <row r="1016" spans="2:3" x14ac:dyDescent="0.3">
      <c r="B1016" s="24">
        <f>MODEL!K1017</f>
        <v>1</v>
      </c>
      <c r="C1016" s="26">
        <f>MODEL!Q1017</f>
        <v>360.10493299940663</v>
      </c>
    </row>
    <row r="1017" spans="2:3" x14ac:dyDescent="0.3">
      <c r="B1017" s="24">
        <f>MODEL!K1018</f>
        <v>0</v>
      </c>
      <c r="C1017" s="26">
        <f>MODEL!Q1018</f>
        <v>497.99862336212607</v>
      </c>
    </row>
    <row r="1018" spans="2:3" x14ac:dyDescent="0.3">
      <c r="B1018" s="24">
        <f>MODEL!K1019</f>
        <v>1</v>
      </c>
      <c r="C1018" s="26">
        <f>MODEL!Q1019</f>
        <v>493.42949786877062</v>
      </c>
    </row>
    <row r="1019" spans="2:3" x14ac:dyDescent="0.3">
      <c r="B1019" s="24">
        <f>MODEL!K1020</f>
        <v>0</v>
      </c>
      <c r="C1019" s="26">
        <f>MODEL!Q1020</f>
        <v>584.34126822352346</v>
      </c>
    </row>
    <row r="1020" spans="2:3" x14ac:dyDescent="0.3">
      <c r="B1020" s="24">
        <f>MODEL!K1021</f>
        <v>0</v>
      </c>
      <c r="C1020" s="26">
        <f>MODEL!Q1021</f>
        <v>497.88435713609385</v>
      </c>
    </row>
    <row r="1021" spans="2:3" x14ac:dyDescent="0.3">
      <c r="B1021" s="24">
        <f>MODEL!K1022</f>
        <v>1</v>
      </c>
      <c r="C1021" s="26">
        <f>MODEL!Q1022</f>
        <v>483.25904602003374</v>
      </c>
    </row>
    <row r="1022" spans="2:3" x14ac:dyDescent="0.3">
      <c r="B1022" s="24">
        <f>MODEL!K1023</f>
        <v>0</v>
      </c>
      <c r="C1022" s="26">
        <f>MODEL!Q1023</f>
        <v>691.66729552180323</v>
      </c>
    </row>
    <row r="1023" spans="2:3" x14ac:dyDescent="0.3">
      <c r="B1023" s="24">
        <f>MODEL!K1024</f>
        <v>1</v>
      </c>
      <c r="C1023" s="26">
        <f>MODEL!Q1024</f>
        <v>479.93724085947883</v>
      </c>
    </row>
    <row r="1024" spans="2:3" x14ac:dyDescent="0.3">
      <c r="B1024" s="24">
        <f>MODEL!K1025</f>
        <v>0</v>
      </c>
      <c r="C1024" s="26">
        <f>MODEL!Q1025</f>
        <v>480.04774324920027</v>
      </c>
    </row>
    <row r="1025" spans="2:3" x14ac:dyDescent="0.3">
      <c r="B1025" s="24">
        <f>MODEL!K1026</f>
        <v>0</v>
      </c>
      <c r="C1025" s="26">
        <f>MODEL!Q1026</f>
        <v>617.29638426894121</v>
      </c>
    </row>
    <row r="1026" spans="2:3" x14ac:dyDescent="0.3">
      <c r="B1026" s="24">
        <f>MODEL!K1027</f>
        <v>1</v>
      </c>
      <c r="C1026" s="26">
        <f>MODEL!Q1027</f>
        <v>487.01059774386619</v>
      </c>
    </row>
    <row r="1027" spans="2:3" x14ac:dyDescent="0.3">
      <c r="B1027" s="24">
        <f>MODEL!K1028</f>
        <v>0</v>
      </c>
      <c r="C1027" s="26">
        <f>MODEL!Q1028</f>
        <v>557.12434177703847</v>
      </c>
    </row>
    <row r="1028" spans="2:3" x14ac:dyDescent="0.3">
      <c r="B1028" s="24">
        <f>MODEL!K1029</f>
        <v>1</v>
      </c>
      <c r="C1028" s="26">
        <f>MODEL!Q1029</f>
        <v>482.31779282155236</v>
      </c>
    </row>
    <row r="1029" spans="2:3" x14ac:dyDescent="0.3">
      <c r="B1029" s="24">
        <f>MODEL!K1030</f>
        <v>1</v>
      </c>
      <c r="C1029" s="26">
        <f>MODEL!Q1030</f>
        <v>519.94700046706078</v>
      </c>
    </row>
    <row r="1030" spans="2:3" x14ac:dyDescent="0.3">
      <c r="B1030" s="24">
        <f>MODEL!K1031</f>
        <v>0</v>
      </c>
      <c r="C1030" s="26">
        <f>MODEL!Q1031</f>
        <v>560.86276519023158</v>
      </c>
    </row>
    <row r="1031" spans="2:3" x14ac:dyDescent="0.3">
      <c r="B1031" s="24">
        <f>MODEL!K1032</f>
        <v>0</v>
      </c>
      <c r="C1031" s="26">
        <f>MODEL!Q1032</f>
        <v>533.83279310185117</v>
      </c>
    </row>
    <row r="1032" spans="2:3" x14ac:dyDescent="0.3">
      <c r="B1032" s="24">
        <f>MODEL!K1033</f>
        <v>0</v>
      </c>
      <c r="C1032" s="26">
        <f>MODEL!Q1033</f>
        <v>593.53404867482254</v>
      </c>
    </row>
    <row r="1033" spans="2:3" x14ac:dyDescent="0.3">
      <c r="B1033" s="24">
        <f>MODEL!K1034</f>
        <v>0</v>
      </c>
      <c r="C1033" s="26">
        <f>MODEL!Q1034</f>
        <v>493.68716491092107</v>
      </c>
    </row>
    <row r="1034" spans="2:3" x14ac:dyDescent="0.3">
      <c r="B1034" s="24">
        <f>MODEL!K1035</f>
        <v>1</v>
      </c>
      <c r="C1034" s="26">
        <f>MODEL!Q1035</f>
        <v>451.39820133221633</v>
      </c>
    </row>
    <row r="1035" spans="2:3" x14ac:dyDescent="0.3">
      <c r="B1035" s="24">
        <f>MODEL!K1036</f>
        <v>1</v>
      </c>
      <c r="C1035" s="26">
        <f>MODEL!Q1036</f>
        <v>548.08548634861995</v>
      </c>
    </row>
    <row r="1036" spans="2:3" x14ac:dyDescent="0.3">
      <c r="B1036" s="24">
        <f>MODEL!K1037</f>
        <v>1</v>
      </c>
      <c r="C1036" s="26">
        <f>MODEL!Q1037</f>
        <v>510.84295599128143</v>
      </c>
    </row>
    <row r="1037" spans="2:3" x14ac:dyDescent="0.3">
      <c r="B1037" s="24">
        <f>MODEL!K1038</f>
        <v>0</v>
      </c>
      <c r="C1037" s="26">
        <f>MODEL!Q1038</f>
        <v>484.36389646099218</v>
      </c>
    </row>
    <row r="1038" spans="2:3" x14ac:dyDescent="0.3">
      <c r="B1038" s="24">
        <f>MODEL!K1039</f>
        <v>0</v>
      </c>
      <c r="C1038" s="26">
        <f>MODEL!Q1039</f>
        <v>492.6391346846076</v>
      </c>
    </row>
    <row r="1039" spans="2:3" x14ac:dyDescent="0.3">
      <c r="B1039" s="24">
        <f>MODEL!K1040</f>
        <v>1</v>
      </c>
      <c r="C1039" s="26">
        <f>MODEL!Q1040</f>
        <v>495.84309782429062</v>
      </c>
    </row>
    <row r="1040" spans="2:3" x14ac:dyDescent="0.3">
      <c r="B1040" s="24">
        <f>MODEL!K1041</f>
        <v>0</v>
      </c>
      <c r="C1040" s="26">
        <f>MODEL!Q1041</f>
        <v>543.23840859274833</v>
      </c>
    </row>
    <row r="1041" spans="2:3" x14ac:dyDescent="0.3">
      <c r="B1041" s="24">
        <f>MODEL!K1042</f>
        <v>1</v>
      </c>
      <c r="C1041" s="26">
        <f>MODEL!Q1042</f>
        <v>416.71130754156229</v>
      </c>
    </row>
    <row r="1042" spans="2:3" x14ac:dyDescent="0.3">
      <c r="B1042" s="24">
        <f>MODEL!K1043</f>
        <v>0</v>
      </c>
      <c r="C1042" s="26">
        <f>MODEL!Q1043</f>
        <v>482.19463454392474</v>
      </c>
    </row>
    <row r="1043" spans="2:3" x14ac:dyDescent="0.3">
      <c r="B1043" s="24">
        <f>MODEL!K1044</f>
        <v>1</v>
      </c>
      <c r="C1043" s="26">
        <f>MODEL!Q1044</f>
        <v>453.11435523617797</v>
      </c>
    </row>
    <row r="1044" spans="2:3" x14ac:dyDescent="0.3">
      <c r="B1044" s="24">
        <f>MODEL!K1045</f>
        <v>1</v>
      </c>
      <c r="C1044" s="26">
        <f>MODEL!Q1045</f>
        <v>529.94710844023473</v>
      </c>
    </row>
    <row r="1045" spans="2:3" x14ac:dyDescent="0.3">
      <c r="B1045" s="24">
        <f>MODEL!K1046</f>
        <v>0</v>
      </c>
      <c r="C1045" s="26">
        <f>MODEL!Q1046</f>
        <v>492.37020199980867</v>
      </c>
    </row>
    <row r="1046" spans="2:3" x14ac:dyDescent="0.3">
      <c r="B1046" s="24">
        <f>MODEL!K1047</f>
        <v>1</v>
      </c>
      <c r="C1046" s="26">
        <f>MODEL!Q1047</f>
        <v>445.66665858856891</v>
      </c>
    </row>
    <row r="1047" spans="2:3" x14ac:dyDescent="0.3">
      <c r="B1047" s="24">
        <f>MODEL!K1048</f>
        <v>1</v>
      </c>
      <c r="C1047" s="26">
        <f>MODEL!Q1048</f>
        <v>454.35148479733039</v>
      </c>
    </row>
    <row r="1048" spans="2:3" x14ac:dyDescent="0.3">
      <c r="B1048" s="24">
        <f>MODEL!K1049</f>
        <v>0</v>
      </c>
      <c r="C1048" s="26">
        <f>MODEL!Q1049</f>
        <v>577.85601303740202</v>
      </c>
    </row>
    <row r="1049" spans="2:3" x14ac:dyDescent="0.3">
      <c r="B1049" s="24">
        <f>MODEL!K1050</f>
        <v>1</v>
      </c>
      <c r="C1049" s="26">
        <f>MODEL!Q1050</f>
        <v>461.33322876312138</v>
      </c>
    </row>
    <row r="1050" spans="2:3" x14ac:dyDescent="0.3">
      <c r="B1050" s="24">
        <f>MODEL!K1051</f>
        <v>0</v>
      </c>
      <c r="C1050" s="26">
        <f>MODEL!Q1051</f>
        <v>531.42658676758663</v>
      </c>
    </row>
    <row r="1051" spans="2:3" x14ac:dyDescent="0.3">
      <c r="B1051" s="24">
        <f>MODEL!K1052</f>
        <v>1</v>
      </c>
      <c r="C1051" s="26">
        <f>MODEL!Q1052</f>
        <v>462.92863540771475</v>
      </c>
    </row>
    <row r="1052" spans="2:3" x14ac:dyDescent="0.3">
      <c r="B1052" s="24">
        <f>MODEL!K1053</f>
        <v>0</v>
      </c>
      <c r="C1052" s="26">
        <f>MODEL!Q1053</f>
        <v>656.23916103275019</v>
      </c>
    </row>
    <row r="1053" spans="2:3" x14ac:dyDescent="0.3">
      <c r="B1053" s="24">
        <f>MODEL!K1054</f>
        <v>0</v>
      </c>
      <c r="C1053" s="26">
        <f>MODEL!Q1054</f>
        <v>514.57369757052891</v>
      </c>
    </row>
    <row r="1054" spans="2:3" x14ac:dyDescent="0.3">
      <c r="B1054" s="24">
        <f>MODEL!K1055</f>
        <v>0</v>
      </c>
      <c r="C1054" s="26">
        <f>MODEL!Q1055</f>
        <v>603.29645839406464</v>
      </c>
    </row>
    <row r="1055" spans="2:3" x14ac:dyDescent="0.3">
      <c r="B1055" s="24">
        <f>MODEL!K1056</f>
        <v>0</v>
      </c>
      <c r="C1055" s="26">
        <f>MODEL!Q1056</f>
        <v>458.71282792866754</v>
      </c>
    </row>
    <row r="1056" spans="2:3" x14ac:dyDescent="0.3">
      <c r="B1056" s="24">
        <f>MODEL!K1057</f>
        <v>0</v>
      </c>
      <c r="C1056" s="26">
        <f>MODEL!Q1057</f>
        <v>523.40647762473213</v>
      </c>
    </row>
    <row r="1057" spans="2:3" x14ac:dyDescent="0.3">
      <c r="B1057" s="24">
        <f>MODEL!K1058</f>
        <v>0</v>
      </c>
      <c r="C1057" s="26">
        <f>MODEL!Q1058</f>
        <v>586.42887410278809</v>
      </c>
    </row>
    <row r="1058" spans="2:3" x14ac:dyDescent="0.3">
      <c r="B1058" s="24">
        <f>MODEL!K1059</f>
        <v>1</v>
      </c>
      <c r="C1058" s="26">
        <f>MODEL!Q1059</f>
        <v>418.601130718734</v>
      </c>
    </row>
    <row r="1059" spans="2:3" x14ac:dyDescent="0.3">
      <c r="B1059" s="24">
        <f>MODEL!K1060</f>
        <v>0</v>
      </c>
      <c r="C1059" s="26">
        <f>MODEL!Q1060</f>
        <v>542.83447708567905</v>
      </c>
    </row>
    <row r="1060" spans="2:3" x14ac:dyDescent="0.3">
      <c r="B1060" s="24">
        <f>MODEL!K1061</f>
        <v>0</v>
      </c>
      <c r="C1060" s="26">
        <f>MODEL!Q1061</f>
        <v>600.76206511795635</v>
      </c>
    </row>
    <row r="1061" spans="2:3" x14ac:dyDescent="0.3">
      <c r="B1061" s="24">
        <f>MODEL!K1062</f>
        <v>0</v>
      </c>
      <c r="C1061" s="26">
        <f>MODEL!Q1062</f>
        <v>463.03887238982242</v>
      </c>
    </row>
    <row r="1062" spans="2:3" x14ac:dyDescent="0.3">
      <c r="B1062" s="24">
        <f>MODEL!K1063</f>
        <v>1</v>
      </c>
      <c r="C1062" s="26">
        <f>MODEL!Q1063</f>
        <v>478.41252131637498</v>
      </c>
    </row>
    <row r="1063" spans="2:3" x14ac:dyDescent="0.3">
      <c r="B1063" s="24">
        <f>MODEL!K1064</f>
        <v>0</v>
      </c>
      <c r="C1063" s="26">
        <f>MODEL!Q1064</f>
        <v>508.87265224244425</v>
      </c>
    </row>
    <row r="1064" spans="2:3" x14ac:dyDescent="0.3">
      <c r="B1064" s="24">
        <f>MODEL!K1065</f>
        <v>0</v>
      </c>
      <c r="C1064" s="26">
        <f>MODEL!Q1065</f>
        <v>641.8972009838684</v>
      </c>
    </row>
    <row r="1065" spans="2:3" x14ac:dyDescent="0.3">
      <c r="B1065" s="24">
        <f>MODEL!K1066</f>
        <v>0</v>
      </c>
      <c r="C1065" s="26">
        <f>MODEL!Q1066</f>
        <v>474.99739065808308</v>
      </c>
    </row>
    <row r="1066" spans="2:3" x14ac:dyDescent="0.3">
      <c r="B1066" s="24">
        <f>MODEL!K1067</f>
        <v>0</v>
      </c>
      <c r="C1066" s="26">
        <f>MODEL!Q1067</f>
        <v>539.85828827153546</v>
      </c>
    </row>
    <row r="1067" spans="2:3" x14ac:dyDescent="0.3">
      <c r="B1067" s="24">
        <f>MODEL!K1068</f>
        <v>1</v>
      </c>
      <c r="C1067" s="26">
        <f>MODEL!Q1068</f>
        <v>440.15673727365356</v>
      </c>
    </row>
    <row r="1068" spans="2:3" x14ac:dyDescent="0.3">
      <c r="B1068" s="24">
        <f>MODEL!K1069</f>
        <v>0</v>
      </c>
      <c r="C1068" s="26">
        <f>MODEL!Q1069</f>
        <v>523.26882921834044</v>
      </c>
    </row>
    <row r="1069" spans="2:3" x14ac:dyDescent="0.3">
      <c r="B1069" s="24">
        <f>MODEL!K1070</f>
        <v>0</v>
      </c>
      <c r="C1069" s="26">
        <f>MODEL!Q1070</f>
        <v>482.82418066293849</v>
      </c>
    </row>
    <row r="1070" spans="2:3" x14ac:dyDescent="0.3">
      <c r="B1070" s="24">
        <f>MODEL!K1071</f>
        <v>0</v>
      </c>
      <c r="C1070" s="26">
        <f>MODEL!Q1071</f>
        <v>502.13650442883227</v>
      </c>
    </row>
    <row r="1071" spans="2:3" x14ac:dyDescent="0.3">
      <c r="B1071" s="24">
        <f>MODEL!K1072</f>
        <v>1</v>
      </c>
      <c r="C1071" s="26">
        <f>MODEL!Q1072</f>
        <v>476.96205761468804</v>
      </c>
    </row>
    <row r="1072" spans="2:3" x14ac:dyDescent="0.3">
      <c r="B1072" s="24">
        <f>MODEL!K1073</f>
        <v>0</v>
      </c>
      <c r="C1072" s="26">
        <f>MODEL!Q1073</f>
        <v>487.49767205036488</v>
      </c>
    </row>
    <row r="1073" spans="2:3" x14ac:dyDescent="0.3">
      <c r="B1073" s="24">
        <f>MODEL!K1074</f>
        <v>0</v>
      </c>
      <c r="C1073" s="26">
        <f>MODEL!Q1074</f>
        <v>495.9212886856626</v>
      </c>
    </row>
    <row r="1074" spans="2:3" x14ac:dyDescent="0.3">
      <c r="B1074" s="24">
        <f>MODEL!K1075</f>
        <v>1</v>
      </c>
      <c r="C1074" s="26">
        <f>MODEL!Q1075</f>
        <v>527.54150785850516</v>
      </c>
    </row>
    <row r="1075" spans="2:3" x14ac:dyDescent="0.3">
      <c r="B1075" s="24">
        <f>MODEL!K1076</f>
        <v>1</v>
      </c>
      <c r="C1075" s="26">
        <f>MODEL!Q1076</f>
        <v>488.49247685427542</v>
      </c>
    </row>
    <row r="1076" spans="2:3" x14ac:dyDescent="0.3">
      <c r="B1076" s="24">
        <f>MODEL!K1077</f>
        <v>1</v>
      </c>
      <c r="C1076" s="26">
        <f>MODEL!Q1077</f>
        <v>477.27367806868097</v>
      </c>
    </row>
    <row r="1077" spans="2:3" x14ac:dyDescent="0.3">
      <c r="B1077" s="24">
        <f>MODEL!K1078</f>
        <v>0</v>
      </c>
      <c r="C1077" s="26">
        <f>MODEL!Q1078</f>
        <v>508.6087314509868</v>
      </c>
    </row>
    <row r="1078" spans="2:3" x14ac:dyDescent="0.3">
      <c r="B1078" s="24">
        <f>MODEL!K1079</f>
        <v>1</v>
      </c>
      <c r="C1078" s="26">
        <f>MODEL!Q1079</f>
        <v>437.52966480469752</v>
      </c>
    </row>
    <row r="1079" spans="2:3" x14ac:dyDescent="0.3">
      <c r="B1079" s="24">
        <f>MODEL!K1080</f>
        <v>0</v>
      </c>
      <c r="C1079" s="26">
        <f>MODEL!Q1080</f>
        <v>531.93987425218893</v>
      </c>
    </row>
    <row r="1080" spans="2:3" x14ac:dyDescent="0.3">
      <c r="B1080" s="24">
        <f>MODEL!K1081</f>
        <v>0</v>
      </c>
      <c r="C1080" s="26">
        <f>MODEL!Q1081</f>
        <v>542.53221194092953</v>
      </c>
    </row>
    <row r="1081" spans="2:3" x14ac:dyDescent="0.3">
      <c r="B1081" s="24">
        <f>MODEL!K1082</f>
        <v>1</v>
      </c>
      <c r="C1081" s="26">
        <f>MODEL!Q1082</f>
        <v>472.45640115059808</v>
      </c>
    </row>
    <row r="1082" spans="2:3" x14ac:dyDescent="0.3">
      <c r="B1082" s="24">
        <f>MODEL!K1083</f>
        <v>0</v>
      </c>
      <c r="C1082" s="26">
        <f>MODEL!Q1083</f>
        <v>506.34904078536323</v>
      </c>
    </row>
    <row r="1083" spans="2:3" x14ac:dyDescent="0.3">
      <c r="B1083" s="24">
        <f>MODEL!K1084</f>
        <v>0</v>
      </c>
      <c r="C1083" s="26">
        <f>MODEL!Q1084</f>
        <v>720.07693413753861</v>
      </c>
    </row>
    <row r="1084" spans="2:3" x14ac:dyDescent="0.3">
      <c r="B1084" s="24">
        <f>MODEL!K1085</f>
        <v>0</v>
      </c>
      <c r="C1084" s="26">
        <f>MODEL!Q1085</f>
        <v>512.4501389678544</v>
      </c>
    </row>
    <row r="1085" spans="2:3" x14ac:dyDescent="0.3">
      <c r="B1085" s="24">
        <f>MODEL!K1086</f>
        <v>0</v>
      </c>
      <c r="C1085" s="26">
        <f>MODEL!Q1086</f>
        <v>491.48849776550242</v>
      </c>
    </row>
    <row r="1086" spans="2:3" x14ac:dyDescent="0.3">
      <c r="B1086" s="24">
        <f>MODEL!K1087</f>
        <v>0</v>
      </c>
      <c r="C1086" s="26">
        <f>MODEL!Q1087</f>
        <v>671.24179893307814</v>
      </c>
    </row>
    <row r="1087" spans="2:3" x14ac:dyDescent="0.3">
      <c r="B1087" s="24">
        <f>MODEL!K1088</f>
        <v>1</v>
      </c>
      <c r="C1087" s="26">
        <f>MODEL!Q1088</f>
        <v>438.29108957589523</v>
      </c>
    </row>
    <row r="1088" spans="2:3" x14ac:dyDescent="0.3">
      <c r="B1088" s="24">
        <f>MODEL!K1089</f>
        <v>1</v>
      </c>
      <c r="C1088" s="26">
        <f>MODEL!Q1089</f>
        <v>462.14947667085295</v>
      </c>
    </row>
    <row r="1089" spans="2:3" x14ac:dyDescent="0.3">
      <c r="B1089" s="24">
        <f>MODEL!K1090</f>
        <v>1</v>
      </c>
      <c r="C1089" s="26">
        <f>MODEL!Q1090</f>
        <v>536.13134390128846</v>
      </c>
    </row>
    <row r="1090" spans="2:3" x14ac:dyDescent="0.3">
      <c r="B1090" s="24">
        <f>MODEL!K1091</f>
        <v>1</v>
      </c>
      <c r="C1090" s="26">
        <f>MODEL!Q1091</f>
        <v>430.65103589398296</v>
      </c>
    </row>
    <row r="1091" spans="2:3" x14ac:dyDescent="0.3">
      <c r="B1091" s="24">
        <f>MODEL!K1092</f>
        <v>0</v>
      </c>
      <c r="C1091" s="26">
        <f>MODEL!Q1092</f>
        <v>543.35695473358953</v>
      </c>
    </row>
    <row r="1092" spans="2:3" x14ac:dyDescent="0.3">
      <c r="B1092" s="24">
        <f>MODEL!K1093</f>
        <v>0</v>
      </c>
      <c r="C1092" s="26">
        <f>MODEL!Q1093</f>
        <v>544.86908972996378</v>
      </c>
    </row>
    <row r="1093" spans="2:3" x14ac:dyDescent="0.3">
      <c r="B1093" s="24">
        <f>MODEL!K1094</f>
        <v>0</v>
      </c>
      <c r="C1093" s="26">
        <f>MODEL!Q1094</f>
        <v>556.96352453548934</v>
      </c>
    </row>
    <row r="1094" spans="2:3" x14ac:dyDescent="0.3">
      <c r="B1094" s="24">
        <f>MODEL!K1095</f>
        <v>0</v>
      </c>
      <c r="C1094" s="26">
        <f>MODEL!Q1095</f>
        <v>784.61338075877552</v>
      </c>
    </row>
    <row r="1095" spans="2:3" x14ac:dyDescent="0.3">
      <c r="B1095" s="24">
        <f>MODEL!K1096</f>
        <v>0</v>
      </c>
      <c r="C1095" s="26">
        <f>MODEL!Q1096</f>
        <v>574.95257244879963</v>
      </c>
    </row>
    <row r="1096" spans="2:3" x14ac:dyDescent="0.3">
      <c r="B1096" s="24">
        <f>MODEL!K1097</f>
        <v>0</v>
      </c>
      <c r="C1096" s="26">
        <f>MODEL!Q1097</f>
        <v>498.82144806558739</v>
      </c>
    </row>
    <row r="1097" spans="2:3" x14ac:dyDescent="0.3">
      <c r="B1097" s="24">
        <f>MODEL!K1098</f>
        <v>0</v>
      </c>
      <c r="C1097" s="26">
        <f>MODEL!Q1098</f>
        <v>544.7768148214783</v>
      </c>
    </row>
    <row r="1098" spans="2:3" x14ac:dyDescent="0.3">
      <c r="B1098" s="24">
        <f>MODEL!K1099</f>
        <v>1</v>
      </c>
      <c r="C1098" s="26">
        <f>MODEL!Q1099</f>
        <v>456.4970613490292</v>
      </c>
    </row>
    <row r="1099" spans="2:3" x14ac:dyDescent="0.3">
      <c r="B1099" s="24">
        <f>MODEL!K1100</f>
        <v>0</v>
      </c>
      <c r="C1099" s="26">
        <f>MODEL!Q1100</f>
        <v>651.45804064983759</v>
      </c>
    </row>
    <row r="1100" spans="2:3" x14ac:dyDescent="0.3">
      <c r="B1100" s="24">
        <f>MODEL!K1101</f>
        <v>1</v>
      </c>
      <c r="C1100" s="26">
        <f>MODEL!Q1101</f>
        <v>513.87299159163013</v>
      </c>
    </row>
    <row r="1101" spans="2:3" x14ac:dyDescent="0.3">
      <c r="B1101" s="24">
        <f>MODEL!K1102</f>
        <v>0</v>
      </c>
      <c r="C1101" s="26">
        <f>MODEL!Q1102</f>
        <v>479.01189720928937</v>
      </c>
    </row>
    <row r="1102" spans="2:3" x14ac:dyDescent="0.3">
      <c r="B1102" s="24">
        <f>MODEL!K1103</f>
        <v>0</v>
      </c>
      <c r="C1102" s="26">
        <f>MODEL!Q1103</f>
        <v>555.40985013972863</v>
      </c>
    </row>
    <row r="1103" spans="2:3" x14ac:dyDescent="0.3">
      <c r="B1103" s="24">
        <f>MODEL!K1104</f>
        <v>0</v>
      </c>
      <c r="C1103" s="26">
        <f>MODEL!Q1104</f>
        <v>537.83775317625577</v>
      </c>
    </row>
    <row r="1104" spans="2:3" x14ac:dyDescent="0.3">
      <c r="B1104" s="24">
        <f>MODEL!K1105</f>
        <v>0</v>
      </c>
      <c r="C1104" s="26">
        <f>MODEL!Q1105</f>
        <v>551.92674695666381</v>
      </c>
    </row>
    <row r="1105" spans="2:3" x14ac:dyDescent="0.3">
      <c r="B1105" s="24">
        <f>MODEL!K1106</f>
        <v>1</v>
      </c>
      <c r="C1105" s="26">
        <f>MODEL!Q1106</f>
        <v>456.13970474633123</v>
      </c>
    </row>
    <row r="1106" spans="2:3" x14ac:dyDescent="0.3">
      <c r="B1106" s="24">
        <f>MODEL!K1107</f>
        <v>0</v>
      </c>
      <c r="C1106" s="26">
        <f>MODEL!Q1107</f>
        <v>539.02183904220544</v>
      </c>
    </row>
    <row r="1107" spans="2:3" x14ac:dyDescent="0.3">
      <c r="B1107" s="24">
        <f>MODEL!K1108</f>
        <v>1</v>
      </c>
      <c r="C1107" s="26">
        <f>MODEL!Q1108</f>
        <v>452.71345939164149</v>
      </c>
    </row>
    <row r="1108" spans="2:3" x14ac:dyDescent="0.3">
      <c r="B1108" s="24">
        <f>MODEL!K1109</f>
        <v>1</v>
      </c>
      <c r="C1108" s="26">
        <f>MODEL!Q1109</f>
        <v>494.66457192167746</v>
      </c>
    </row>
    <row r="1109" spans="2:3" x14ac:dyDescent="0.3">
      <c r="B1109" s="24">
        <f>MODEL!K1110</f>
        <v>0</v>
      </c>
      <c r="C1109" s="26">
        <f>MODEL!Q1110</f>
        <v>660.12486981458073</v>
      </c>
    </row>
    <row r="1110" spans="2:3" x14ac:dyDescent="0.3">
      <c r="B1110" s="24">
        <f>MODEL!K1111</f>
        <v>1</v>
      </c>
      <c r="C1110" s="26">
        <f>MODEL!Q1111</f>
        <v>497.57301251775004</v>
      </c>
    </row>
    <row r="1111" spans="2:3" x14ac:dyDescent="0.3">
      <c r="B1111" s="24">
        <f>MODEL!K1112</f>
        <v>0</v>
      </c>
      <c r="C1111" s="26">
        <f>MODEL!Q1112</f>
        <v>631.82473568125192</v>
      </c>
    </row>
    <row r="1112" spans="2:3" x14ac:dyDescent="0.3">
      <c r="B1112" s="24">
        <f>MODEL!K1113</f>
        <v>0</v>
      </c>
      <c r="C1112" s="26">
        <f>MODEL!Q1113</f>
        <v>506.33661526898459</v>
      </c>
    </row>
    <row r="1113" spans="2:3" x14ac:dyDescent="0.3">
      <c r="B1113" s="24">
        <f>MODEL!K1114</f>
        <v>0</v>
      </c>
      <c r="C1113" s="26">
        <f>MODEL!Q1114</f>
        <v>540.86023023659709</v>
      </c>
    </row>
    <row r="1114" spans="2:3" x14ac:dyDescent="0.3">
      <c r="B1114" s="24">
        <f>MODEL!K1115</f>
        <v>1</v>
      </c>
      <c r="C1114" s="26">
        <f>MODEL!Q1115</f>
        <v>466.18225549354668</v>
      </c>
    </row>
    <row r="1115" spans="2:3" x14ac:dyDescent="0.3">
      <c r="B1115" s="24">
        <f>MODEL!K1116</f>
        <v>1</v>
      </c>
      <c r="C1115" s="26">
        <f>MODEL!Q1116</f>
        <v>505.13068088096418</v>
      </c>
    </row>
    <row r="1116" spans="2:3" x14ac:dyDescent="0.3">
      <c r="B1116" s="24">
        <f>MODEL!K1117</f>
        <v>1</v>
      </c>
      <c r="C1116" s="26">
        <f>MODEL!Q1117</f>
        <v>492.60884486636343</v>
      </c>
    </row>
    <row r="1117" spans="2:3" x14ac:dyDescent="0.3">
      <c r="B1117" s="24">
        <f>MODEL!K1118</f>
        <v>0</v>
      </c>
      <c r="C1117" s="26">
        <f>MODEL!Q1118</f>
        <v>552.8961695019276</v>
      </c>
    </row>
    <row r="1118" spans="2:3" x14ac:dyDescent="0.3">
      <c r="B1118" s="24">
        <f>MODEL!K1119</f>
        <v>0</v>
      </c>
      <c r="C1118" s="26">
        <f>MODEL!Q1119</f>
        <v>533.82396097266076</v>
      </c>
    </row>
    <row r="1119" spans="2:3" x14ac:dyDescent="0.3">
      <c r="B1119" s="24">
        <f>MODEL!K1120</f>
        <v>0</v>
      </c>
      <c r="C1119" s="26">
        <f>MODEL!Q1120</f>
        <v>498.68691268401443</v>
      </c>
    </row>
    <row r="1120" spans="2:3" x14ac:dyDescent="0.3">
      <c r="B1120" s="24">
        <f>MODEL!K1121</f>
        <v>0</v>
      </c>
      <c r="C1120" s="26">
        <f>MODEL!Q1121</f>
        <v>508.3125930606746</v>
      </c>
    </row>
    <row r="1121" spans="2:3" x14ac:dyDescent="0.3">
      <c r="B1121" s="24">
        <f>MODEL!K1122</f>
        <v>1</v>
      </c>
      <c r="C1121" s="26">
        <f>MODEL!Q1122</f>
        <v>425.25328482487851</v>
      </c>
    </row>
    <row r="1122" spans="2:3" x14ac:dyDescent="0.3">
      <c r="B1122" s="24">
        <f>MODEL!K1123</f>
        <v>1</v>
      </c>
      <c r="C1122" s="26">
        <f>MODEL!Q1123</f>
        <v>475.19024023677377</v>
      </c>
    </row>
    <row r="1123" spans="2:3" x14ac:dyDescent="0.3">
      <c r="B1123" s="24">
        <f>MODEL!K1124</f>
        <v>1</v>
      </c>
      <c r="C1123" s="26">
        <f>MODEL!Q1124</f>
        <v>443.48327402080071</v>
      </c>
    </row>
    <row r="1124" spans="2:3" x14ac:dyDescent="0.3">
      <c r="B1124" s="24">
        <f>MODEL!K1125</f>
        <v>0</v>
      </c>
      <c r="C1124" s="26">
        <f>MODEL!Q1125</f>
        <v>525.15759876284255</v>
      </c>
    </row>
    <row r="1125" spans="2:3" x14ac:dyDescent="0.3">
      <c r="B1125" s="24">
        <f>MODEL!K1126</f>
        <v>0</v>
      </c>
      <c r="C1125" s="26">
        <f>MODEL!Q1126</f>
        <v>513.4920217978522</v>
      </c>
    </row>
    <row r="1126" spans="2:3" x14ac:dyDescent="0.3">
      <c r="B1126" s="24">
        <f>MODEL!K1127</f>
        <v>0</v>
      </c>
      <c r="C1126" s="26">
        <f>MODEL!Q1127</f>
        <v>752.45146783335304</v>
      </c>
    </row>
    <row r="1127" spans="2:3" x14ac:dyDescent="0.3">
      <c r="B1127" s="24">
        <f>MODEL!K1128</f>
        <v>0</v>
      </c>
      <c r="C1127" s="26">
        <f>MODEL!Q1128</f>
        <v>489.36499515736017</v>
      </c>
    </row>
    <row r="1128" spans="2:3" x14ac:dyDescent="0.3">
      <c r="B1128" s="24">
        <f>MODEL!K1129</f>
        <v>0</v>
      </c>
      <c r="C1128" s="26">
        <f>MODEL!Q1129</f>
        <v>519.78060299819697</v>
      </c>
    </row>
    <row r="1129" spans="2:3" x14ac:dyDescent="0.3">
      <c r="B1129" s="24">
        <f>MODEL!K1130</f>
        <v>0</v>
      </c>
      <c r="C1129" s="26">
        <f>MODEL!Q1130</f>
        <v>593.60594147961467</v>
      </c>
    </row>
    <row r="1130" spans="2:3" x14ac:dyDescent="0.3">
      <c r="B1130" s="24">
        <f>MODEL!K1131</f>
        <v>1</v>
      </c>
      <c r="C1130" s="26">
        <f>MODEL!Q1131</f>
        <v>447.39786307743361</v>
      </c>
    </row>
    <row r="1131" spans="2:3" x14ac:dyDescent="0.3">
      <c r="B1131" s="24">
        <f>MODEL!K1132</f>
        <v>1</v>
      </c>
      <c r="C1131" s="26">
        <f>MODEL!Q1132</f>
        <v>511.12799411573678</v>
      </c>
    </row>
    <row r="1132" spans="2:3" x14ac:dyDescent="0.3">
      <c r="B1132" s="24">
        <f>MODEL!K1133</f>
        <v>1</v>
      </c>
      <c r="C1132" s="26">
        <f>MODEL!Q1133</f>
        <v>432.80324902546141</v>
      </c>
    </row>
    <row r="1133" spans="2:3" x14ac:dyDescent="0.3">
      <c r="B1133" s="24">
        <f>MODEL!K1134</f>
        <v>0</v>
      </c>
      <c r="C1133" s="26">
        <f>MODEL!Q1134</f>
        <v>541.22255141763719</v>
      </c>
    </row>
    <row r="1134" spans="2:3" x14ac:dyDescent="0.3">
      <c r="B1134" s="24">
        <f>MODEL!K1135</f>
        <v>0</v>
      </c>
      <c r="C1134" s="26">
        <f>MODEL!Q1135</f>
        <v>555.22965087198099</v>
      </c>
    </row>
    <row r="1135" spans="2:3" x14ac:dyDescent="0.3">
      <c r="B1135" s="24">
        <f>MODEL!K1136</f>
        <v>0</v>
      </c>
      <c r="C1135" s="26">
        <f>MODEL!Q1136</f>
        <v>462.03637283962883</v>
      </c>
    </row>
    <row r="1136" spans="2:3" x14ac:dyDescent="0.3">
      <c r="B1136" s="24">
        <f>MODEL!K1137</f>
        <v>1</v>
      </c>
      <c r="C1136" s="26">
        <f>MODEL!Q1137</f>
        <v>478.26238842758522</v>
      </c>
    </row>
    <row r="1137" spans="2:3" x14ac:dyDescent="0.3">
      <c r="B1137" s="24">
        <f>MODEL!K1138</f>
        <v>0</v>
      </c>
      <c r="C1137" s="26">
        <f>MODEL!Q1138</f>
        <v>522.57881180759</v>
      </c>
    </row>
    <row r="1138" spans="2:3" x14ac:dyDescent="0.3">
      <c r="B1138" s="24">
        <f>MODEL!K1139</f>
        <v>1</v>
      </c>
      <c r="C1138" s="26">
        <f>MODEL!Q1139</f>
        <v>431.68446596983449</v>
      </c>
    </row>
    <row r="1139" spans="2:3" x14ac:dyDescent="0.3">
      <c r="B1139" s="24">
        <f>MODEL!K1140</f>
        <v>0</v>
      </c>
      <c r="C1139" s="26">
        <f>MODEL!Q1140</f>
        <v>624.17186146089057</v>
      </c>
    </row>
    <row r="1140" spans="2:3" x14ac:dyDescent="0.3">
      <c r="B1140" s="24">
        <f>MODEL!K1141</f>
        <v>0</v>
      </c>
      <c r="C1140" s="26">
        <f>MODEL!Q1141</f>
        <v>705.56570965103242</v>
      </c>
    </row>
    <row r="1141" spans="2:3" x14ac:dyDescent="0.3">
      <c r="B1141" s="24">
        <f>MODEL!K1142</f>
        <v>0</v>
      </c>
      <c r="C1141" s="26">
        <f>MODEL!Q1142</f>
        <v>490.03656926140178</v>
      </c>
    </row>
    <row r="1142" spans="2:3" x14ac:dyDescent="0.3">
      <c r="B1142" s="24">
        <f>MODEL!K1143</f>
        <v>1</v>
      </c>
      <c r="C1142" s="26">
        <f>MODEL!Q1143</f>
        <v>506.57553396029823</v>
      </c>
    </row>
    <row r="1143" spans="2:3" x14ac:dyDescent="0.3">
      <c r="B1143" s="24">
        <f>MODEL!K1144</f>
        <v>1</v>
      </c>
      <c r="C1143" s="26">
        <f>MODEL!Q1144</f>
        <v>453.89146403394437</v>
      </c>
    </row>
    <row r="1144" spans="2:3" x14ac:dyDescent="0.3">
      <c r="B1144" s="24">
        <f>MODEL!K1145</f>
        <v>1</v>
      </c>
      <c r="C1144" s="26">
        <f>MODEL!Q1145</f>
        <v>485.58281916858607</v>
      </c>
    </row>
    <row r="1145" spans="2:3" x14ac:dyDescent="0.3">
      <c r="B1145" s="24">
        <f>MODEL!K1146</f>
        <v>1</v>
      </c>
      <c r="C1145" s="26">
        <f>MODEL!Q1146</f>
        <v>471.94548681572098</v>
      </c>
    </row>
    <row r="1146" spans="2:3" x14ac:dyDescent="0.3">
      <c r="B1146" s="24">
        <f>MODEL!K1147</f>
        <v>1</v>
      </c>
      <c r="C1146" s="26">
        <f>MODEL!Q1147</f>
        <v>418.54518102009723</v>
      </c>
    </row>
    <row r="1147" spans="2:3" x14ac:dyDescent="0.3">
      <c r="B1147" s="24">
        <f>MODEL!K1148</f>
        <v>1</v>
      </c>
      <c r="C1147" s="26">
        <f>MODEL!Q1148</f>
        <v>487.8817852667766</v>
      </c>
    </row>
    <row r="1148" spans="2:3" x14ac:dyDescent="0.3">
      <c r="B1148" s="24">
        <f>MODEL!K1149</f>
        <v>1</v>
      </c>
      <c r="C1148" s="26">
        <f>MODEL!Q1149</f>
        <v>431.43831487174816</v>
      </c>
    </row>
    <row r="1149" spans="2:3" x14ac:dyDescent="0.3">
      <c r="B1149" s="24">
        <f>MODEL!K1150</f>
        <v>0</v>
      </c>
      <c r="C1149" s="26">
        <f>MODEL!Q1150</f>
        <v>531.70673172584804</v>
      </c>
    </row>
    <row r="1150" spans="2:3" x14ac:dyDescent="0.3">
      <c r="B1150" s="24">
        <f>MODEL!K1151</f>
        <v>0</v>
      </c>
      <c r="C1150" s="26">
        <f>MODEL!Q1151</f>
        <v>496.9761344704047</v>
      </c>
    </row>
    <row r="1151" spans="2:3" x14ac:dyDescent="0.3">
      <c r="B1151" s="24">
        <f>MODEL!K1152</f>
        <v>0</v>
      </c>
      <c r="C1151" s="26">
        <f>MODEL!Q1152</f>
        <v>557.02984691896029</v>
      </c>
    </row>
    <row r="1152" spans="2:3" x14ac:dyDescent="0.3">
      <c r="B1152" s="24">
        <f>MODEL!K1153</f>
        <v>0</v>
      </c>
      <c r="C1152" s="26">
        <f>MODEL!Q1153</f>
        <v>572.86370938734353</v>
      </c>
    </row>
    <row r="1153" spans="2:3" x14ac:dyDescent="0.3">
      <c r="B1153" s="24">
        <f>MODEL!K1154</f>
        <v>0</v>
      </c>
      <c r="C1153" s="26">
        <f>MODEL!Q1154</f>
        <v>459.86971414962017</v>
      </c>
    </row>
    <row r="1154" spans="2:3" x14ac:dyDescent="0.3">
      <c r="B1154" s="24">
        <f>MODEL!K1155</f>
        <v>0</v>
      </c>
      <c r="C1154" s="26">
        <f>MODEL!Q1155</f>
        <v>511.36072853146345</v>
      </c>
    </row>
    <row r="1155" spans="2:3" x14ac:dyDescent="0.3">
      <c r="B1155" s="24">
        <f>MODEL!K1156</f>
        <v>0</v>
      </c>
      <c r="C1155" s="26">
        <f>MODEL!Q1156</f>
        <v>524.91696559492698</v>
      </c>
    </row>
    <row r="1156" spans="2:3" x14ac:dyDescent="0.3">
      <c r="B1156" s="24">
        <f>MODEL!K1157</f>
        <v>0</v>
      </c>
      <c r="C1156" s="26">
        <f>MODEL!Q1157</f>
        <v>589.66333277924639</v>
      </c>
    </row>
    <row r="1157" spans="2:3" x14ac:dyDescent="0.3">
      <c r="B1157" s="24">
        <f>MODEL!K1158</f>
        <v>0</v>
      </c>
      <c r="C1157" s="26">
        <f>MODEL!Q1158</f>
        <v>519.18493497076702</v>
      </c>
    </row>
    <row r="1158" spans="2:3" x14ac:dyDescent="0.3">
      <c r="B1158" s="24">
        <f>MODEL!K1159</f>
        <v>0</v>
      </c>
      <c r="C1158" s="26">
        <f>MODEL!Q1159</f>
        <v>561.83104171360617</v>
      </c>
    </row>
    <row r="1159" spans="2:3" x14ac:dyDescent="0.3">
      <c r="B1159" s="24">
        <f>MODEL!K1160</f>
        <v>0</v>
      </c>
      <c r="C1159" s="26">
        <f>MODEL!Q1160</f>
        <v>509.65069576333644</v>
      </c>
    </row>
    <row r="1160" spans="2:3" x14ac:dyDescent="0.3">
      <c r="B1160" s="24">
        <f>MODEL!K1161</f>
        <v>1</v>
      </c>
      <c r="C1160" s="26">
        <f>MODEL!Q1161</f>
        <v>363.26677834477476</v>
      </c>
    </row>
    <row r="1161" spans="2:3" x14ac:dyDescent="0.3">
      <c r="B1161" s="24">
        <f>MODEL!K1162</f>
        <v>0</v>
      </c>
      <c r="C1161" s="26">
        <f>MODEL!Q1162</f>
        <v>501.53533038356591</v>
      </c>
    </row>
    <row r="1162" spans="2:3" x14ac:dyDescent="0.3">
      <c r="B1162" s="24">
        <f>MODEL!K1163</f>
        <v>0</v>
      </c>
      <c r="C1162" s="26">
        <f>MODEL!Q1163</f>
        <v>510.44059593413465</v>
      </c>
    </row>
    <row r="1163" spans="2:3" x14ac:dyDescent="0.3">
      <c r="B1163" s="24">
        <f>MODEL!K1164</f>
        <v>0</v>
      </c>
      <c r="C1163" s="26">
        <f>MODEL!Q1164</f>
        <v>516.9663958447037</v>
      </c>
    </row>
    <row r="1164" spans="2:3" x14ac:dyDescent="0.3">
      <c r="B1164" s="24">
        <f>MODEL!K1165</f>
        <v>0</v>
      </c>
      <c r="C1164" s="26">
        <f>MODEL!Q1165</f>
        <v>679.80371374625611</v>
      </c>
    </row>
    <row r="1165" spans="2:3" x14ac:dyDescent="0.3">
      <c r="B1165" s="24">
        <f>MODEL!K1166</f>
        <v>1</v>
      </c>
      <c r="C1165" s="26">
        <f>MODEL!Q1166</f>
        <v>434.57937103229108</v>
      </c>
    </row>
    <row r="1166" spans="2:3" x14ac:dyDescent="0.3">
      <c r="B1166" s="24">
        <f>MODEL!K1167</f>
        <v>1</v>
      </c>
      <c r="C1166" s="26">
        <f>MODEL!Q1167</f>
        <v>492.39535283031682</v>
      </c>
    </row>
    <row r="1167" spans="2:3" x14ac:dyDescent="0.3">
      <c r="B1167" s="24">
        <f>MODEL!K1168</f>
        <v>0</v>
      </c>
      <c r="C1167" s="26">
        <f>MODEL!Q1168</f>
        <v>561.86215381963871</v>
      </c>
    </row>
    <row r="1168" spans="2:3" x14ac:dyDescent="0.3">
      <c r="B1168" s="24">
        <f>MODEL!K1169</f>
        <v>1</v>
      </c>
      <c r="C1168" s="26">
        <f>MODEL!Q1169</f>
        <v>483.36674369049132</v>
      </c>
    </row>
    <row r="1169" spans="2:3" x14ac:dyDescent="0.3">
      <c r="B1169" s="24">
        <f>MODEL!K1170</f>
        <v>0</v>
      </c>
      <c r="C1169" s="26">
        <f>MODEL!Q1170</f>
        <v>559.85910862307298</v>
      </c>
    </row>
    <row r="1170" spans="2:3" x14ac:dyDescent="0.3">
      <c r="B1170" s="24">
        <f>MODEL!K1171</f>
        <v>0</v>
      </c>
      <c r="C1170" s="26">
        <f>MODEL!Q1171</f>
        <v>471.30989424527161</v>
      </c>
    </row>
    <row r="1171" spans="2:3" x14ac:dyDescent="0.3">
      <c r="B1171" s="24">
        <f>MODEL!K1172</f>
        <v>0</v>
      </c>
      <c r="C1171" s="26">
        <f>MODEL!Q1172</f>
        <v>513.43142611655537</v>
      </c>
    </row>
    <row r="1172" spans="2:3" x14ac:dyDescent="0.3">
      <c r="B1172" s="24">
        <f>MODEL!K1173</f>
        <v>0</v>
      </c>
      <c r="C1172" s="26">
        <f>MODEL!Q1173</f>
        <v>540.65929040857338</v>
      </c>
    </row>
    <row r="1173" spans="2:3" x14ac:dyDescent="0.3">
      <c r="B1173" s="24">
        <f>MODEL!K1174</f>
        <v>1</v>
      </c>
      <c r="C1173" s="26">
        <f>MODEL!Q1174</f>
        <v>512.49168257597489</v>
      </c>
    </row>
    <row r="1174" spans="2:3" x14ac:dyDescent="0.3">
      <c r="B1174" s="24">
        <f>MODEL!K1175</f>
        <v>0</v>
      </c>
      <c r="C1174" s="26">
        <f>MODEL!Q1175</f>
        <v>476.61590891724182</v>
      </c>
    </row>
    <row r="1175" spans="2:3" x14ac:dyDescent="0.3">
      <c r="B1175" s="24">
        <f>MODEL!K1176</f>
        <v>1</v>
      </c>
      <c r="C1175" s="26">
        <f>MODEL!Q1176</f>
        <v>446.22069644281254</v>
      </c>
    </row>
    <row r="1176" spans="2:3" x14ac:dyDescent="0.3">
      <c r="B1176" s="24">
        <f>MODEL!K1177</f>
        <v>0</v>
      </c>
      <c r="C1176" s="26">
        <f>MODEL!Q1177</f>
        <v>499.51471825507821</v>
      </c>
    </row>
    <row r="1177" spans="2:3" x14ac:dyDescent="0.3">
      <c r="B1177" s="24">
        <f>MODEL!K1178</f>
        <v>0</v>
      </c>
      <c r="C1177" s="26">
        <f>MODEL!Q1178</f>
        <v>509.49032549549167</v>
      </c>
    </row>
    <row r="1178" spans="2:3" x14ac:dyDescent="0.3">
      <c r="B1178" s="24">
        <f>MODEL!K1179</f>
        <v>0</v>
      </c>
      <c r="C1178" s="26">
        <f>MODEL!Q1179</f>
        <v>539.40213310211686</v>
      </c>
    </row>
    <row r="1179" spans="2:3" x14ac:dyDescent="0.3">
      <c r="B1179" s="24">
        <f>MODEL!K1180</f>
        <v>1</v>
      </c>
      <c r="C1179" s="26">
        <f>MODEL!Q1180</f>
        <v>442.94333952600027</v>
      </c>
    </row>
    <row r="1180" spans="2:3" x14ac:dyDescent="0.3">
      <c r="B1180" s="24">
        <f>MODEL!K1181</f>
        <v>0</v>
      </c>
      <c r="C1180" s="26">
        <f>MODEL!Q1181</f>
        <v>588.63453452325314</v>
      </c>
    </row>
    <row r="1181" spans="2:3" x14ac:dyDescent="0.3">
      <c r="B1181" s="24">
        <f>MODEL!K1182</f>
        <v>0</v>
      </c>
      <c r="C1181" s="26">
        <f>MODEL!Q1182</f>
        <v>711.62182547423652</v>
      </c>
    </row>
    <row r="1182" spans="2:3" x14ac:dyDescent="0.3">
      <c r="B1182" s="24">
        <f>MODEL!K1183</f>
        <v>0</v>
      </c>
      <c r="C1182" s="26">
        <f>MODEL!Q1183</f>
        <v>536.72781555674817</v>
      </c>
    </row>
    <row r="1183" spans="2:3" x14ac:dyDescent="0.3">
      <c r="B1183" s="24">
        <f>MODEL!K1184</f>
        <v>0</v>
      </c>
      <c r="C1183" s="26">
        <f>MODEL!Q1184</f>
        <v>542.83006316267154</v>
      </c>
    </row>
    <row r="1184" spans="2:3" x14ac:dyDescent="0.3">
      <c r="B1184" s="24">
        <f>MODEL!K1185</f>
        <v>1</v>
      </c>
      <c r="C1184" s="26">
        <f>MODEL!Q1185</f>
        <v>497.75959719652121</v>
      </c>
    </row>
    <row r="1185" spans="2:3" x14ac:dyDescent="0.3">
      <c r="B1185" s="24">
        <f>MODEL!K1186</f>
        <v>0</v>
      </c>
      <c r="C1185" s="26">
        <f>MODEL!Q1186</f>
        <v>518.52796283466182</v>
      </c>
    </row>
    <row r="1186" spans="2:3" x14ac:dyDescent="0.3">
      <c r="B1186" s="24">
        <f>MODEL!K1187</f>
        <v>1</v>
      </c>
      <c r="C1186" s="26">
        <f>MODEL!Q1187</f>
        <v>535.6952247840569</v>
      </c>
    </row>
    <row r="1187" spans="2:3" x14ac:dyDescent="0.3">
      <c r="B1187" s="24">
        <f>MODEL!K1188</f>
        <v>0</v>
      </c>
      <c r="C1187" s="26">
        <f>MODEL!Q1188</f>
        <v>493.10083911574094</v>
      </c>
    </row>
    <row r="1188" spans="2:3" x14ac:dyDescent="0.3">
      <c r="B1188" s="24">
        <f>MODEL!K1189</f>
        <v>1</v>
      </c>
      <c r="C1188" s="26">
        <f>MODEL!Q1189</f>
        <v>488.90568355927974</v>
      </c>
    </row>
    <row r="1189" spans="2:3" x14ac:dyDescent="0.3">
      <c r="B1189" s="24">
        <f>MODEL!K1190</f>
        <v>1</v>
      </c>
      <c r="C1189" s="26">
        <f>MODEL!Q1190</f>
        <v>458.81355652459052</v>
      </c>
    </row>
    <row r="1190" spans="2:3" x14ac:dyDescent="0.3">
      <c r="B1190" s="24">
        <f>MODEL!K1191</f>
        <v>0</v>
      </c>
      <c r="C1190" s="26">
        <f>MODEL!Q1191</f>
        <v>549.44267290948153</v>
      </c>
    </row>
    <row r="1191" spans="2:3" x14ac:dyDescent="0.3">
      <c r="B1191" s="24">
        <f>MODEL!K1192</f>
        <v>0</v>
      </c>
      <c r="C1191" s="26">
        <f>MODEL!Q1192</f>
        <v>526.06981054027085</v>
      </c>
    </row>
    <row r="1192" spans="2:3" x14ac:dyDescent="0.3">
      <c r="B1192" s="24">
        <f>MODEL!K1193</f>
        <v>0</v>
      </c>
      <c r="C1192" s="26">
        <f>MODEL!Q1193</f>
        <v>537.76088983568866</v>
      </c>
    </row>
    <row r="1193" spans="2:3" x14ac:dyDescent="0.3">
      <c r="B1193" s="24">
        <f>MODEL!K1194</f>
        <v>0</v>
      </c>
      <c r="C1193" s="26">
        <f>MODEL!Q1194</f>
        <v>585.461001781503</v>
      </c>
    </row>
    <row r="1194" spans="2:3" x14ac:dyDescent="0.3">
      <c r="B1194" s="24">
        <f>MODEL!K1195</f>
        <v>0</v>
      </c>
      <c r="C1194" s="26">
        <f>MODEL!Q1195</f>
        <v>583.34534860409565</v>
      </c>
    </row>
    <row r="1195" spans="2:3" x14ac:dyDescent="0.3">
      <c r="B1195" s="24">
        <f>MODEL!K1196</f>
        <v>1</v>
      </c>
      <c r="C1195" s="26">
        <f>MODEL!Q1196</f>
        <v>453.64634758493281</v>
      </c>
    </row>
    <row r="1196" spans="2:3" x14ac:dyDescent="0.3">
      <c r="B1196" s="24">
        <f>MODEL!K1197</f>
        <v>1</v>
      </c>
      <c r="C1196" s="26">
        <f>MODEL!Q1197</f>
        <v>477.11790491241209</v>
      </c>
    </row>
    <row r="1197" spans="2:3" x14ac:dyDescent="0.3">
      <c r="B1197" s="24">
        <f>MODEL!K1198</f>
        <v>0</v>
      </c>
      <c r="C1197" s="26">
        <f>MODEL!Q1198</f>
        <v>511.80067913855333</v>
      </c>
    </row>
    <row r="1198" spans="2:3" x14ac:dyDescent="0.3">
      <c r="B1198" s="24">
        <f>MODEL!K1199</f>
        <v>1</v>
      </c>
      <c r="C1198" s="26">
        <f>MODEL!Q1199</f>
        <v>474.29935571130335</v>
      </c>
    </row>
    <row r="1199" spans="2:3" x14ac:dyDescent="0.3">
      <c r="B1199" s="24">
        <f>MODEL!K1200</f>
        <v>0</v>
      </c>
      <c r="C1199" s="26">
        <f>MODEL!Q1200</f>
        <v>519.03343079240369</v>
      </c>
    </row>
    <row r="1200" spans="2:3" x14ac:dyDescent="0.3">
      <c r="B1200" s="24">
        <f>MODEL!K1201</f>
        <v>0</v>
      </c>
      <c r="C1200" s="26">
        <f>MODEL!Q1201</f>
        <v>539.58732640671974</v>
      </c>
    </row>
    <row r="1201" spans="2:3" x14ac:dyDescent="0.3">
      <c r="B1201" s="24">
        <f>MODEL!K1202</f>
        <v>0</v>
      </c>
      <c r="C1201" s="26">
        <f>MODEL!Q1202</f>
        <v>718.69953071081318</v>
      </c>
    </row>
    <row r="1202" spans="2:3" x14ac:dyDescent="0.3">
      <c r="B1202" s="24">
        <f>MODEL!K1203</f>
        <v>0</v>
      </c>
      <c r="C1202" s="26">
        <f>MODEL!Q1203</f>
        <v>500.65652979604329</v>
      </c>
    </row>
    <row r="1203" spans="2:3" x14ac:dyDescent="0.3">
      <c r="B1203" s="24">
        <f>MODEL!K1204</f>
        <v>0</v>
      </c>
      <c r="C1203" s="26">
        <f>MODEL!Q1204</f>
        <v>492.42077941152837</v>
      </c>
    </row>
    <row r="1204" spans="2:3" x14ac:dyDescent="0.3">
      <c r="B1204" s="24">
        <f>MODEL!K1205</f>
        <v>0</v>
      </c>
      <c r="C1204" s="26">
        <f>MODEL!Q1205</f>
        <v>533.75704750434431</v>
      </c>
    </row>
    <row r="1205" spans="2:3" x14ac:dyDescent="0.3">
      <c r="B1205" s="24">
        <f>MODEL!K1206</f>
        <v>0</v>
      </c>
      <c r="C1205" s="26">
        <f>MODEL!Q1206</f>
        <v>523.25206313495414</v>
      </c>
    </row>
    <row r="1206" spans="2:3" x14ac:dyDescent="0.3">
      <c r="B1206" s="24">
        <f>MODEL!K1207</f>
        <v>0</v>
      </c>
      <c r="C1206" s="26">
        <f>MODEL!Q1207</f>
        <v>500.79650089579081</v>
      </c>
    </row>
    <row r="1207" spans="2:3" x14ac:dyDescent="0.3">
      <c r="B1207" s="24">
        <f>MODEL!K1208</f>
        <v>1</v>
      </c>
      <c r="C1207" s="26">
        <f>MODEL!Q1208</f>
        <v>494.84603570963765</v>
      </c>
    </row>
    <row r="1208" spans="2:3" x14ac:dyDescent="0.3">
      <c r="B1208" s="24">
        <f>MODEL!K1209</f>
        <v>1</v>
      </c>
      <c r="C1208" s="26">
        <f>MODEL!Q1209</f>
        <v>529.29313405197684</v>
      </c>
    </row>
    <row r="1209" spans="2:3" x14ac:dyDescent="0.3">
      <c r="B1209" s="24">
        <f>MODEL!K1210</f>
        <v>0</v>
      </c>
      <c r="C1209" s="26">
        <f>MODEL!Q1210</f>
        <v>528.9056798081175</v>
      </c>
    </row>
    <row r="1210" spans="2:3" x14ac:dyDescent="0.3">
      <c r="B1210" s="24">
        <f>MODEL!K1211</f>
        <v>0</v>
      </c>
      <c r="C1210" s="26">
        <f>MODEL!Q1211</f>
        <v>551.80114375023345</v>
      </c>
    </row>
    <row r="1211" spans="2:3" x14ac:dyDescent="0.3">
      <c r="B1211" s="24">
        <f>MODEL!K1212</f>
        <v>0</v>
      </c>
      <c r="C1211" s="26">
        <f>MODEL!Q1212</f>
        <v>515.32548491679336</v>
      </c>
    </row>
    <row r="1212" spans="2:3" x14ac:dyDescent="0.3">
      <c r="B1212" s="24">
        <f>MODEL!K1213</f>
        <v>0</v>
      </c>
      <c r="C1212" s="26">
        <f>MODEL!Q1213</f>
        <v>335.19555567357156</v>
      </c>
    </row>
    <row r="1213" spans="2:3" x14ac:dyDescent="0.3">
      <c r="B1213" s="24">
        <f>MODEL!K1214</f>
        <v>0</v>
      </c>
      <c r="C1213" s="26">
        <f>MODEL!Q1214</f>
        <v>523.04284242176823</v>
      </c>
    </row>
    <row r="1214" spans="2:3" x14ac:dyDescent="0.3">
      <c r="B1214" s="24">
        <f>MODEL!K1215</f>
        <v>0</v>
      </c>
      <c r="C1214" s="26">
        <f>MODEL!Q1215</f>
        <v>503.83157899669845</v>
      </c>
    </row>
    <row r="1215" spans="2:3" x14ac:dyDescent="0.3">
      <c r="B1215" s="24">
        <f>MODEL!K1216</f>
        <v>1</v>
      </c>
      <c r="C1215" s="26">
        <f>MODEL!Q1216</f>
        <v>421.29398456348719</v>
      </c>
    </row>
    <row r="1216" spans="2:3" x14ac:dyDescent="0.3">
      <c r="B1216" s="24">
        <f>MODEL!K1217</f>
        <v>1</v>
      </c>
      <c r="C1216" s="26">
        <f>MODEL!Q1217</f>
        <v>501.73019099684501</v>
      </c>
    </row>
    <row r="1217" spans="2:3" x14ac:dyDescent="0.3">
      <c r="B1217" s="24">
        <f>MODEL!K1218</f>
        <v>0</v>
      </c>
      <c r="C1217" s="26">
        <f>MODEL!Q1218</f>
        <v>580.4410147566432</v>
      </c>
    </row>
    <row r="1218" spans="2:3" x14ac:dyDescent="0.3">
      <c r="B1218" s="24">
        <f>MODEL!K1219</f>
        <v>1</v>
      </c>
      <c r="C1218" s="26">
        <f>MODEL!Q1219</f>
        <v>492.03482987215841</v>
      </c>
    </row>
    <row r="1219" spans="2:3" x14ac:dyDescent="0.3">
      <c r="B1219" s="24">
        <f>MODEL!K1220</f>
        <v>0</v>
      </c>
      <c r="C1219" s="26">
        <f>MODEL!Q1220</f>
        <v>683.33440654962942</v>
      </c>
    </row>
    <row r="1220" spans="2:3" x14ac:dyDescent="0.3">
      <c r="B1220" s="24">
        <f>MODEL!K1221</f>
        <v>1</v>
      </c>
      <c r="C1220" s="26">
        <f>MODEL!Q1221</f>
        <v>467.70822845164065</v>
      </c>
    </row>
    <row r="1221" spans="2:3" x14ac:dyDescent="0.3">
      <c r="B1221" s="24">
        <f>MODEL!K1222</f>
        <v>0</v>
      </c>
      <c r="C1221" s="26">
        <f>MODEL!Q1222</f>
        <v>529.38796991882089</v>
      </c>
    </row>
    <row r="1222" spans="2:3" x14ac:dyDescent="0.3">
      <c r="B1222" s="24">
        <f>MODEL!K1223</f>
        <v>1</v>
      </c>
      <c r="C1222" s="26">
        <f>MODEL!Q1223</f>
        <v>303.09400733004452</v>
      </c>
    </row>
    <row r="1223" spans="2:3" x14ac:dyDescent="0.3">
      <c r="B1223" s="24">
        <f>MODEL!K1224</f>
        <v>0</v>
      </c>
      <c r="C1223" s="26">
        <f>MODEL!Q1224</f>
        <v>472.14143671618183</v>
      </c>
    </row>
    <row r="1224" spans="2:3" x14ac:dyDescent="0.3">
      <c r="B1224" s="24">
        <f>MODEL!K1225</f>
        <v>0</v>
      </c>
      <c r="C1224" s="26">
        <f>MODEL!Q1225</f>
        <v>562.48380871357995</v>
      </c>
    </row>
    <row r="1225" spans="2:3" x14ac:dyDescent="0.3">
      <c r="B1225" s="24">
        <f>MODEL!K1226</f>
        <v>1</v>
      </c>
      <c r="C1225" s="26">
        <f>MODEL!Q1226</f>
        <v>461.48721904786561</v>
      </c>
    </row>
    <row r="1226" spans="2:3" x14ac:dyDescent="0.3">
      <c r="B1226" s="24">
        <f>MODEL!K1227</f>
        <v>0</v>
      </c>
      <c r="C1226" s="26">
        <f>MODEL!Q1227</f>
        <v>564.32859708476337</v>
      </c>
    </row>
    <row r="1227" spans="2:3" x14ac:dyDescent="0.3">
      <c r="B1227" s="24">
        <f>MODEL!K1228</f>
        <v>0</v>
      </c>
      <c r="C1227" s="26">
        <f>MODEL!Q1228</f>
        <v>527.00706232428433</v>
      </c>
    </row>
    <row r="1228" spans="2:3" x14ac:dyDescent="0.3">
      <c r="B1228" s="24">
        <f>MODEL!K1229</f>
        <v>1</v>
      </c>
      <c r="C1228" s="26">
        <f>MODEL!Q1229</f>
        <v>473.46944287752336</v>
      </c>
    </row>
    <row r="1229" spans="2:3" x14ac:dyDescent="0.3">
      <c r="B1229" s="24">
        <f>MODEL!K1230</f>
        <v>1</v>
      </c>
      <c r="C1229" s="26">
        <f>MODEL!Q1230</f>
        <v>567.98235872227781</v>
      </c>
    </row>
    <row r="1230" spans="2:3" x14ac:dyDescent="0.3">
      <c r="B1230" s="24">
        <f>MODEL!K1231</f>
        <v>0</v>
      </c>
      <c r="C1230" s="26">
        <f>MODEL!Q1231</f>
        <v>665.61005283473776</v>
      </c>
    </row>
    <row r="1231" spans="2:3" x14ac:dyDescent="0.3">
      <c r="B1231" s="24">
        <f>MODEL!K1232</f>
        <v>1</v>
      </c>
      <c r="C1231" s="26">
        <f>MODEL!Q1232</f>
        <v>463.33861099700187</v>
      </c>
    </row>
    <row r="1232" spans="2:3" x14ac:dyDescent="0.3">
      <c r="B1232" s="24">
        <f>MODEL!K1233</f>
        <v>0</v>
      </c>
      <c r="C1232" s="26">
        <f>MODEL!Q1233</f>
        <v>506.49232858674804</v>
      </c>
    </row>
    <row r="1233" spans="2:3" x14ac:dyDescent="0.3">
      <c r="B1233" s="24">
        <f>MODEL!K1234</f>
        <v>1</v>
      </c>
      <c r="C1233" s="26">
        <f>MODEL!Q1234</f>
        <v>507.77627676454892</v>
      </c>
    </row>
    <row r="1234" spans="2:3" x14ac:dyDescent="0.3">
      <c r="B1234" s="24">
        <f>MODEL!K1235</f>
        <v>0</v>
      </c>
      <c r="C1234" s="26">
        <f>MODEL!Q1235</f>
        <v>493.25949323700638</v>
      </c>
    </row>
    <row r="1235" spans="2:3" x14ac:dyDescent="0.3">
      <c r="B1235" s="24">
        <f>MODEL!K1236</f>
        <v>0</v>
      </c>
      <c r="C1235" s="26">
        <f>MODEL!Q1236</f>
        <v>481.54553534239818</v>
      </c>
    </row>
    <row r="1236" spans="2:3" x14ac:dyDescent="0.3">
      <c r="B1236" s="24">
        <f>MODEL!K1237</f>
        <v>1</v>
      </c>
      <c r="C1236" s="26">
        <f>MODEL!Q1237</f>
        <v>531.70555496888198</v>
      </c>
    </row>
    <row r="1237" spans="2:3" x14ac:dyDescent="0.3">
      <c r="B1237" s="24">
        <f>MODEL!K1238</f>
        <v>0</v>
      </c>
      <c r="C1237" s="26">
        <f>MODEL!Q1238</f>
        <v>632.68052376374237</v>
      </c>
    </row>
    <row r="1238" spans="2:3" x14ac:dyDescent="0.3">
      <c r="B1238" s="24">
        <f>MODEL!K1239</f>
        <v>0</v>
      </c>
      <c r="C1238" s="26">
        <f>MODEL!Q1239</f>
        <v>659.39124205921689</v>
      </c>
    </row>
    <row r="1239" spans="2:3" x14ac:dyDescent="0.3">
      <c r="B1239" s="24">
        <f>MODEL!K1240</f>
        <v>0</v>
      </c>
      <c r="C1239" s="26">
        <f>MODEL!Q1240</f>
        <v>530.07760701220673</v>
      </c>
    </row>
    <row r="1240" spans="2:3" x14ac:dyDescent="0.3">
      <c r="B1240" s="24">
        <f>MODEL!K1241</f>
        <v>0</v>
      </c>
      <c r="C1240" s="26">
        <f>MODEL!Q1241</f>
        <v>524.49031796968347</v>
      </c>
    </row>
    <row r="1241" spans="2:3" x14ac:dyDescent="0.3">
      <c r="B1241" s="24">
        <f>MODEL!K1242</f>
        <v>0</v>
      </c>
      <c r="C1241" s="26">
        <f>MODEL!Q1242</f>
        <v>483.28915138997678</v>
      </c>
    </row>
    <row r="1242" spans="2:3" x14ac:dyDescent="0.3">
      <c r="B1242" s="24">
        <f>MODEL!K1243</f>
        <v>0</v>
      </c>
      <c r="C1242" s="26">
        <f>MODEL!Q1243</f>
        <v>467.17606059219349</v>
      </c>
    </row>
    <row r="1243" spans="2:3" x14ac:dyDescent="0.3">
      <c r="B1243" s="24">
        <f>MODEL!K1244</f>
        <v>0</v>
      </c>
      <c r="C1243" s="26">
        <f>MODEL!Q1244</f>
        <v>521.07231466005476</v>
      </c>
    </row>
    <row r="1244" spans="2:3" x14ac:dyDescent="0.3">
      <c r="B1244" s="24">
        <f>MODEL!K1245</f>
        <v>1</v>
      </c>
      <c r="C1244" s="26">
        <f>MODEL!Q1245</f>
        <v>442.7575330261534</v>
      </c>
    </row>
    <row r="1245" spans="2:3" x14ac:dyDescent="0.3">
      <c r="B1245" s="24">
        <f>MODEL!K1246</f>
        <v>0</v>
      </c>
      <c r="C1245" s="26">
        <f>MODEL!Q1246</f>
        <v>526.89061751342967</v>
      </c>
    </row>
    <row r="1246" spans="2:3" x14ac:dyDescent="0.3">
      <c r="B1246" s="24">
        <f>MODEL!K1247</f>
        <v>1</v>
      </c>
      <c r="C1246" s="26">
        <f>MODEL!Q1247</f>
        <v>498.67273680253447</v>
      </c>
    </row>
    <row r="1247" spans="2:3" x14ac:dyDescent="0.3">
      <c r="B1247" s="24">
        <f>MODEL!K1248</f>
        <v>0</v>
      </c>
      <c r="C1247" s="26">
        <f>MODEL!Q1248</f>
        <v>493.46923861790964</v>
      </c>
    </row>
    <row r="1248" spans="2:3" x14ac:dyDescent="0.3">
      <c r="B1248" s="24">
        <f>MODEL!K1249</f>
        <v>1</v>
      </c>
      <c r="C1248" s="26">
        <f>MODEL!Q1249</f>
        <v>491.78719611663354</v>
      </c>
    </row>
    <row r="1249" spans="2:3" x14ac:dyDescent="0.3">
      <c r="B1249" s="24">
        <f>MODEL!K1250</f>
        <v>0</v>
      </c>
      <c r="C1249" s="26">
        <f>MODEL!Q1250</f>
        <v>619.99268622616546</v>
      </c>
    </row>
    <row r="1250" spans="2:3" x14ac:dyDescent="0.3">
      <c r="B1250" s="24">
        <f>MODEL!K1251</f>
        <v>0</v>
      </c>
      <c r="C1250" s="26">
        <f>MODEL!Q1251</f>
        <v>485.6726463316981</v>
      </c>
    </row>
    <row r="1251" spans="2:3" x14ac:dyDescent="0.3">
      <c r="B1251" s="24">
        <f>MODEL!K1252</f>
        <v>1</v>
      </c>
      <c r="C1251" s="26">
        <f>MODEL!Q1252</f>
        <v>540.91112531039175</v>
      </c>
    </row>
    <row r="1252" spans="2:3" x14ac:dyDescent="0.3">
      <c r="B1252" s="24">
        <f>MODEL!K1253</f>
        <v>1</v>
      </c>
      <c r="C1252" s="26">
        <f>MODEL!Q1253</f>
        <v>533.62437094574295</v>
      </c>
    </row>
    <row r="1253" spans="2:3" x14ac:dyDescent="0.3">
      <c r="B1253" s="24">
        <f>MODEL!K1254</f>
        <v>0</v>
      </c>
      <c r="C1253" s="26">
        <f>MODEL!Q1254</f>
        <v>504.81066054838846</v>
      </c>
    </row>
    <row r="1254" spans="2:3" x14ac:dyDescent="0.3">
      <c r="B1254" s="24">
        <f>MODEL!K1255</f>
        <v>0</v>
      </c>
      <c r="C1254" s="26">
        <f>MODEL!Q1255</f>
        <v>571.36876459096891</v>
      </c>
    </row>
    <row r="1255" spans="2:3" x14ac:dyDescent="0.3">
      <c r="B1255" s="24">
        <f>MODEL!K1256</f>
        <v>0</v>
      </c>
      <c r="C1255" s="26">
        <f>MODEL!Q1256</f>
        <v>516.15976090197319</v>
      </c>
    </row>
    <row r="1256" spans="2:3" x14ac:dyDescent="0.3">
      <c r="B1256" s="24">
        <f>MODEL!K1257</f>
        <v>0</v>
      </c>
      <c r="C1256" s="26">
        <f>MODEL!Q1257</f>
        <v>699.17360393339629</v>
      </c>
    </row>
    <row r="1257" spans="2:3" x14ac:dyDescent="0.3">
      <c r="B1257" s="24">
        <f>MODEL!K1258</f>
        <v>0</v>
      </c>
      <c r="C1257" s="26">
        <f>MODEL!Q1258</f>
        <v>514.4141853404625</v>
      </c>
    </row>
    <row r="1258" spans="2:3" x14ac:dyDescent="0.3">
      <c r="B1258" s="24">
        <f>MODEL!K1259</f>
        <v>1</v>
      </c>
      <c r="C1258" s="26">
        <f>MODEL!Q1259</f>
        <v>452.3958966457144</v>
      </c>
    </row>
    <row r="1259" spans="2:3" x14ac:dyDescent="0.3">
      <c r="B1259" s="24">
        <f>MODEL!K1260</f>
        <v>0</v>
      </c>
      <c r="C1259" s="26">
        <f>MODEL!Q1260</f>
        <v>485.21325699186923</v>
      </c>
    </row>
    <row r="1260" spans="2:3" x14ac:dyDescent="0.3">
      <c r="B1260" s="24">
        <f>MODEL!K1261</f>
        <v>0</v>
      </c>
      <c r="C1260" s="26">
        <f>MODEL!Q1261</f>
        <v>541.57124451384095</v>
      </c>
    </row>
    <row r="1261" spans="2:3" x14ac:dyDescent="0.3">
      <c r="B1261" s="24">
        <f>MODEL!K1262</f>
        <v>0</v>
      </c>
      <c r="C1261" s="26">
        <f>MODEL!Q1262</f>
        <v>524.83201519739657</v>
      </c>
    </row>
    <row r="1262" spans="2:3" x14ac:dyDescent="0.3">
      <c r="B1262" s="24">
        <f>MODEL!K1263</f>
        <v>0</v>
      </c>
      <c r="C1262" s="26">
        <f>MODEL!Q1263</f>
        <v>680.84245825211997</v>
      </c>
    </row>
    <row r="1263" spans="2:3" x14ac:dyDescent="0.3">
      <c r="B1263" s="24">
        <f>MODEL!K1264</f>
        <v>0</v>
      </c>
      <c r="C1263" s="26">
        <f>MODEL!Q1264</f>
        <v>573.77645766401145</v>
      </c>
    </row>
    <row r="1264" spans="2:3" x14ac:dyDescent="0.3">
      <c r="B1264" s="24">
        <f>MODEL!K1265</f>
        <v>0</v>
      </c>
      <c r="C1264" s="26">
        <f>MODEL!Q1265</f>
        <v>521.91948757243335</v>
      </c>
    </row>
    <row r="1265" spans="2:3" x14ac:dyDescent="0.3">
      <c r="B1265" s="24">
        <f>MODEL!K1266</f>
        <v>0</v>
      </c>
      <c r="C1265" s="26">
        <f>MODEL!Q1266</f>
        <v>590.68066663196282</v>
      </c>
    </row>
    <row r="1266" spans="2:3" x14ac:dyDescent="0.3">
      <c r="B1266" s="24">
        <f>MODEL!K1267</f>
        <v>0</v>
      </c>
      <c r="C1266" s="26">
        <f>MODEL!Q1267</f>
        <v>535.97232635163607</v>
      </c>
    </row>
    <row r="1267" spans="2:3" x14ac:dyDescent="0.3">
      <c r="B1267" s="24">
        <f>MODEL!K1268</f>
        <v>0</v>
      </c>
      <c r="C1267" s="26">
        <f>MODEL!Q1268</f>
        <v>599.67754846258049</v>
      </c>
    </row>
    <row r="1268" spans="2:3" x14ac:dyDescent="0.3">
      <c r="B1268" s="24">
        <f>MODEL!K1269</f>
        <v>0</v>
      </c>
      <c r="C1268" s="26">
        <f>MODEL!Q1269</f>
        <v>752.29765695046751</v>
      </c>
    </row>
    <row r="1269" spans="2:3" x14ac:dyDescent="0.3">
      <c r="B1269" s="24">
        <f>MODEL!K1270</f>
        <v>0</v>
      </c>
      <c r="C1269" s="26">
        <f>MODEL!Q1270</f>
        <v>632.16120582314909</v>
      </c>
    </row>
    <row r="1270" spans="2:3" x14ac:dyDescent="0.3">
      <c r="B1270" s="24">
        <f>MODEL!K1271</f>
        <v>1</v>
      </c>
      <c r="C1270" s="26">
        <f>MODEL!Q1271</f>
        <v>493.05688442713256</v>
      </c>
    </row>
    <row r="1271" spans="2:3" x14ac:dyDescent="0.3">
      <c r="B1271" s="24">
        <f>MODEL!K1272</f>
        <v>0</v>
      </c>
      <c r="C1271" s="26">
        <f>MODEL!Q1272</f>
        <v>574.2767086744451</v>
      </c>
    </row>
    <row r="1272" spans="2:3" x14ac:dyDescent="0.3">
      <c r="B1272" s="24">
        <f>MODEL!K1273</f>
        <v>1</v>
      </c>
      <c r="C1272" s="26">
        <f>MODEL!Q1273</f>
        <v>509.70657409335126</v>
      </c>
    </row>
    <row r="1273" spans="2:3" x14ac:dyDescent="0.3">
      <c r="B1273" s="24">
        <f>MODEL!K1274</f>
        <v>0</v>
      </c>
      <c r="C1273" s="26">
        <f>MODEL!Q1274</f>
        <v>491.15198458881764</v>
      </c>
    </row>
    <row r="1274" spans="2:3" x14ac:dyDescent="0.3">
      <c r="B1274" s="24">
        <f>MODEL!K1275</f>
        <v>1</v>
      </c>
      <c r="C1274" s="26">
        <f>MODEL!Q1275</f>
        <v>488.17450801405602</v>
      </c>
    </row>
    <row r="1275" spans="2:3" x14ac:dyDescent="0.3">
      <c r="B1275" s="24">
        <f>MODEL!K1276</f>
        <v>0</v>
      </c>
      <c r="C1275" s="26">
        <f>MODEL!Q1276</f>
        <v>508.95278117814826</v>
      </c>
    </row>
    <row r="1276" spans="2:3" x14ac:dyDescent="0.3">
      <c r="B1276" s="24">
        <f>MODEL!K1277</f>
        <v>0</v>
      </c>
      <c r="C1276" s="26">
        <f>MODEL!Q1277</f>
        <v>540.70467046559202</v>
      </c>
    </row>
    <row r="1277" spans="2:3" x14ac:dyDescent="0.3">
      <c r="B1277" s="24">
        <f>MODEL!K1278</f>
        <v>0</v>
      </c>
      <c r="C1277" s="26">
        <f>MODEL!Q1278</f>
        <v>578.65643230671071</v>
      </c>
    </row>
    <row r="1278" spans="2:3" x14ac:dyDescent="0.3">
      <c r="B1278" s="24">
        <f>MODEL!K1279</f>
        <v>1</v>
      </c>
      <c r="C1278" s="26">
        <f>MODEL!Q1279</f>
        <v>501.06924485892523</v>
      </c>
    </row>
    <row r="1279" spans="2:3" x14ac:dyDescent="0.3">
      <c r="B1279" s="24">
        <f>MODEL!K1280</f>
        <v>1</v>
      </c>
      <c r="C1279" s="26">
        <f>MODEL!Q1280</f>
        <v>509.83555405145694</v>
      </c>
    </row>
    <row r="1280" spans="2:3" x14ac:dyDescent="0.3">
      <c r="B1280" s="24">
        <f>MODEL!K1281</f>
        <v>0</v>
      </c>
      <c r="C1280" s="26">
        <f>MODEL!Q1281</f>
        <v>551.64693967989183</v>
      </c>
    </row>
    <row r="1281" spans="2:3" x14ac:dyDescent="0.3">
      <c r="B1281" s="24">
        <f>MODEL!K1282</f>
        <v>0</v>
      </c>
      <c r="C1281" s="26">
        <f>MODEL!Q1282</f>
        <v>624.88841921583889</v>
      </c>
    </row>
    <row r="1282" spans="2:3" x14ac:dyDescent="0.3">
      <c r="B1282" s="24">
        <f>MODEL!K1283</f>
        <v>0</v>
      </c>
      <c r="C1282" s="26">
        <f>MODEL!Q1283</f>
        <v>594.45831623508207</v>
      </c>
    </row>
    <row r="1283" spans="2:3" x14ac:dyDescent="0.3">
      <c r="B1283" s="24">
        <f>MODEL!K1284</f>
        <v>0</v>
      </c>
      <c r="C1283" s="26">
        <f>MODEL!Q1284</f>
        <v>484.3699602463945</v>
      </c>
    </row>
    <row r="1284" spans="2:3" x14ac:dyDescent="0.3">
      <c r="B1284" s="24">
        <f>MODEL!K1285</f>
        <v>1</v>
      </c>
      <c r="C1284" s="26">
        <f>MODEL!Q1285</f>
        <v>455.19087015805195</v>
      </c>
    </row>
    <row r="1285" spans="2:3" x14ac:dyDescent="0.3">
      <c r="B1285" s="24">
        <f>MODEL!K1286</f>
        <v>0</v>
      </c>
      <c r="C1285" s="26">
        <f>MODEL!Q1286</f>
        <v>558.43914556499305</v>
      </c>
    </row>
    <row r="1286" spans="2:3" x14ac:dyDescent="0.3">
      <c r="B1286" s="24">
        <f>MODEL!K1287</f>
        <v>0</v>
      </c>
      <c r="C1286" s="26">
        <f>MODEL!Q1287</f>
        <v>474.86236115578043</v>
      </c>
    </row>
    <row r="1287" spans="2:3" x14ac:dyDescent="0.3">
      <c r="B1287" s="24">
        <f>MODEL!K1288</f>
        <v>1</v>
      </c>
      <c r="C1287" s="26">
        <f>MODEL!Q1288</f>
        <v>440.01868893548635</v>
      </c>
    </row>
    <row r="1288" spans="2:3" x14ac:dyDescent="0.3">
      <c r="B1288" s="24">
        <f>MODEL!K1289</f>
        <v>1</v>
      </c>
      <c r="C1288" s="26">
        <f>MODEL!Q1289</f>
        <v>502.37149464077987</v>
      </c>
    </row>
    <row r="1289" spans="2:3" x14ac:dyDescent="0.3">
      <c r="B1289" s="24">
        <f>MODEL!K1290</f>
        <v>0</v>
      </c>
      <c r="C1289" s="26">
        <f>MODEL!Q1290</f>
        <v>471.92653847130549</v>
      </c>
    </row>
    <row r="1290" spans="2:3" x14ac:dyDescent="0.3">
      <c r="B1290" s="24">
        <f>MODEL!K1291</f>
        <v>1</v>
      </c>
      <c r="C1290" s="26">
        <f>MODEL!Q1291</f>
        <v>439.40147540650401</v>
      </c>
    </row>
    <row r="1291" spans="2:3" x14ac:dyDescent="0.3">
      <c r="B1291" s="24">
        <f>MODEL!K1292</f>
        <v>0</v>
      </c>
      <c r="C1291" s="26">
        <f>MODEL!Q1292</f>
        <v>503.73018302319412</v>
      </c>
    </row>
    <row r="1292" spans="2:3" x14ac:dyDescent="0.3">
      <c r="B1292" s="24">
        <f>MODEL!K1293</f>
        <v>0</v>
      </c>
      <c r="C1292" s="26">
        <f>MODEL!Q1293</f>
        <v>508.76073925547053</v>
      </c>
    </row>
    <row r="1293" spans="2:3" x14ac:dyDescent="0.3">
      <c r="B1293" s="24">
        <f>MODEL!K1294</f>
        <v>0</v>
      </c>
      <c r="C1293" s="26">
        <f>MODEL!Q1294</f>
        <v>481.26161872218148</v>
      </c>
    </row>
    <row r="1294" spans="2:3" x14ac:dyDescent="0.3">
      <c r="B1294" s="24">
        <f>MODEL!K1295</f>
        <v>0</v>
      </c>
      <c r="C1294" s="26">
        <f>MODEL!Q1295</f>
        <v>625.92013345147643</v>
      </c>
    </row>
    <row r="1295" spans="2:3" x14ac:dyDescent="0.3">
      <c r="B1295" s="24">
        <f>MODEL!K1296</f>
        <v>1</v>
      </c>
      <c r="C1295" s="26">
        <f>MODEL!Q1296</f>
        <v>481.71459569844495</v>
      </c>
    </row>
    <row r="1296" spans="2:3" x14ac:dyDescent="0.3">
      <c r="B1296" s="24">
        <f>MODEL!K1297</f>
        <v>0</v>
      </c>
      <c r="C1296" s="26">
        <f>MODEL!Q1297</f>
        <v>646.30597746485114</v>
      </c>
    </row>
    <row r="1297" spans="2:3" x14ac:dyDescent="0.3">
      <c r="B1297" s="24">
        <f>MODEL!K1298</f>
        <v>1</v>
      </c>
      <c r="C1297" s="26">
        <f>MODEL!Q1298</f>
        <v>518.33944969065726</v>
      </c>
    </row>
    <row r="1298" spans="2:3" x14ac:dyDescent="0.3">
      <c r="B1298" s="24">
        <f>MODEL!K1299</f>
        <v>0</v>
      </c>
      <c r="C1298" s="26">
        <f>MODEL!Q1299</f>
        <v>478.85561481626587</v>
      </c>
    </row>
    <row r="1299" spans="2:3" x14ac:dyDescent="0.3">
      <c r="B1299" s="24">
        <f>MODEL!K1300</f>
        <v>0</v>
      </c>
      <c r="C1299" s="26">
        <f>MODEL!Q1300</f>
        <v>507.96984710371152</v>
      </c>
    </row>
    <row r="1300" spans="2:3" x14ac:dyDescent="0.3">
      <c r="B1300" s="24">
        <f>MODEL!K1301</f>
        <v>1</v>
      </c>
      <c r="C1300" s="26">
        <f>MODEL!Q1301</f>
        <v>477.74066673608553</v>
      </c>
    </row>
    <row r="1301" spans="2:3" x14ac:dyDescent="0.3">
      <c r="B1301" s="24">
        <f>MODEL!K1302</f>
        <v>0</v>
      </c>
      <c r="C1301" s="26">
        <f>MODEL!Q1302</f>
        <v>491.44354923856241</v>
      </c>
    </row>
    <row r="1302" spans="2:3" x14ac:dyDescent="0.3">
      <c r="B1302" s="24">
        <f>MODEL!K1303</f>
        <v>0</v>
      </c>
      <c r="C1302" s="26">
        <f>MODEL!Q1303</f>
        <v>522.72935702804989</v>
      </c>
    </row>
    <row r="1303" spans="2:3" x14ac:dyDescent="0.3">
      <c r="B1303" s="24">
        <f>MODEL!K1304</f>
        <v>1</v>
      </c>
      <c r="C1303" s="26">
        <f>MODEL!Q1304</f>
        <v>492.09199463640653</v>
      </c>
    </row>
    <row r="1304" spans="2:3" x14ac:dyDescent="0.3">
      <c r="B1304" s="24">
        <f>MODEL!K1305</f>
        <v>1</v>
      </c>
      <c r="C1304" s="26">
        <f>MODEL!Q1305</f>
        <v>429.96335983149891</v>
      </c>
    </row>
    <row r="1305" spans="2:3" x14ac:dyDescent="0.3">
      <c r="B1305" s="24">
        <f>MODEL!K1306</f>
        <v>1</v>
      </c>
      <c r="C1305" s="26">
        <f>MODEL!Q1306</f>
        <v>496.39342996352076</v>
      </c>
    </row>
    <row r="1306" spans="2:3" x14ac:dyDescent="0.3">
      <c r="B1306" s="24">
        <f>MODEL!K1307</f>
        <v>0</v>
      </c>
      <c r="C1306" s="26">
        <f>MODEL!Q1307</f>
        <v>584.0978309278803</v>
      </c>
    </row>
    <row r="1307" spans="2:3" x14ac:dyDescent="0.3">
      <c r="B1307" s="24">
        <f>MODEL!K1308</f>
        <v>1</v>
      </c>
      <c r="C1307" s="26">
        <f>MODEL!Q1308</f>
        <v>510.65970682979827</v>
      </c>
    </row>
    <row r="1308" spans="2:3" x14ac:dyDescent="0.3">
      <c r="B1308" s="24">
        <f>MODEL!K1309</f>
        <v>0</v>
      </c>
      <c r="C1308" s="26">
        <f>MODEL!Q1309</f>
        <v>490.47552493917487</v>
      </c>
    </row>
    <row r="1309" spans="2:3" x14ac:dyDescent="0.3">
      <c r="B1309" s="24">
        <f>MODEL!K1310</f>
        <v>0</v>
      </c>
      <c r="C1309" s="26">
        <f>MODEL!Q1310</f>
        <v>499.28248061516388</v>
      </c>
    </row>
    <row r="1310" spans="2:3" x14ac:dyDescent="0.3">
      <c r="B1310" s="24">
        <f>MODEL!K1311</f>
        <v>0</v>
      </c>
      <c r="C1310" s="26">
        <f>MODEL!Q1311</f>
        <v>504.67067505654666</v>
      </c>
    </row>
    <row r="1311" spans="2:3" x14ac:dyDescent="0.3">
      <c r="B1311" s="24">
        <f>MODEL!K1312</f>
        <v>0</v>
      </c>
      <c r="C1311" s="26">
        <f>MODEL!Q1312</f>
        <v>490.39585867054154</v>
      </c>
    </row>
    <row r="1312" spans="2:3" x14ac:dyDescent="0.3">
      <c r="B1312" s="24">
        <f>MODEL!K1313</f>
        <v>1</v>
      </c>
      <c r="C1312" s="26">
        <f>MODEL!Q1313</f>
        <v>489.25054652569088</v>
      </c>
    </row>
    <row r="1313" spans="2:3" x14ac:dyDescent="0.3">
      <c r="B1313" s="24">
        <f>MODEL!K1314</f>
        <v>1</v>
      </c>
      <c r="C1313" s="26">
        <f>MODEL!Q1314</f>
        <v>497.1730204239563</v>
      </c>
    </row>
    <row r="1314" spans="2:3" x14ac:dyDescent="0.3">
      <c r="B1314" s="24">
        <f>MODEL!K1315</f>
        <v>1</v>
      </c>
      <c r="C1314" s="26">
        <f>MODEL!Q1315</f>
        <v>391.25650056435768</v>
      </c>
    </row>
    <row r="1315" spans="2:3" x14ac:dyDescent="0.3">
      <c r="B1315" s="24">
        <f>MODEL!K1316</f>
        <v>0</v>
      </c>
      <c r="C1315" s="26">
        <f>MODEL!Q1316</f>
        <v>550.20604364383109</v>
      </c>
    </row>
    <row r="1316" spans="2:3" x14ac:dyDescent="0.3">
      <c r="B1316" s="24">
        <f>MODEL!K1317</f>
        <v>0</v>
      </c>
      <c r="C1316" s="26">
        <f>MODEL!Q1317</f>
        <v>527.83976840307389</v>
      </c>
    </row>
    <row r="1317" spans="2:3" x14ac:dyDescent="0.3">
      <c r="B1317" s="24">
        <f>MODEL!K1318</f>
        <v>1</v>
      </c>
      <c r="C1317" s="26">
        <f>MODEL!Q1318</f>
        <v>401.08234931743431</v>
      </c>
    </row>
    <row r="1318" spans="2:3" x14ac:dyDescent="0.3">
      <c r="B1318" s="24">
        <f>MODEL!K1319</f>
        <v>0</v>
      </c>
      <c r="C1318" s="26">
        <f>MODEL!Q1319</f>
        <v>678.56585565067473</v>
      </c>
    </row>
    <row r="1319" spans="2:3" x14ac:dyDescent="0.3">
      <c r="B1319" s="24">
        <f>MODEL!K1320</f>
        <v>1</v>
      </c>
      <c r="C1319" s="26">
        <f>MODEL!Q1320</f>
        <v>533.36705471640016</v>
      </c>
    </row>
    <row r="1320" spans="2:3" x14ac:dyDescent="0.3">
      <c r="B1320" s="24">
        <f>MODEL!K1321</f>
        <v>0</v>
      </c>
      <c r="C1320" s="26">
        <f>MODEL!Q1321</f>
        <v>504.22247674416985</v>
      </c>
    </row>
    <row r="1321" spans="2:3" x14ac:dyDescent="0.3">
      <c r="B1321" s="24">
        <f>MODEL!K1322</f>
        <v>0</v>
      </c>
      <c r="C1321" s="26">
        <f>MODEL!Q1322</f>
        <v>509.24445863917333</v>
      </c>
    </row>
    <row r="1322" spans="2:3" x14ac:dyDescent="0.3">
      <c r="B1322" s="24">
        <f>MODEL!K1323</f>
        <v>0</v>
      </c>
      <c r="C1322" s="26">
        <f>MODEL!Q1323</f>
        <v>519.33116411599269</v>
      </c>
    </row>
    <row r="1323" spans="2:3" x14ac:dyDescent="0.3">
      <c r="B1323" s="24">
        <f>MODEL!K1324</f>
        <v>0</v>
      </c>
      <c r="C1323" s="26">
        <f>MODEL!Q1324</f>
        <v>642.75429811294521</v>
      </c>
    </row>
    <row r="1324" spans="2:3" x14ac:dyDescent="0.3">
      <c r="B1324" s="24">
        <f>MODEL!K1325</f>
        <v>1</v>
      </c>
      <c r="C1324" s="26">
        <f>MODEL!Q1325</f>
        <v>507.68628140788752</v>
      </c>
    </row>
    <row r="1325" spans="2:3" x14ac:dyDescent="0.3">
      <c r="B1325" s="24">
        <f>MODEL!K1326</f>
        <v>1</v>
      </c>
      <c r="C1325" s="26">
        <f>MODEL!Q1326</f>
        <v>509.78107906518079</v>
      </c>
    </row>
    <row r="1326" spans="2:3" x14ac:dyDescent="0.3">
      <c r="B1326" s="24">
        <f>MODEL!K1327</f>
        <v>0</v>
      </c>
      <c r="C1326" s="26">
        <f>MODEL!Q1327</f>
        <v>506.88585756059439</v>
      </c>
    </row>
    <row r="1327" spans="2:3" x14ac:dyDescent="0.3">
      <c r="B1327" s="24">
        <f>MODEL!K1328</f>
        <v>0</v>
      </c>
      <c r="C1327" s="26">
        <f>MODEL!Q1328</f>
        <v>614.83561094492291</v>
      </c>
    </row>
    <row r="1328" spans="2:3" x14ac:dyDescent="0.3">
      <c r="B1328" s="24">
        <f>MODEL!K1329</f>
        <v>0</v>
      </c>
      <c r="C1328" s="26">
        <f>MODEL!Q1329</f>
        <v>535.41483592151997</v>
      </c>
    </row>
    <row r="1329" spans="2:3" x14ac:dyDescent="0.3">
      <c r="B1329" s="24">
        <f>MODEL!K1330</f>
        <v>0</v>
      </c>
      <c r="C1329" s="26">
        <f>MODEL!Q1330</f>
        <v>650.13227455422407</v>
      </c>
    </row>
    <row r="1330" spans="2:3" x14ac:dyDescent="0.3">
      <c r="B1330" s="24">
        <f>MODEL!K1331</f>
        <v>0</v>
      </c>
      <c r="C1330" s="26">
        <f>MODEL!Q1331</f>
        <v>537.56994915180439</v>
      </c>
    </row>
    <row r="1331" spans="2:3" x14ac:dyDescent="0.3">
      <c r="B1331" s="24">
        <f>MODEL!K1332</f>
        <v>0</v>
      </c>
      <c r="C1331" s="26">
        <f>MODEL!Q1332</f>
        <v>579.17342711726155</v>
      </c>
    </row>
    <row r="1332" spans="2:3" x14ac:dyDescent="0.3">
      <c r="B1332" s="24">
        <f>MODEL!K1333</f>
        <v>0</v>
      </c>
      <c r="C1332" s="26">
        <f>MODEL!Q1333</f>
        <v>489.905484951885</v>
      </c>
    </row>
    <row r="1333" spans="2:3" x14ac:dyDescent="0.3">
      <c r="B1333" s="24">
        <f>MODEL!K1334</f>
        <v>1</v>
      </c>
      <c r="C1333" s="26">
        <f>MODEL!Q1334</f>
        <v>488.87263313496646</v>
      </c>
    </row>
    <row r="1334" spans="2:3" x14ac:dyDescent="0.3">
      <c r="B1334" s="24">
        <f>MODEL!K1335</f>
        <v>1</v>
      </c>
      <c r="C1334" s="26">
        <f>MODEL!Q1335</f>
        <v>496.45301941949742</v>
      </c>
    </row>
    <row r="1335" spans="2:3" x14ac:dyDescent="0.3">
      <c r="B1335" s="24">
        <f>MODEL!K1336</f>
        <v>0</v>
      </c>
      <c r="C1335" s="26">
        <f>MODEL!Q1336</f>
        <v>752.94011089669175</v>
      </c>
    </row>
    <row r="1336" spans="2:3" x14ac:dyDescent="0.3">
      <c r="B1336" s="24">
        <f>MODEL!K1337</f>
        <v>1</v>
      </c>
      <c r="C1336" s="26">
        <f>MODEL!Q1337</f>
        <v>471.69542511210295</v>
      </c>
    </row>
    <row r="1337" spans="2:3" x14ac:dyDescent="0.3">
      <c r="B1337" s="24">
        <f>MODEL!K1338</f>
        <v>1</v>
      </c>
      <c r="C1337" s="26">
        <f>MODEL!Q1338</f>
        <v>504.80559126858503</v>
      </c>
    </row>
    <row r="1338" spans="2:3" x14ac:dyDescent="0.3">
      <c r="B1338" s="24">
        <f>MODEL!K1339</f>
        <v>0</v>
      </c>
      <c r="C1338" s="26">
        <f>MODEL!Q1339</f>
        <v>562.95333182491959</v>
      </c>
    </row>
    <row r="1339" spans="2:3" x14ac:dyDescent="0.3">
      <c r="B1339" s="24">
        <f>MODEL!K1340</f>
        <v>0</v>
      </c>
      <c r="C1339" s="26">
        <f>MODEL!Q1340</f>
        <v>673.03031909018387</v>
      </c>
    </row>
    <row r="1340" spans="2:3" x14ac:dyDescent="0.3">
      <c r="B1340" s="24">
        <f>MODEL!K1341</f>
        <v>0</v>
      </c>
      <c r="C1340" s="26">
        <f>MODEL!Q1341</f>
        <v>478.03597405075692</v>
      </c>
    </row>
    <row r="1341" spans="2:3" x14ac:dyDescent="0.3">
      <c r="B1341" s="24">
        <f>MODEL!K1342</f>
        <v>0</v>
      </c>
      <c r="C1341" s="26">
        <f>MODEL!Q1342</f>
        <v>504.05101392234809</v>
      </c>
    </row>
    <row r="1342" spans="2:3" x14ac:dyDescent="0.3">
      <c r="B1342" s="24">
        <f>MODEL!K1343</f>
        <v>1</v>
      </c>
      <c r="C1342" s="26">
        <f>MODEL!Q1343</f>
        <v>476.70555146432076</v>
      </c>
    </row>
    <row r="1343" spans="2:3" x14ac:dyDescent="0.3">
      <c r="B1343" s="24">
        <f>MODEL!K1344</f>
        <v>1</v>
      </c>
      <c r="C1343" s="26">
        <f>MODEL!Q1344</f>
        <v>418.04588643760673</v>
      </c>
    </row>
    <row r="1344" spans="2:3" x14ac:dyDescent="0.3">
      <c r="B1344" s="24">
        <f>MODEL!K1345</f>
        <v>1</v>
      </c>
      <c r="C1344" s="26">
        <f>MODEL!Q1345</f>
        <v>453.10668826924058</v>
      </c>
    </row>
    <row r="1345" spans="2:3" x14ac:dyDescent="0.3">
      <c r="B1345" s="24">
        <f>MODEL!K1346</f>
        <v>1</v>
      </c>
      <c r="C1345" s="26">
        <f>MODEL!Q1346</f>
        <v>488.71019785188633</v>
      </c>
    </row>
    <row r="1346" spans="2:3" x14ac:dyDescent="0.3">
      <c r="B1346" s="24">
        <f>MODEL!K1347</f>
        <v>0</v>
      </c>
      <c r="C1346" s="26">
        <f>MODEL!Q1347</f>
        <v>513.54060051934482</v>
      </c>
    </row>
    <row r="1347" spans="2:3" x14ac:dyDescent="0.3">
      <c r="B1347" s="24">
        <f>MODEL!K1348</f>
        <v>0</v>
      </c>
      <c r="C1347" s="26">
        <f>MODEL!Q1348</f>
        <v>493.79397235645797</v>
      </c>
    </row>
    <row r="1348" spans="2:3" x14ac:dyDescent="0.3">
      <c r="B1348" s="24">
        <f>MODEL!K1349</f>
        <v>0</v>
      </c>
      <c r="C1348" s="26">
        <f>MODEL!Q1349</f>
        <v>539.75041534460343</v>
      </c>
    </row>
    <row r="1349" spans="2:3" x14ac:dyDescent="0.3">
      <c r="B1349" s="24">
        <f>MODEL!K1350</f>
        <v>0</v>
      </c>
      <c r="C1349" s="26">
        <f>MODEL!Q1350</f>
        <v>586.02543858831712</v>
      </c>
    </row>
    <row r="1350" spans="2:3" x14ac:dyDescent="0.3">
      <c r="B1350" s="24">
        <f>MODEL!K1351</f>
        <v>1</v>
      </c>
      <c r="C1350" s="26">
        <f>MODEL!Q1351</f>
        <v>531.68543334384344</v>
      </c>
    </row>
    <row r="1351" spans="2:3" x14ac:dyDescent="0.3">
      <c r="B1351" s="24">
        <f>MODEL!K1352</f>
        <v>0</v>
      </c>
      <c r="C1351" s="26">
        <f>MODEL!Q1352</f>
        <v>623.02270170341683</v>
      </c>
    </row>
    <row r="1352" spans="2:3" x14ac:dyDescent="0.3">
      <c r="B1352" s="24">
        <f>MODEL!K1353</f>
        <v>0</v>
      </c>
      <c r="C1352" s="26">
        <f>MODEL!Q1353</f>
        <v>566.51354280567887</v>
      </c>
    </row>
    <row r="1353" spans="2:3" x14ac:dyDescent="0.3">
      <c r="B1353" s="24">
        <f>MODEL!K1354</f>
        <v>0</v>
      </c>
      <c r="C1353" s="26">
        <f>MODEL!Q1354</f>
        <v>501.34976483450072</v>
      </c>
    </row>
    <row r="1354" spans="2:3" x14ac:dyDescent="0.3">
      <c r="B1354" s="24">
        <f>MODEL!K1355</f>
        <v>1</v>
      </c>
      <c r="C1354" s="26">
        <f>MODEL!Q1355</f>
        <v>367.32410233506857</v>
      </c>
    </row>
    <row r="1355" spans="2:3" x14ac:dyDescent="0.3">
      <c r="B1355" s="24">
        <f>MODEL!K1356</f>
        <v>1</v>
      </c>
      <c r="C1355" s="26">
        <f>MODEL!Q1356</f>
        <v>524.60073831295199</v>
      </c>
    </row>
    <row r="1356" spans="2:3" x14ac:dyDescent="0.3">
      <c r="B1356" s="24">
        <f>MODEL!K1357</f>
        <v>1</v>
      </c>
      <c r="C1356" s="26">
        <f>MODEL!Q1357</f>
        <v>437.91911357866769</v>
      </c>
    </row>
    <row r="1357" spans="2:3" x14ac:dyDescent="0.3">
      <c r="B1357" s="24">
        <f>MODEL!K1358</f>
        <v>0</v>
      </c>
      <c r="C1357" s="26">
        <f>MODEL!Q1358</f>
        <v>529.14525383096498</v>
      </c>
    </row>
    <row r="1358" spans="2:3" x14ac:dyDescent="0.3">
      <c r="B1358" s="24">
        <f>MODEL!K1359</f>
        <v>0</v>
      </c>
      <c r="C1358" s="26">
        <f>MODEL!Q1359</f>
        <v>521.59772193291008</v>
      </c>
    </row>
    <row r="1359" spans="2:3" x14ac:dyDescent="0.3">
      <c r="B1359" s="24">
        <f>MODEL!K1360</f>
        <v>0</v>
      </c>
      <c r="C1359" s="26">
        <f>MODEL!Q1360</f>
        <v>475.37224988795822</v>
      </c>
    </row>
    <row r="1360" spans="2:3" x14ac:dyDescent="0.3">
      <c r="B1360" s="24">
        <f>MODEL!K1361</f>
        <v>0</v>
      </c>
      <c r="C1360" s="26">
        <f>MODEL!Q1361</f>
        <v>449.8037952859554</v>
      </c>
    </row>
    <row r="1361" spans="2:3" x14ac:dyDescent="0.3">
      <c r="B1361" s="24">
        <f>MODEL!K1362</f>
        <v>0</v>
      </c>
      <c r="C1361" s="26">
        <f>MODEL!Q1362</f>
        <v>699.92357908398924</v>
      </c>
    </row>
    <row r="1362" spans="2:3" x14ac:dyDescent="0.3">
      <c r="B1362" s="24">
        <f>MODEL!K1363</f>
        <v>0</v>
      </c>
      <c r="C1362" s="26">
        <f>MODEL!Q1363</f>
        <v>506.73799175239179</v>
      </c>
    </row>
    <row r="1363" spans="2:3" x14ac:dyDescent="0.3">
      <c r="B1363" s="24">
        <f>MODEL!K1364</f>
        <v>0</v>
      </c>
      <c r="C1363" s="26">
        <f>MODEL!Q1364</f>
        <v>579.81416466287681</v>
      </c>
    </row>
    <row r="1364" spans="2:3" x14ac:dyDescent="0.3">
      <c r="B1364" s="24">
        <f>MODEL!K1365</f>
        <v>1</v>
      </c>
      <c r="C1364" s="26">
        <f>MODEL!Q1365</f>
        <v>493.16634038490008</v>
      </c>
    </row>
    <row r="1365" spans="2:3" x14ac:dyDescent="0.3">
      <c r="B1365" s="24">
        <f>MODEL!K1366</f>
        <v>0</v>
      </c>
      <c r="C1365" s="26">
        <f>MODEL!Q1366</f>
        <v>500.88243975021004</v>
      </c>
    </row>
    <row r="1366" spans="2:3" x14ac:dyDescent="0.3">
      <c r="B1366" s="24">
        <f>MODEL!K1367</f>
        <v>0</v>
      </c>
      <c r="C1366" s="26">
        <f>MODEL!Q1367</f>
        <v>522.24281585237554</v>
      </c>
    </row>
    <row r="1367" spans="2:3" x14ac:dyDescent="0.3">
      <c r="B1367" s="24">
        <f>MODEL!K1368</f>
        <v>0</v>
      </c>
      <c r="C1367" s="26">
        <f>MODEL!Q1368</f>
        <v>498.32722403632039</v>
      </c>
    </row>
    <row r="1368" spans="2:3" x14ac:dyDescent="0.3">
      <c r="B1368" s="24">
        <f>MODEL!K1369</f>
        <v>1</v>
      </c>
      <c r="C1368" s="26">
        <f>MODEL!Q1369</f>
        <v>458.43692494263291</v>
      </c>
    </row>
    <row r="1369" spans="2:3" x14ac:dyDescent="0.3">
      <c r="B1369" s="24">
        <f>MODEL!K1370</f>
        <v>1</v>
      </c>
      <c r="C1369" s="26">
        <f>MODEL!Q1370</f>
        <v>502.27844101906419</v>
      </c>
    </row>
    <row r="1370" spans="2:3" x14ac:dyDescent="0.3">
      <c r="B1370" s="24">
        <f>MODEL!K1371</f>
        <v>0</v>
      </c>
      <c r="C1370" s="26">
        <f>MODEL!Q1371</f>
        <v>528.94788368828063</v>
      </c>
    </row>
    <row r="1371" spans="2:3" x14ac:dyDescent="0.3">
      <c r="B1371" s="24">
        <f>MODEL!K1372</f>
        <v>0</v>
      </c>
      <c r="C1371" s="26">
        <f>MODEL!Q1372</f>
        <v>490.59463223369772</v>
      </c>
    </row>
    <row r="1372" spans="2:3" x14ac:dyDescent="0.3">
      <c r="B1372" s="24">
        <f>MODEL!K1373</f>
        <v>0</v>
      </c>
      <c r="C1372" s="26">
        <f>MODEL!Q1373</f>
        <v>538.9445292644823</v>
      </c>
    </row>
    <row r="1373" spans="2:3" x14ac:dyDescent="0.3">
      <c r="B1373" s="24">
        <f>MODEL!K1374</f>
        <v>0</v>
      </c>
      <c r="C1373" s="26">
        <f>MODEL!Q1374</f>
        <v>496.98158966760013</v>
      </c>
    </row>
    <row r="1374" spans="2:3" x14ac:dyDescent="0.3">
      <c r="B1374" s="24">
        <f>MODEL!K1375</f>
        <v>1</v>
      </c>
      <c r="C1374" s="26">
        <f>MODEL!Q1375</f>
        <v>481.97901824303221</v>
      </c>
    </row>
    <row r="1375" spans="2:3" x14ac:dyDescent="0.3">
      <c r="B1375" s="24">
        <f>MODEL!K1376</f>
        <v>0</v>
      </c>
      <c r="C1375" s="26">
        <f>MODEL!Q1376</f>
        <v>522.48259235450178</v>
      </c>
    </row>
    <row r="1376" spans="2:3" x14ac:dyDescent="0.3">
      <c r="B1376" s="24">
        <f>MODEL!K1377</f>
        <v>0</v>
      </c>
      <c r="C1376" s="26">
        <f>MODEL!Q1377</f>
        <v>645.09057896996683</v>
      </c>
    </row>
    <row r="1377" spans="2:3" x14ac:dyDescent="0.3">
      <c r="B1377" s="24">
        <f>MODEL!K1378</f>
        <v>0</v>
      </c>
      <c r="C1377" s="26">
        <f>MODEL!Q1378</f>
        <v>499.58851256410969</v>
      </c>
    </row>
    <row r="1378" spans="2:3" x14ac:dyDescent="0.3">
      <c r="B1378" s="24">
        <f>MODEL!K1379</f>
        <v>0</v>
      </c>
      <c r="C1378" s="26">
        <f>MODEL!Q1379</f>
        <v>544.05198626639526</v>
      </c>
    </row>
    <row r="1379" spans="2:3" x14ac:dyDescent="0.3">
      <c r="B1379" s="24">
        <f>MODEL!K1380</f>
        <v>1</v>
      </c>
      <c r="C1379" s="26">
        <f>MODEL!Q1380</f>
        <v>514.40254039232286</v>
      </c>
    </row>
    <row r="1380" spans="2:3" x14ac:dyDescent="0.3">
      <c r="B1380" s="24">
        <f>MODEL!K1381</f>
        <v>1</v>
      </c>
      <c r="C1380" s="26">
        <f>MODEL!Q1381</f>
        <v>522.49057573706807</v>
      </c>
    </row>
    <row r="1381" spans="2:3" x14ac:dyDescent="0.3">
      <c r="B1381" s="24">
        <f>MODEL!K1382</f>
        <v>0</v>
      </c>
      <c r="C1381" s="26">
        <f>MODEL!Q1382</f>
        <v>502.95477144226368</v>
      </c>
    </row>
    <row r="1382" spans="2:3" x14ac:dyDescent="0.3">
      <c r="B1382" s="24">
        <f>MODEL!K1383</f>
        <v>0</v>
      </c>
      <c r="C1382" s="26">
        <f>MODEL!Q1383</f>
        <v>559.86073562399508</v>
      </c>
    </row>
    <row r="1383" spans="2:3" x14ac:dyDescent="0.3">
      <c r="B1383" s="24">
        <f>MODEL!K1384</f>
        <v>0</v>
      </c>
      <c r="C1383" s="26">
        <f>MODEL!Q1384</f>
        <v>509.8962010711943</v>
      </c>
    </row>
    <row r="1384" spans="2:3" x14ac:dyDescent="0.3">
      <c r="B1384" s="24">
        <f>MODEL!K1385</f>
        <v>1</v>
      </c>
      <c r="C1384" s="26">
        <f>MODEL!Q1385</f>
        <v>496.17594935247723</v>
      </c>
    </row>
    <row r="1385" spans="2:3" x14ac:dyDescent="0.3">
      <c r="B1385" s="24">
        <f>MODEL!K1386</f>
        <v>0</v>
      </c>
      <c r="C1385" s="26">
        <f>MODEL!Q1386</f>
        <v>507.9267995927587</v>
      </c>
    </row>
    <row r="1386" spans="2:3" x14ac:dyDescent="0.3">
      <c r="B1386" s="24">
        <f>MODEL!K1387</f>
        <v>1</v>
      </c>
      <c r="C1386" s="26">
        <f>MODEL!Q1387</f>
        <v>444.64740992960481</v>
      </c>
    </row>
    <row r="1387" spans="2:3" x14ac:dyDescent="0.3">
      <c r="B1387" s="24">
        <f>MODEL!K1388</f>
        <v>0</v>
      </c>
      <c r="C1387" s="26">
        <f>MODEL!Q1388</f>
        <v>540.97962522698083</v>
      </c>
    </row>
    <row r="1388" spans="2:3" x14ac:dyDescent="0.3">
      <c r="B1388" s="24">
        <f>MODEL!K1389</f>
        <v>0</v>
      </c>
      <c r="C1388" s="26">
        <f>MODEL!Q1389</f>
        <v>526.44083408573283</v>
      </c>
    </row>
    <row r="1389" spans="2:3" x14ac:dyDescent="0.3">
      <c r="B1389" s="24">
        <f>MODEL!K1390</f>
        <v>0</v>
      </c>
      <c r="C1389" s="26">
        <f>MODEL!Q1390</f>
        <v>574.40305991629634</v>
      </c>
    </row>
    <row r="1390" spans="2:3" x14ac:dyDescent="0.3">
      <c r="B1390" s="24">
        <f>MODEL!K1391</f>
        <v>1</v>
      </c>
      <c r="C1390" s="26">
        <f>MODEL!Q1391</f>
        <v>468.34378289598448</v>
      </c>
    </row>
    <row r="1391" spans="2:3" x14ac:dyDescent="0.3">
      <c r="B1391" s="24">
        <f>MODEL!K1392</f>
        <v>0</v>
      </c>
      <c r="C1391" s="26">
        <f>MODEL!Q1392</f>
        <v>518.573270222622</v>
      </c>
    </row>
    <row r="1392" spans="2:3" x14ac:dyDescent="0.3">
      <c r="B1392" s="24">
        <f>MODEL!K1393</f>
        <v>1</v>
      </c>
      <c r="C1392" s="26">
        <f>MODEL!Q1393</f>
        <v>514.13662730368969</v>
      </c>
    </row>
    <row r="1393" spans="2:3" x14ac:dyDescent="0.3">
      <c r="B1393" s="24">
        <f>MODEL!K1394</f>
        <v>0</v>
      </c>
      <c r="C1393" s="26">
        <f>MODEL!Q1394</f>
        <v>509.67638025210346</v>
      </c>
    </row>
    <row r="1394" spans="2:3" x14ac:dyDescent="0.3">
      <c r="B1394" s="24">
        <f>MODEL!K1395</f>
        <v>1</v>
      </c>
      <c r="C1394" s="26">
        <f>MODEL!Q1395</f>
        <v>517.72819210580587</v>
      </c>
    </row>
    <row r="1395" spans="2:3" x14ac:dyDescent="0.3">
      <c r="B1395" s="24">
        <f>MODEL!K1396</f>
        <v>1</v>
      </c>
      <c r="C1395" s="26">
        <f>MODEL!Q1396</f>
        <v>469.91013879855745</v>
      </c>
    </row>
    <row r="1396" spans="2:3" x14ac:dyDescent="0.3">
      <c r="B1396" s="24">
        <f>MODEL!K1397</f>
        <v>0</v>
      </c>
      <c r="C1396" s="26">
        <f>MODEL!Q1397</f>
        <v>496.12262779711892</v>
      </c>
    </row>
    <row r="1397" spans="2:3" x14ac:dyDescent="0.3">
      <c r="B1397" s="24">
        <f>MODEL!K1398</f>
        <v>1</v>
      </c>
      <c r="C1397" s="26">
        <f>MODEL!Q1398</f>
        <v>477.12465556980681</v>
      </c>
    </row>
    <row r="1398" spans="2:3" x14ac:dyDescent="0.3">
      <c r="B1398" s="24">
        <f>MODEL!K1399</f>
        <v>0</v>
      </c>
      <c r="C1398" s="26">
        <f>MODEL!Q1399</f>
        <v>515.71141118169521</v>
      </c>
    </row>
    <row r="1399" spans="2:3" x14ac:dyDescent="0.3">
      <c r="B1399" s="24">
        <f>MODEL!K1400</f>
        <v>0</v>
      </c>
      <c r="C1399" s="26">
        <f>MODEL!Q1400</f>
        <v>541.06732100928969</v>
      </c>
    </row>
    <row r="1400" spans="2:3" x14ac:dyDescent="0.3">
      <c r="B1400" s="24">
        <f>MODEL!K1401</f>
        <v>0</v>
      </c>
      <c r="C1400" s="26">
        <f>MODEL!Q1401</f>
        <v>539.23129653708384</v>
      </c>
    </row>
    <row r="1401" spans="2:3" x14ac:dyDescent="0.3">
      <c r="B1401" s="24">
        <f>MODEL!K1402</f>
        <v>0</v>
      </c>
      <c r="C1401" s="26">
        <f>MODEL!Q1402</f>
        <v>622.25097006241958</v>
      </c>
    </row>
    <row r="1402" spans="2:3" x14ac:dyDescent="0.3">
      <c r="B1402" s="24">
        <f>MODEL!K1403</f>
        <v>0</v>
      </c>
      <c r="C1402" s="26">
        <f>MODEL!Q1403</f>
        <v>348.02427461094362</v>
      </c>
    </row>
    <row r="1403" spans="2:3" x14ac:dyDescent="0.3">
      <c r="B1403" s="24">
        <f>MODEL!K1404</f>
        <v>0</v>
      </c>
      <c r="C1403" s="26">
        <f>MODEL!Q1404</f>
        <v>641.6407207240527</v>
      </c>
    </row>
    <row r="1404" spans="2:3" x14ac:dyDescent="0.3">
      <c r="B1404" s="24">
        <f>MODEL!K1405</f>
        <v>0</v>
      </c>
      <c r="C1404" s="26">
        <f>MODEL!Q1405</f>
        <v>481.7588736276557</v>
      </c>
    </row>
    <row r="1405" spans="2:3" x14ac:dyDescent="0.3">
      <c r="B1405" s="24">
        <f>MODEL!K1406</f>
        <v>0</v>
      </c>
      <c r="C1405" s="26">
        <f>MODEL!Q1406</f>
        <v>512.30717844100423</v>
      </c>
    </row>
    <row r="1406" spans="2:3" x14ac:dyDescent="0.3">
      <c r="B1406" s="24">
        <f>MODEL!K1407</f>
        <v>0</v>
      </c>
      <c r="C1406" s="26">
        <f>MODEL!Q1407</f>
        <v>510.12330477017844</v>
      </c>
    </row>
    <row r="1407" spans="2:3" x14ac:dyDescent="0.3">
      <c r="B1407" s="24">
        <f>MODEL!K1408</f>
        <v>1</v>
      </c>
      <c r="C1407" s="26">
        <f>MODEL!Q1408</f>
        <v>455.17653705195306</v>
      </c>
    </row>
    <row r="1408" spans="2:3" x14ac:dyDescent="0.3">
      <c r="B1408" s="24">
        <f>MODEL!K1409</f>
        <v>0</v>
      </c>
      <c r="C1408" s="26">
        <f>MODEL!Q1409</f>
        <v>482.45241021857527</v>
      </c>
    </row>
    <row r="1409" spans="2:3" x14ac:dyDescent="0.3">
      <c r="B1409" s="24">
        <f>MODEL!K1410</f>
        <v>0</v>
      </c>
      <c r="C1409" s="26">
        <f>MODEL!Q1410</f>
        <v>548.76442563367118</v>
      </c>
    </row>
    <row r="1410" spans="2:3" x14ac:dyDescent="0.3">
      <c r="B1410" s="24">
        <f>MODEL!K1411</f>
        <v>0</v>
      </c>
      <c r="C1410" s="26">
        <f>MODEL!Q1411</f>
        <v>506.73642329580434</v>
      </c>
    </row>
    <row r="1411" spans="2:3" x14ac:dyDescent="0.3">
      <c r="B1411" s="24">
        <f>MODEL!K1412</f>
        <v>0</v>
      </c>
      <c r="C1411" s="26">
        <f>MODEL!Q1412</f>
        <v>539.07337975176188</v>
      </c>
    </row>
    <row r="1412" spans="2:3" x14ac:dyDescent="0.3">
      <c r="B1412" s="24">
        <f>MODEL!K1413</f>
        <v>0</v>
      </c>
      <c r="C1412" s="26">
        <f>MODEL!Q1413</f>
        <v>516.48258878993704</v>
      </c>
    </row>
    <row r="1413" spans="2:3" x14ac:dyDescent="0.3">
      <c r="B1413" s="24">
        <f>MODEL!K1414</f>
        <v>1</v>
      </c>
      <c r="C1413" s="26">
        <f>MODEL!Q1414</f>
        <v>506.84931208140267</v>
      </c>
    </row>
    <row r="1414" spans="2:3" x14ac:dyDescent="0.3">
      <c r="B1414" s="24">
        <f>MODEL!K1415</f>
        <v>0</v>
      </c>
      <c r="C1414" s="26">
        <f>MODEL!Q1415</f>
        <v>510.50774388379847</v>
      </c>
    </row>
    <row r="1415" spans="2:3" x14ac:dyDescent="0.3">
      <c r="B1415" s="24">
        <f>MODEL!K1416</f>
        <v>0</v>
      </c>
      <c r="C1415" s="26">
        <f>MODEL!Q1416</f>
        <v>540.88510564819694</v>
      </c>
    </row>
    <row r="1416" spans="2:3" x14ac:dyDescent="0.3">
      <c r="B1416" s="24">
        <f>MODEL!K1417</f>
        <v>1</v>
      </c>
      <c r="C1416" s="26">
        <f>MODEL!Q1417</f>
        <v>512.35801515423623</v>
      </c>
    </row>
    <row r="1417" spans="2:3" x14ac:dyDescent="0.3">
      <c r="B1417" s="24">
        <f>MODEL!K1418</f>
        <v>0</v>
      </c>
      <c r="C1417" s="26">
        <f>MODEL!Q1418</f>
        <v>597.78539765912626</v>
      </c>
    </row>
    <row r="1418" spans="2:3" x14ac:dyDescent="0.3">
      <c r="B1418" s="24">
        <f>MODEL!K1419</f>
        <v>1</v>
      </c>
      <c r="C1418" s="26">
        <f>MODEL!Q1419</f>
        <v>435.27992738440867</v>
      </c>
    </row>
    <row r="1419" spans="2:3" x14ac:dyDescent="0.3">
      <c r="B1419" s="24">
        <f>MODEL!K1420</f>
        <v>0</v>
      </c>
      <c r="C1419" s="26">
        <f>MODEL!Q1420</f>
        <v>516.32775986664001</v>
      </c>
    </row>
    <row r="1420" spans="2:3" x14ac:dyDescent="0.3">
      <c r="B1420" s="24">
        <f>MODEL!K1421</f>
        <v>0</v>
      </c>
      <c r="C1420" s="26">
        <f>MODEL!Q1421</f>
        <v>647.51045050723792</v>
      </c>
    </row>
    <row r="1421" spans="2:3" x14ac:dyDescent="0.3">
      <c r="B1421" s="24">
        <f>MODEL!K1422</f>
        <v>0</v>
      </c>
      <c r="C1421" s="26">
        <f>MODEL!Q1422</f>
        <v>549.02380039525485</v>
      </c>
    </row>
    <row r="1422" spans="2:3" x14ac:dyDescent="0.3">
      <c r="B1422" s="24">
        <f>MODEL!K1423</f>
        <v>0</v>
      </c>
      <c r="C1422" s="26">
        <f>MODEL!Q1423</f>
        <v>607.0359140430985</v>
      </c>
    </row>
    <row r="1423" spans="2:3" x14ac:dyDescent="0.3">
      <c r="B1423" s="24">
        <f>MODEL!K1424</f>
        <v>1</v>
      </c>
      <c r="C1423" s="26">
        <f>MODEL!Q1424</f>
        <v>487.60130343098137</v>
      </c>
    </row>
    <row r="1424" spans="2:3" x14ac:dyDescent="0.3">
      <c r="B1424" s="24">
        <f>MODEL!K1425</f>
        <v>1</v>
      </c>
      <c r="C1424" s="26">
        <f>MODEL!Q1425</f>
        <v>456.20900635548753</v>
      </c>
    </row>
    <row r="1425" spans="2:3" x14ac:dyDescent="0.3">
      <c r="B1425" s="24">
        <f>MODEL!K1426</f>
        <v>1</v>
      </c>
      <c r="C1425" s="26">
        <f>MODEL!Q1426</f>
        <v>486.43305832947993</v>
      </c>
    </row>
    <row r="1426" spans="2:3" x14ac:dyDescent="0.3">
      <c r="B1426" s="24">
        <f>MODEL!K1427</f>
        <v>1</v>
      </c>
      <c r="C1426" s="26">
        <f>MODEL!Q1427</f>
        <v>490.61176485066915</v>
      </c>
    </row>
    <row r="1427" spans="2:3" x14ac:dyDescent="0.3">
      <c r="B1427" s="24">
        <f>MODEL!K1428</f>
        <v>0</v>
      </c>
      <c r="C1427" s="26">
        <f>MODEL!Q1428</f>
        <v>603.73440937229941</v>
      </c>
    </row>
    <row r="1428" spans="2:3" x14ac:dyDescent="0.3">
      <c r="B1428" s="24">
        <f>MODEL!K1429</f>
        <v>0</v>
      </c>
      <c r="C1428" s="26">
        <f>MODEL!Q1429</f>
        <v>541.06204647222717</v>
      </c>
    </row>
    <row r="1429" spans="2:3" x14ac:dyDescent="0.3">
      <c r="B1429" s="24">
        <f>MODEL!K1430</f>
        <v>1</v>
      </c>
      <c r="C1429" s="26">
        <f>MODEL!Q1430</f>
        <v>473.3807861423528</v>
      </c>
    </row>
    <row r="1430" spans="2:3" x14ac:dyDescent="0.3">
      <c r="B1430" s="24">
        <f>MODEL!K1431</f>
        <v>0</v>
      </c>
      <c r="C1430" s="26">
        <f>MODEL!Q1431</f>
        <v>580.19929650171912</v>
      </c>
    </row>
    <row r="1431" spans="2:3" x14ac:dyDescent="0.3">
      <c r="B1431" s="24">
        <f>MODEL!K1432</f>
        <v>0</v>
      </c>
      <c r="C1431" s="26">
        <f>MODEL!Q1432</f>
        <v>495.23209756848905</v>
      </c>
    </row>
    <row r="1432" spans="2:3" x14ac:dyDescent="0.3">
      <c r="B1432" s="24">
        <f>MODEL!K1433</f>
        <v>0</v>
      </c>
      <c r="C1432" s="26">
        <f>MODEL!Q1433</f>
        <v>604.78716226960591</v>
      </c>
    </row>
    <row r="1433" spans="2:3" x14ac:dyDescent="0.3">
      <c r="B1433" s="24">
        <f>MODEL!K1434</f>
        <v>0</v>
      </c>
      <c r="C1433" s="26">
        <f>MODEL!Q1434</f>
        <v>491.98762238240499</v>
      </c>
    </row>
    <row r="1434" spans="2:3" x14ac:dyDescent="0.3">
      <c r="B1434" s="24">
        <f>MODEL!K1435</f>
        <v>1</v>
      </c>
      <c r="C1434" s="26">
        <f>MODEL!Q1435</f>
        <v>273.05593871229121</v>
      </c>
    </row>
    <row r="1435" spans="2:3" x14ac:dyDescent="0.3">
      <c r="B1435" s="24">
        <f>MODEL!K1436</f>
        <v>0</v>
      </c>
      <c r="C1435" s="26">
        <f>MODEL!Q1436</f>
        <v>623.77941267304334</v>
      </c>
    </row>
    <row r="1436" spans="2:3" x14ac:dyDescent="0.3">
      <c r="B1436" s="24">
        <f>MODEL!K1437</f>
        <v>1</v>
      </c>
      <c r="C1436" s="26">
        <f>MODEL!Q1437</f>
        <v>462.65796438728887</v>
      </c>
    </row>
    <row r="1437" spans="2:3" x14ac:dyDescent="0.3">
      <c r="B1437" s="24">
        <f>MODEL!K1438</f>
        <v>0</v>
      </c>
      <c r="C1437" s="26">
        <f>MODEL!Q1438</f>
        <v>484.38349758892645</v>
      </c>
    </row>
    <row r="1438" spans="2:3" x14ac:dyDescent="0.3">
      <c r="B1438" s="24">
        <f>MODEL!K1439</f>
        <v>0</v>
      </c>
      <c r="C1438" s="26">
        <f>MODEL!Q1439</f>
        <v>494.85477086054573</v>
      </c>
    </row>
    <row r="1439" spans="2:3" x14ac:dyDescent="0.3">
      <c r="B1439" s="24">
        <f>MODEL!K1440</f>
        <v>0</v>
      </c>
      <c r="C1439" s="26">
        <f>MODEL!Q1440</f>
        <v>500.239387686361</v>
      </c>
    </row>
    <row r="1440" spans="2:3" x14ac:dyDescent="0.3">
      <c r="B1440" s="24">
        <f>MODEL!K1441</f>
        <v>1</v>
      </c>
      <c r="C1440" s="26">
        <f>MODEL!Q1441</f>
        <v>478.54963143409037</v>
      </c>
    </row>
    <row r="1441" spans="2:3" x14ac:dyDescent="0.3">
      <c r="B1441" s="24">
        <f>MODEL!K1442</f>
        <v>0</v>
      </c>
      <c r="C1441" s="26">
        <f>MODEL!Q1442</f>
        <v>536.71855248506142</v>
      </c>
    </row>
    <row r="1442" spans="2:3" x14ac:dyDescent="0.3">
      <c r="B1442" s="24">
        <f>MODEL!K1443</f>
        <v>1</v>
      </c>
      <c r="C1442" s="26">
        <f>MODEL!Q1443</f>
        <v>583.12886087427705</v>
      </c>
    </row>
    <row r="1443" spans="2:3" x14ac:dyDescent="0.3">
      <c r="B1443" s="24">
        <f>MODEL!K1444</f>
        <v>0</v>
      </c>
      <c r="C1443" s="26">
        <f>MODEL!Q1444</f>
        <v>583.56766060706468</v>
      </c>
    </row>
    <row r="1444" spans="2:3" x14ac:dyDescent="0.3">
      <c r="B1444" s="24">
        <f>MODEL!K1445</f>
        <v>0</v>
      </c>
      <c r="C1444" s="26">
        <f>MODEL!Q1445</f>
        <v>524.43620690825628</v>
      </c>
    </row>
    <row r="1445" spans="2:3" x14ac:dyDescent="0.3">
      <c r="B1445" s="24">
        <f>MODEL!K1446</f>
        <v>1</v>
      </c>
      <c r="C1445" s="26">
        <f>MODEL!Q1446</f>
        <v>487.55479061638698</v>
      </c>
    </row>
    <row r="1446" spans="2:3" x14ac:dyDescent="0.3">
      <c r="B1446" s="24">
        <f>MODEL!K1447</f>
        <v>0</v>
      </c>
      <c r="C1446" s="26">
        <f>MODEL!Q1447</f>
        <v>503.12965490588766</v>
      </c>
    </row>
    <row r="1447" spans="2:3" x14ac:dyDescent="0.3">
      <c r="B1447" s="24">
        <f>MODEL!K1448</f>
        <v>0</v>
      </c>
      <c r="C1447" s="26">
        <f>MODEL!Q1448</f>
        <v>536.76180767502137</v>
      </c>
    </row>
    <row r="1448" spans="2:3" x14ac:dyDescent="0.3">
      <c r="B1448" s="24">
        <f>MODEL!K1449</f>
        <v>1</v>
      </c>
      <c r="C1448" s="26">
        <f>MODEL!Q1449</f>
        <v>499.84390267760097</v>
      </c>
    </row>
    <row r="1449" spans="2:3" x14ac:dyDescent="0.3">
      <c r="B1449" s="24">
        <f>MODEL!K1450</f>
        <v>0</v>
      </c>
      <c r="C1449" s="26">
        <f>MODEL!Q1450</f>
        <v>520.01849036558747</v>
      </c>
    </row>
    <row r="1450" spans="2:3" x14ac:dyDescent="0.3">
      <c r="B1450" s="24">
        <f>MODEL!K1451</f>
        <v>1</v>
      </c>
      <c r="C1450" s="26">
        <f>MODEL!Q1451</f>
        <v>472.7158851236203</v>
      </c>
    </row>
    <row r="1451" spans="2:3" x14ac:dyDescent="0.3">
      <c r="B1451" s="24">
        <f>MODEL!K1452</f>
        <v>1</v>
      </c>
      <c r="C1451" s="26">
        <f>MODEL!Q1452</f>
        <v>483.26712719692654</v>
      </c>
    </row>
    <row r="1452" spans="2:3" x14ac:dyDescent="0.3">
      <c r="B1452" s="24">
        <f>MODEL!K1453</f>
        <v>0</v>
      </c>
      <c r="C1452" s="26">
        <f>MODEL!Q1453</f>
        <v>526.52227523551755</v>
      </c>
    </row>
    <row r="1453" spans="2:3" x14ac:dyDescent="0.3">
      <c r="B1453" s="24">
        <f>MODEL!K1454</f>
        <v>1</v>
      </c>
      <c r="C1453" s="26">
        <f>MODEL!Q1454</f>
        <v>494.77694909552145</v>
      </c>
    </row>
    <row r="1454" spans="2:3" x14ac:dyDescent="0.3">
      <c r="B1454" s="24">
        <f>MODEL!K1455</f>
        <v>0</v>
      </c>
      <c r="C1454" s="26">
        <f>MODEL!Q1455</f>
        <v>682.3245934493259</v>
      </c>
    </row>
    <row r="1455" spans="2:3" x14ac:dyDescent="0.3">
      <c r="B1455" s="24">
        <f>MODEL!K1456</f>
        <v>0</v>
      </c>
      <c r="C1455" s="26">
        <f>MODEL!Q1456</f>
        <v>683.28295146732091</v>
      </c>
    </row>
    <row r="1456" spans="2:3" x14ac:dyDescent="0.3">
      <c r="B1456" s="24">
        <f>MODEL!K1457</f>
        <v>0</v>
      </c>
      <c r="C1456" s="26">
        <f>MODEL!Q1457</f>
        <v>549.38046761414751</v>
      </c>
    </row>
    <row r="1457" spans="2:3" x14ac:dyDescent="0.3">
      <c r="B1457" s="24">
        <f>MODEL!K1458</f>
        <v>1</v>
      </c>
      <c r="C1457" s="26">
        <f>MODEL!Q1458</f>
        <v>493.72903100183316</v>
      </c>
    </row>
    <row r="1458" spans="2:3" x14ac:dyDescent="0.3">
      <c r="B1458" s="24">
        <f>MODEL!K1459</f>
        <v>0</v>
      </c>
      <c r="C1458" s="26">
        <f>MODEL!Q1459</f>
        <v>479.21497105726911</v>
      </c>
    </row>
    <row r="1459" spans="2:3" x14ac:dyDescent="0.3">
      <c r="B1459" s="24">
        <f>MODEL!K1460</f>
        <v>0</v>
      </c>
      <c r="C1459" s="26">
        <f>MODEL!Q1460</f>
        <v>495.87224669838452</v>
      </c>
    </row>
    <row r="1460" spans="2:3" x14ac:dyDescent="0.3">
      <c r="B1460" s="24">
        <f>MODEL!K1461</f>
        <v>1</v>
      </c>
      <c r="C1460" s="26">
        <f>MODEL!Q1461</f>
        <v>497.86144126578512</v>
      </c>
    </row>
    <row r="1461" spans="2:3" x14ac:dyDescent="0.3">
      <c r="B1461" s="24">
        <f>MODEL!K1462</f>
        <v>1</v>
      </c>
      <c r="C1461" s="26">
        <f>MODEL!Q1462</f>
        <v>434.87951459551118</v>
      </c>
    </row>
    <row r="1462" spans="2:3" x14ac:dyDescent="0.3">
      <c r="B1462" s="24">
        <f>MODEL!K1463</f>
        <v>0</v>
      </c>
      <c r="C1462" s="26">
        <f>MODEL!Q1463</f>
        <v>576.48169796539696</v>
      </c>
    </row>
    <row r="1463" spans="2:3" x14ac:dyDescent="0.3">
      <c r="B1463" s="24">
        <f>MODEL!K1464</f>
        <v>0</v>
      </c>
      <c r="C1463" s="26">
        <f>MODEL!Q1464</f>
        <v>487.65944269133303</v>
      </c>
    </row>
    <row r="1464" spans="2:3" x14ac:dyDescent="0.3">
      <c r="B1464" s="24">
        <f>MODEL!K1465</f>
        <v>0</v>
      </c>
      <c r="C1464" s="26">
        <f>MODEL!Q1465</f>
        <v>732.4527105027986</v>
      </c>
    </row>
    <row r="1465" spans="2:3" x14ac:dyDescent="0.3">
      <c r="B1465" s="24">
        <f>MODEL!K1466</f>
        <v>1</v>
      </c>
      <c r="C1465" s="26">
        <f>MODEL!Q1466</f>
        <v>455.33279630739406</v>
      </c>
    </row>
    <row r="1466" spans="2:3" x14ac:dyDescent="0.3">
      <c r="B1466" s="24">
        <f>MODEL!K1467</f>
        <v>0</v>
      </c>
      <c r="C1466" s="26">
        <f>MODEL!Q1467</f>
        <v>522.52199419921271</v>
      </c>
    </row>
    <row r="1467" spans="2:3" x14ac:dyDescent="0.3">
      <c r="B1467" s="24">
        <f>MODEL!K1468</f>
        <v>1</v>
      </c>
      <c r="C1467" s="26">
        <f>MODEL!Q1468</f>
        <v>497.53180836241324</v>
      </c>
    </row>
    <row r="1468" spans="2:3" x14ac:dyDescent="0.3">
      <c r="B1468" s="24">
        <f>MODEL!K1469</f>
        <v>0</v>
      </c>
      <c r="C1468" s="26">
        <f>MODEL!Q1469</f>
        <v>527.11525061599559</v>
      </c>
    </row>
    <row r="1469" spans="2:3" x14ac:dyDescent="0.3">
      <c r="B1469" s="24">
        <f>MODEL!K1470</f>
        <v>1</v>
      </c>
      <c r="C1469" s="26">
        <f>MODEL!Q1470</f>
        <v>485.11572874251556</v>
      </c>
    </row>
    <row r="1470" spans="2:3" x14ac:dyDescent="0.3">
      <c r="B1470" s="24">
        <f>MODEL!K1471</f>
        <v>0</v>
      </c>
      <c r="C1470" s="26">
        <f>MODEL!Q1471</f>
        <v>589.36887040002739</v>
      </c>
    </row>
    <row r="1471" spans="2:3" x14ac:dyDescent="0.3">
      <c r="B1471" s="24">
        <f>MODEL!K1472</f>
        <v>0</v>
      </c>
      <c r="C1471" s="26">
        <f>MODEL!Q1472</f>
        <v>533.14663813141044</v>
      </c>
    </row>
    <row r="1472" spans="2:3" x14ac:dyDescent="0.3">
      <c r="B1472" s="24">
        <f>MODEL!K1473</f>
        <v>0</v>
      </c>
      <c r="C1472" s="26">
        <f>MODEL!Q1473</f>
        <v>458.5907635333561</v>
      </c>
    </row>
    <row r="1473" spans="2:3" x14ac:dyDescent="0.3">
      <c r="B1473" s="24">
        <f>MODEL!K1474</f>
        <v>0</v>
      </c>
      <c r="C1473" s="26">
        <f>MODEL!Q1474</f>
        <v>484.40048008181492</v>
      </c>
    </row>
    <row r="1474" spans="2:3" x14ac:dyDescent="0.3">
      <c r="B1474" s="24">
        <f>MODEL!K1475</f>
        <v>1</v>
      </c>
      <c r="C1474" s="26">
        <f>MODEL!Q1475</f>
        <v>538.51743257396799</v>
      </c>
    </row>
    <row r="1475" spans="2:3" x14ac:dyDescent="0.3">
      <c r="B1475" s="24">
        <f>MODEL!K1476</f>
        <v>1</v>
      </c>
      <c r="C1475" s="26">
        <f>MODEL!Q1476</f>
        <v>424.1663490937184</v>
      </c>
    </row>
    <row r="1476" spans="2:3" x14ac:dyDescent="0.3">
      <c r="B1476" s="24">
        <f>MODEL!K1477</f>
        <v>0</v>
      </c>
      <c r="C1476" s="26">
        <f>MODEL!Q1477</f>
        <v>505.34019321949233</v>
      </c>
    </row>
    <row r="1477" spans="2:3" x14ac:dyDescent="0.3">
      <c r="B1477" s="24">
        <f>MODEL!K1478</f>
        <v>0</v>
      </c>
      <c r="C1477" s="26">
        <f>MODEL!Q1478</f>
        <v>516.93514265832084</v>
      </c>
    </row>
    <row r="1478" spans="2:3" x14ac:dyDescent="0.3">
      <c r="B1478" s="24">
        <f>MODEL!K1479</f>
        <v>0</v>
      </c>
      <c r="C1478" s="26">
        <f>MODEL!Q1479</f>
        <v>653.73259263447289</v>
      </c>
    </row>
    <row r="1479" spans="2:3" x14ac:dyDescent="0.3">
      <c r="B1479" s="24">
        <f>MODEL!K1480</f>
        <v>0</v>
      </c>
      <c r="C1479" s="26">
        <f>MODEL!Q1480</f>
        <v>559.94639266223112</v>
      </c>
    </row>
    <row r="1480" spans="2:3" x14ac:dyDescent="0.3">
      <c r="B1480" s="24">
        <f>MODEL!K1481</f>
        <v>0</v>
      </c>
      <c r="C1480" s="26">
        <f>MODEL!Q1481</f>
        <v>510.96673526308905</v>
      </c>
    </row>
    <row r="1481" spans="2:3" x14ac:dyDescent="0.3">
      <c r="B1481" s="24">
        <f>MODEL!K1482</f>
        <v>0</v>
      </c>
      <c r="C1481" s="26">
        <f>MODEL!Q1482</f>
        <v>572.01640404885188</v>
      </c>
    </row>
    <row r="1482" spans="2:3" x14ac:dyDescent="0.3">
      <c r="B1482" s="24">
        <f>MODEL!K1483</f>
        <v>0</v>
      </c>
      <c r="C1482" s="26">
        <f>MODEL!Q1483</f>
        <v>551.16130364621313</v>
      </c>
    </row>
    <row r="1483" spans="2:3" x14ac:dyDescent="0.3">
      <c r="B1483" s="24">
        <f>MODEL!K1484</f>
        <v>1</v>
      </c>
      <c r="C1483" s="26">
        <f>MODEL!Q1484</f>
        <v>540.7558610486002</v>
      </c>
    </row>
    <row r="1484" spans="2:3" x14ac:dyDescent="0.3">
      <c r="B1484" s="24">
        <f>MODEL!K1485</f>
        <v>1</v>
      </c>
      <c r="C1484" s="26">
        <f>MODEL!Q1485</f>
        <v>462.84777326207478</v>
      </c>
    </row>
    <row r="1485" spans="2:3" x14ac:dyDescent="0.3">
      <c r="B1485" s="24">
        <f>MODEL!K1486</f>
        <v>0</v>
      </c>
      <c r="C1485" s="26">
        <f>MODEL!Q1486</f>
        <v>452.38457168585597</v>
      </c>
    </row>
    <row r="1486" spans="2:3" x14ac:dyDescent="0.3">
      <c r="B1486" s="24">
        <f>MODEL!K1487</f>
        <v>0</v>
      </c>
      <c r="C1486" s="26">
        <f>MODEL!Q1487</f>
        <v>482.19435786108392</v>
      </c>
    </row>
    <row r="1487" spans="2:3" x14ac:dyDescent="0.3">
      <c r="B1487" s="24">
        <f>MODEL!K1488</f>
        <v>1</v>
      </c>
      <c r="C1487" s="26">
        <f>MODEL!Q1488</f>
        <v>482.98231281685469</v>
      </c>
    </row>
    <row r="1488" spans="2:3" x14ac:dyDescent="0.3">
      <c r="B1488" s="24">
        <f>MODEL!K1489</f>
        <v>1</v>
      </c>
      <c r="C1488" s="26">
        <f>MODEL!Q1489</f>
        <v>424.69954032987971</v>
      </c>
    </row>
    <row r="1489" spans="2:3" x14ac:dyDescent="0.3">
      <c r="B1489" s="24">
        <f>MODEL!K1490</f>
        <v>0</v>
      </c>
      <c r="C1489" s="26">
        <f>MODEL!Q1490</f>
        <v>524.61500968062512</v>
      </c>
    </row>
    <row r="1490" spans="2:3" x14ac:dyDescent="0.3">
      <c r="B1490" s="24">
        <f>MODEL!K1491</f>
        <v>1</v>
      </c>
      <c r="C1490" s="26">
        <f>MODEL!Q1491</f>
        <v>486.01086512769774</v>
      </c>
    </row>
    <row r="1491" spans="2:3" x14ac:dyDescent="0.3">
      <c r="B1491" s="24">
        <f>MODEL!K1492</f>
        <v>0</v>
      </c>
      <c r="C1491" s="26">
        <f>MODEL!Q1492</f>
        <v>541.2546630345646</v>
      </c>
    </row>
    <row r="1492" spans="2:3" x14ac:dyDescent="0.3">
      <c r="B1492" s="24">
        <f>MODEL!K1493</f>
        <v>1</v>
      </c>
      <c r="C1492" s="26">
        <f>MODEL!Q1493</f>
        <v>465.48768563431588</v>
      </c>
    </row>
    <row r="1493" spans="2:3" x14ac:dyDescent="0.3">
      <c r="B1493" s="24">
        <f>MODEL!K1494</f>
        <v>0</v>
      </c>
      <c r="C1493" s="26">
        <f>MODEL!Q1494</f>
        <v>507.51686989518436</v>
      </c>
    </row>
    <row r="1494" spans="2:3" x14ac:dyDescent="0.3">
      <c r="B1494" s="24">
        <f>MODEL!K1495</f>
        <v>1</v>
      </c>
      <c r="C1494" s="26">
        <f>MODEL!Q1495</f>
        <v>483.91223805269868</v>
      </c>
    </row>
    <row r="1495" spans="2:3" x14ac:dyDescent="0.3">
      <c r="B1495" s="24">
        <f>MODEL!K1496</f>
        <v>0</v>
      </c>
      <c r="C1495" s="26">
        <f>MODEL!Q1496</f>
        <v>467.94916895245376</v>
      </c>
    </row>
    <row r="1496" spans="2:3" x14ac:dyDescent="0.3">
      <c r="B1496" s="24">
        <f>MODEL!K1497</f>
        <v>0</v>
      </c>
      <c r="C1496" s="26">
        <f>MODEL!Q1497</f>
        <v>515.09459704921665</v>
      </c>
    </row>
    <row r="1497" spans="2:3" x14ac:dyDescent="0.3">
      <c r="B1497" s="24">
        <f>MODEL!K1498</f>
        <v>1</v>
      </c>
      <c r="C1497" s="26">
        <f>MODEL!Q1498</f>
        <v>497.2706612201863</v>
      </c>
    </row>
    <row r="1498" spans="2:3" x14ac:dyDescent="0.3">
      <c r="B1498" s="24">
        <f>MODEL!K1499</f>
        <v>0</v>
      </c>
      <c r="C1498" s="26">
        <f>MODEL!Q1499</f>
        <v>517.78528293951297</v>
      </c>
    </row>
    <row r="1499" spans="2:3" x14ac:dyDescent="0.3">
      <c r="B1499" s="24">
        <f>MODEL!K1500</f>
        <v>0</v>
      </c>
      <c r="C1499" s="26">
        <f>MODEL!Q1500</f>
        <v>575.41653432734859</v>
      </c>
    </row>
    <row r="1500" spans="2:3" x14ac:dyDescent="0.3">
      <c r="B1500" s="24">
        <f>MODEL!K1501</f>
        <v>0</v>
      </c>
      <c r="C1500" s="26">
        <f>MODEL!Q1501</f>
        <v>511.38907764619807</v>
      </c>
    </row>
    <row r="1501" spans="2:3" x14ac:dyDescent="0.3">
      <c r="B1501" s="24">
        <f>MODEL!K1502</f>
        <v>0</v>
      </c>
      <c r="C1501" s="26">
        <f>MODEL!Q1502</f>
        <v>532.58231758025568</v>
      </c>
    </row>
    <row r="1502" spans="2:3" ht="15" thickBot="1" x14ac:dyDescent="0.35">
      <c r="B1502" s="22">
        <f>MODEL!K1503</f>
        <v>0</v>
      </c>
      <c r="C1502" s="28">
        <f>MODEL!Q1503</f>
        <v>506.92074720980065</v>
      </c>
    </row>
  </sheetData>
  <autoFilter ref="B2:C1502" xr:uid="{00000000-0001-0000-0600-000000000000}"/>
  <mergeCells count="3">
    <mergeCell ref="L6:N6"/>
    <mergeCell ref="P6:R6"/>
    <mergeCell ref="AA6:AD6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I22"/>
  <sheetViews>
    <sheetView workbookViewId="0">
      <selection activeCell="D27" sqref="D27"/>
    </sheetView>
  </sheetViews>
  <sheetFormatPr defaultRowHeight="14.4" x14ac:dyDescent="0.3"/>
  <cols>
    <col min="1" max="1" width="4.5546875" customWidth="1"/>
    <col min="3" max="3" width="55.5546875" bestFit="1" customWidth="1"/>
    <col min="4" max="4" width="25.88671875" bestFit="1" customWidth="1"/>
    <col min="9" max="9" width="33.77734375" customWidth="1"/>
  </cols>
  <sheetData>
    <row r="1" spans="2:9" ht="15" thickBot="1" x14ac:dyDescent="0.35"/>
    <row r="2" spans="2:9" ht="15" thickBot="1" x14ac:dyDescent="0.35">
      <c r="C2" s="13" t="s">
        <v>66</v>
      </c>
    </row>
    <row r="3" spans="2:9" x14ac:dyDescent="0.3">
      <c r="G3" s="105"/>
      <c r="H3">
        <f>(H4-I7)/10</f>
        <v>25</v>
      </c>
    </row>
    <row r="4" spans="2:9" x14ac:dyDescent="0.3">
      <c r="C4" t="s">
        <v>67</v>
      </c>
      <c r="G4" s="105"/>
      <c r="H4">
        <f>I8-I7</f>
        <v>550</v>
      </c>
    </row>
    <row r="5" spans="2:9" x14ac:dyDescent="0.3">
      <c r="C5" t="s">
        <v>68</v>
      </c>
    </row>
    <row r="6" spans="2:9" ht="15" thickBot="1" x14ac:dyDescent="0.35">
      <c r="C6" t="s">
        <v>69</v>
      </c>
      <c r="G6" t="s">
        <v>119</v>
      </c>
    </row>
    <row r="7" spans="2:9" x14ac:dyDescent="0.3">
      <c r="C7" t="s">
        <v>70</v>
      </c>
      <c r="G7" s="3">
        <v>1</v>
      </c>
      <c r="H7" s="31" t="s">
        <v>83</v>
      </c>
      <c r="I7" s="4">
        <v>300</v>
      </c>
    </row>
    <row r="8" spans="2:9" ht="15" thickBot="1" x14ac:dyDescent="0.35">
      <c r="G8" s="5">
        <v>2</v>
      </c>
      <c r="H8" s="17" t="s">
        <v>84</v>
      </c>
      <c r="I8" s="6">
        <v>850</v>
      </c>
    </row>
    <row r="9" spans="2:9" ht="15" thickBot="1" x14ac:dyDescent="0.35">
      <c r="B9" s="1" t="s">
        <v>71</v>
      </c>
      <c r="C9" s="2" t="s">
        <v>72</v>
      </c>
    </row>
    <row r="10" spans="2:9" ht="15" thickBot="1" x14ac:dyDescent="0.35"/>
    <row r="11" spans="2:9" ht="15" thickBot="1" x14ac:dyDescent="0.35">
      <c r="B11" s="1" t="s">
        <v>78</v>
      </c>
      <c r="C11" t="s">
        <v>79</v>
      </c>
      <c r="H11" s="2" t="s">
        <v>120</v>
      </c>
      <c r="I11" s="92" t="s">
        <v>121</v>
      </c>
    </row>
    <row r="12" spans="2:9" ht="15" thickBot="1" x14ac:dyDescent="0.35">
      <c r="B12" s="1" t="s">
        <v>71</v>
      </c>
      <c r="C12" s="2" t="s">
        <v>73</v>
      </c>
      <c r="H12" t="s">
        <v>122</v>
      </c>
      <c r="I12" t="s">
        <v>123</v>
      </c>
    </row>
    <row r="14" spans="2:9" ht="15" thickBot="1" x14ac:dyDescent="0.35">
      <c r="C14" t="s">
        <v>74</v>
      </c>
    </row>
    <row r="15" spans="2:9" x14ac:dyDescent="0.3">
      <c r="B15" s="3" t="s">
        <v>75</v>
      </c>
      <c r="C15" s="4">
        <v>28.85390081777927</v>
      </c>
    </row>
    <row r="16" spans="2:9" ht="15" thickBot="1" x14ac:dyDescent="0.35">
      <c r="B16" s="5" t="s">
        <v>76</v>
      </c>
      <c r="C16" s="6">
        <v>487.12287620450547</v>
      </c>
    </row>
    <row r="17" spans="2:4" ht="15" thickBot="1" x14ac:dyDescent="0.35"/>
    <row r="18" spans="2:4" ht="15" thickBot="1" x14ac:dyDescent="0.35">
      <c r="C18" s="2" t="s">
        <v>77</v>
      </c>
    </row>
    <row r="20" spans="2:4" ht="15" thickBot="1" x14ac:dyDescent="0.35"/>
    <row r="21" spans="2:4" x14ac:dyDescent="0.3">
      <c r="B21" s="7" t="s">
        <v>81</v>
      </c>
      <c r="C21" s="11" t="s">
        <v>58</v>
      </c>
      <c r="D21" s="8">
        <v>5.0000000000000001E-3</v>
      </c>
    </row>
    <row r="22" spans="2:4" ht="15" thickBot="1" x14ac:dyDescent="0.35">
      <c r="B22" s="9" t="s">
        <v>80</v>
      </c>
      <c r="C22" s="12" t="s">
        <v>13</v>
      </c>
      <c r="D22" s="10">
        <v>639.85536861537844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28"/>
  <sheetViews>
    <sheetView tabSelected="1" workbookViewId="0">
      <selection activeCell="F15" sqref="F15"/>
    </sheetView>
  </sheetViews>
  <sheetFormatPr defaultRowHeight="14.4" x14ac:dyDescent="0.3"/>
  <cols>
    <col min="3" max="3" width="12" bestFit="1" customWidth="1"/>
    <col min="9" max="9" width="33.77734375" customWidth="1"/>
  </cols>
  <sheetData>
    <row r="1" spans="2:9" ht="15" thickBot="1" x14ac:dyDescent="0.35"/>
    <row r="2" spans="2:9" ht="15" thickBot="1" x14ac:dyDescent="0.35">
      <c r="B2" s="93" t="s">
        <v>59</v>
      </c>
      <c r="C2" s="94" t="s">
        <v>60</v>
      </c>
      <c r="D2" s="94" t="s">
        <v>61</v>
      </c>
      <c r="E2" s="95" t="s">
        <v>13</v>
      </c>
    </row>
    <row r="3" spans="2:9" x14ac:dyDescent="0.3">
      <c r="B3" s="96">
        <v>1.0000000000000001E-5</v>
      </c>
      <c r="C3" s="100">
        <f>B3/(1-B3)</f>
        <v>1.000010000100001E-5</v>
      </c>
      <c r="D3" s="98">
        <f>LN(C3)</f>
        <v>-11.512915464920228</v>
      </c>
      <c r="E3" s="102">
        <f>$H$4+($H$3*D3)</f>
        <v>262.17711337699427</v>
      </c>
      <c r="G3" s="104" t="s">
        <v>62</v>
      </c>
      <c r="H3">
        <f>(H4-I7)/10</f>
        <v>25</v>
      </c>
      <c r="I3" t="s">
        <v>63</v>
      </c>
    </row>
    <row r="4" spans="2:9" x14ac:dyDescent="0.3">
      <c r="B4" s="96">
        <v>0.04</v>
      </c>
      <c r="C4" s="100">
        <f>B4/(1-B4)</f>
        <v>4.1666666666666671E-2</v>
      </c>
      <c r="D4" s="98">
        <f>LN(C4)</f>
        <v>-3.1780538303479453</v>
      </c>
      <c r="E4" s="102">
        <f t="shared" ref="E4:E28" si="0">$H$4+($H$3*D4)</f>
        <v>470.54865424130139</v>
      </c>
      <c r="G4" s="104" t="s">
        <v>64</v>
      </c>
      <c r="H4">
        <f>I8-I7</f>
        <v>550</v>
      </c>
      <c r="I4" t="s">
        <v>65</v>
      </c>
    </row>
    <row r="5" spans="2:9" x14ac:dyDescent="0.3">
      <c r="B5" s="96">
        <v>0.08</v>
      </c>
      <c r="C5" s="100">
        <f t="shared" ref="C5:C28" si="1">B5/(1-B5)</f>
        <v>8.6956521739130432E-2</v>
      </c>
      <c r="D5" s="98">
        <f>LN(C5)</f>
        <v>-2.4423470353692043</v>
      </c>
      <c r="E5" s="102">
        <f t="shared" si="0"/>
        <v>488.94132411576987</v>
      </c>
    </row>
    <row r="6" spans="2:9" ht="15" thickBot="1" x14ac:dyDescent="0.35">
      <c r="B6" s="96">
        <v>0.12</v>
      </c>
      <c r="C6" s="100">
        <f t="shared" si="1"/>
        <v>0.13636363636363635</v>
      </c>
      <c r="D6" s="98">
        <f t="shared" ref="D6:D28" si="2">LN(C6)</f>
        <v>-1.9924301646902063</v>
      </c>
      <c r="E6" s="102">
        <f t="shared" si="0"/>
        <v>500.18924588274484</v>
      </c>
      <c r="G6" t="s">
        <v>119</v>
      </c>
    </row>
    <row r="7" spans="2:9" x14ac:dyDescent="0.3">
      <c r="B7" s="96">
        <v>0.16</v>
      </c>
      <c r="C7" s="100">
        <f t="shared" si="1"/>
        <v>0.19047619047619049</v>
      </c>
      <c r="D7" s="98">
        <f t="shared" si="2"/>
        <v>-1.6582280766035322</v>
      </c>
      <c r="E7" s="102">
        <f t="shared" si="0"/>
        <v>508.5442980849117</v>
      </c>
      <c r="G7" s="3">
        <v>1</v>
      </c>
      <c r="H7" s="31" t="s">
        <v>83</v>
      </c>
      <c r="I7" s="4">
        <v>300</v>
      </c>
    </row>
    <row r="8" spans="2:9" ht="15" thickBot="1" x14ac:dyDescent="0.35">
      <c r="B8" s="96">
        <v>0.2</v>
      </c>
      <c r="C8" s="100">
        <f t="shared" si="1"/>
        <v>0.25</v>
      </c>
      <c r="D8" s="98">
        <f t="shared" si="2"/>
        <v>-1.3862943611198906</v>
      </c>
      <c r="E8" s="102">
        <f t="shared" si="0"/>
        <v>515.34264097200276</v>
      </c>
      <c r="G8" s="5">
        <v>2</v>
      </c>
      <c r="H8" s="17" t="s">
        <v>84</v>
      </c>
      <c r="I8" s="6">
        <v>850</v>
      </c>
    </row>
    <row r="9" spans="2:9" x14ac:dyDescent="0.3">
      <c r="B9" s="96">
        <v>0.24</v>
      </c>
      <c r="C9" s="100">
        <f t="shared" si="1"/>
        <v>0.31578947368421051</v>
      </c>
      <c r="D9" s="98">
        <f t="shared" si="2"/>
        <v>-1.1526795099383855</v>
      </c>
      <c r="E9" s="102">
        <f t="shared" si="0"/>
        <v>521.18301225154039</v>
      </c>
    </row>
    <row r="10" spans="2:9" ht="15" thickBot="1" x14ac:dyDescent="0.35">
      <c r="B10" s="96">
        <v>0.28000000000000003</v>
      </c>
      <c r="C10" s="100">
        <f t="shared" si="1"/>
        <v>0.38888888888888895</v>
      </c>
      <c r="D10" s="98">
        <f t="shared" si="2"/>
        <v>-0.94446160884085117</v>
      </c>
      <c r="E10" s="102">
        <f t="shared" si="0"/>
        <v>526.3884597789787</v>
      </c>
    </row>
    <row r="11" spans="2:9" ht="15" thickBot="1" x14ac:dyDescent="0.35">
      <c r="B11" s="96">
        <v>0.32</v>
      </c>
      <c r="C11" s="100">
        <f t="shared" si="1"/>
        <v>0.4705882352941177</v>
      </c>
      <c r="D11" s="98">
        <f t="shared" si="2"/>
        <v>-0.75377180237638008</v>
      </c>
      <c r="E11" s="102">
        <f t="shared" si="0"/>
        <v>531.15570494059045</v>
      </c>
      <c r="H11" s="2" t="s">
        <v>120</v>
      </c>
      <c r="I11" s="92" t="s">
        <v>121</v>
      </c>
    </row>
    <row r="12" spans="2:9" x14ac:dyDescent="0.3">
      <c r="B12" s="96">
        <v>0.36</v>
      </c>
      <c r="C12" s="100">
        <f t="shared" si="1"/>
        <v>0.5625</v>
      </c>
      <c r="D12" s="98">
        <f t="shared" si="2"/>
        <v>-0.5753641449035618</v>
      </c>
      <c r="E12" s="102">
        <f t="shared" si="0"/>
        <v>535.61589637741099</v>
      </c>
      <c r="H12" t="s">
        <v>122</v>
      </c>
      <c r="I12" t="s">
        <v>123</v>
      </c>
    </row>
    <row r="13" spans="2:9" x14ac:dyDescent="0.3">
      <c r="B13" s="96">
        <v>0.4</v>
      </c>
      <c r="C13" s="100">
        <f t="shared" si="1"/>
        <v>0.66666666666666674</v>
      </c>
      <c r="D13" s="98">
        <f t="shared" si="2"/>
        <v>-0.40546510810816427</v>
      </c>
      <c r="E13" s="102">
        <f t="shared" si="0"/>
        <v>539.86337229729588</v>
      </c>
    </row>
    <row r="14" spans="2:9" x14ac:dyDescent="0.3">
      <c r="B14" s="96">
        <v>0.44</v>
      </c>
      <c r="C14" s="100">
        <f t="shared" si="1"/>
        <v>0.7857142857142857</v>
      </c>
      <c r="D14" s="98">
        <f t="shared" si="2"/>
        <v>-0.2411620568168881</v>
      </c>
      <c r="E14" s="102">
        <f t="shared" si="0"/>
        <v>543.97094857957779</v>
      </c>
    </row>
    <row r="15" spans="2:9" x14ac:dyDescent="0.3">
      <c r="B15" s="96">
        <v>0.48</v>
      </c>
      <c r="C15" s="100">
        <f t="shared" si="1"/>
        <v>0.92307692307692302</v>
      </c>
      <c r="D15" s="98">
        <f t="shared" si="2"/>
        <v>-8.0042707673536495E-2</v>
      </c>
      <c r="E15" s="102">
        <f t="shared" si="0"/>
        <v>547.99893230816156</v>
      </c>
    </row>
    <row r="16" spans="2:9" x14ac:dyDescent="0.3">
      <c r="B16" s="96">
        <v>0.52</v>
      </c>
      <c r="C16" s="100">
        <f t="shared" si="1"/>
        <v>1.0833333333333335</v>
      </c>
      <c r="D16" s="98">
        <f t="shared" si="2"/>
        <v>8.0042707673536564E-2</v>
      </c>
      <c r="E16" s="102">
        <f t="shared" si="0"/>
        <v>552.00106769183844</v>
      </c>
    </row>
    <row r="17" spans="2:5" x14ac:dyDescent="0.3">
      <c r="B17" s="96">
        <v>0.56000000000000005</v>
      </c>
      <c r="C17" s="100">
        <f t="shared" si="1"/>
        <v>1.2727272727272729</v>
      </c>
      <c r="D17" s="98">
        <f t="shared" si="2"/>
        <v>0.24116205681688824</v>
      </c>
      <c r="E17" s="102">
        <f t="shared" si="0"/>
        <v>556.02905142042221</v>
      </c>
    </row>
    <row r="18" spans="2:5" x14ac:dyDescent="0.3">
      <c r="B18" s="96">
        <v>0.6</v>
      </c>
      <c r="C18" s="100">
        <f t="shared" si="1"/>
        <v>1.4999999999999998</v>
      </c>
      <c r="D18" s="98">
        <f t="shared" si="2"/>
        <v>0.40546510810816422</v>
      </c>
      <c r="E18" s="102">
        <f t="shared" si="0"/>
        <v>560.13662770270412</v>
      </c>
    </row>
    <row r="19" spans="2:5" x14ac:dyDescent="0.3">
      <c r="B19" s="96">
        <v>0.64</v>
      </c>
      <c r="C19" s="100">
        <f t="shared" si="1"/>
        <v>1.7777777777777779</v>
      </c>
      <c r="D19" s="98">
        <f t="shared" si="2"/>
        <v>0.57536414490356191</v>
      </c>
      <c r="E19" s="102">
        <f t="shared" si="0"/>
        <v>564.38410362258901</v>
      </c>
    </row>
    <row r="20" spans="2:5" x14ac:dyDescent="0.3">
      <c r="B20" s="96">
        <v>0.68</v>
      </c>
      <c r="C20" s="100">
        <f t="shared" si="1"/>
        <v>2.1250000000000004</v>
      </c>
      <c r="D20" s="98">
        <f t="shared" si="2"/>
        <v>0.75377180237638031</v>
      </c>
      <c r="E20" s="102">
        <f t="shared" si="0"/>
        <v>568.84429505940955</v>
      </c>
    </row>
    <row r="21" spans="2:5" x14ac:dyDescent="0.3">
      <c r="B21" s="96">
        <v>0.72</v>
      </c>
      <c r="C21" s="100">
        <f t="shared" si="1"/>
        <v>2.5714285714285712</v>
      </c>
      <c r="D21" s="98">
        <f t="shared" si="2"/>
        <v>0.94446160884085129</v>
      </c>
      <c r="E21" s="102">
        <f t="shared" si="0"/>
        <v>573.6115402210213</v>
      </c>
    </row>
    <row r="22" spans="2:5" x14ac:dyDescent="0.3">
      <c r="B22" s="96">
        <v>0.76</v>
      </c>
      <c r="C22" s="100">
        <f t="shared" si="1"/>
        <v>3.166666666666667</v>
      </c>
      <c r="D22" s="98">
        <f t="shared" si="2"/>
        <v>1.1526795099383855</v>
      </c>
      <c r="E22" s="102">
        <f t="shared" si="0"/>
        <v>578.81698774845961</v>
      </c>
    </row>
    <row r="23" spans="2:5" x14ac:dyDescent="0.3">
      <c r="B23" s="96">
        <v>0.8</v>
      </c>
      <c r="C23" s="100">
        <f t="shared" si="1"/>
        <v>4.0000000000000009</v>
      </c>
      <c r="D23" s="98">
        <f t="shared" si="2"/>
        <v>1.3862943611198908</v>
      </c>
      <c r="E23" s="102">
        <f t="shared" si="0"/>
        <v>584.65735902799724</v>
      </c>
    </row>
    <row r="24" spans="2:5" x14ac:dyDescent="0.3">
      <c r="B24" s="96">
        <v>0.84</v>
      </c>
      <c r="C24" s="100">
        <f t="shared" si="1"/>
        <v>5.2499999999999991</v>
      </c>
      <c r="D24" s="98">
        <f t="shared" si="2"/>
        <v>1.6582280766035322</v>
      </c>
      <c r="E24" s="102">
        <f t="shared" si="0"/>
        <v>591.4557019150883</v>
      </c>
    </row>
    <row r="25" spans="2:5" x14ac:dyDescent="0.3">
      <c r="B25" s="96">
        <v>0.88</v>
      </c>
      <c r="C25" s="100">
        <f t="shared" si="1"/>
        <v>7.3333333333333339</v>
      </c>
      <c r="D25" s="98">
        <f t="shared" si="2"/>
        <v>1.9924301646902063</v>
      </c>
      <c r="E25" s="102">
        <f t="shared" si="0"/>
        <v>599.8107541172551</v>
      </c>
    </row>
    <row r="26" spans="2:5" x14ac:dyDescent="0.3">
      <c r="B26" s="96">
        <v>0.92</v>
      </c>
      <c r="C26" s="100">
        <f t="shared" si="1"/>
        <v>11.500000000000007</v>
      </c>
      <c r="D26" s="98">
        <f t="shared" si="2"/>
        <v>2.4423470353692052</v>
      </c>
      <c r="E26" s="102">
        <f t="shared" si="0"/>
        <v>611.05867588423007</v>
      </c>
    </row>
    <row r="27" spans="2:5" x14ac:dyDescent="0.3">
      <c r="B27" s="96">
        <v>0.96</v>
      </c>
      <c r="C27" s="100">
        <f t="shared" si="1"/>
        <v>23.999999999999979</v>
      </c>
      <c r="D27" s="98">
        <f t="shared" si="2"/>
        <v>3.1780538303479449</v>
      </c>
      <c r="E27" s="102">
        <f t="shared" si="0"/>
        <v>629.45134575869861</v>
      </c>
    </row>
    <row r="28" spans="2:5" ht="15" thickBot="1" x14ac:dyDescent="0.35">
      <c r="B28" s="97">
        <v>0.99999000000000005</v>
      </c>
      <c r="C28" s="101">
        <f t="shared" si="1"/>
        <v>99999.000000455097</v>
      </c>
      <c r="D28" s="99">
        <f t="shared" si="2"/>
        <v>11.512915464924779</v>
      </c>
      <c r="E28" s="103">
        <f t="shared" si="0"/>
        <v>837.82288662311953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Objective</vt:lpstr>
      <vt:lpstr>MODEL</vt:lpstr>
      <vt:lpstr>ROC_GINI_AUC_KS</vt:lpstr>
      <vt:lpstr>Score Equation Logic</vt:lpstr>
      <vt:lpstr>Score Equation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Rasane</cp:lastModifiedBy>
  <dcterms:created xsi:type="dcterms:W3CDTF">2025-12-11T08:59:57Z</dcterms:created>
  <dcterms:modified xsi:type="dcterms:W3CDTF">2025-12-14T02:39:10Z</dcterms:modified>
</cp:coreProperties>
</file>